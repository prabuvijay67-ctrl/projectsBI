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7.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D:\PRABU\DATASETS\"/>
    </mc:Choice>
  </mc:AlternateContent>
  <xr:revisionPtr revIDLastSave="0" documentId="13_ncr:1_{6C023014-CDC4-4007-A804-1AFAA86516E4}" xr6:coauthVersionLast="47" xr6:coauthVersionMax="47" xr10:uidLastSave="{00000000-0000-0000-0000-000000000000}"/>
  <bookViews>
    <workbookView xWindow="-110" yWindow="-110" windowWidth="19420" windowHeight="10300" firstSheet="1" activeTab="6" xr2:uid="{65C14963-D7D9-489F-85DF-B390E3AF6B64}"/>
  </bookViews>
  <sheets>
    <sheet name="Chart" sheetId="4" state="hidden" r:id="rId1"/>
    <sheet name="Sheet2" sheetId="6" r:id="rId2"/>
    <sheet name="filters" sheetId="7" r:id="rId3"/>
    <sheet name="connections" sheetId="8" r:id="rId4"/>
    <sheet name="Sheet6" sheetId="9" r:id="rId5"/>
    <sheet name="Employee Data" sheetId="1" r:id="rId6"/>
    <sheet name="Employee Data (2)" sheetId="10" r:id="rId7"/>
    <sheet name="Sheet1" sheetId="2" state="hidden" r:id="rId8"/>
    <sheet name="Sheet3" sheetId="5" state="hidden" r:id="rId9"/>
  </sheets>
  <definedNames>
    <definedName name="_xlnm._FilterDatabase" localSheetId="5" hidden="1">'Employee Data'!$A$1:$M$1002</definedName>
    <definedName name="_xlnm._FilterDatabase" localSheetId="6" hidden="1">'Employee Data (2)'!$A$1:$M$1002</definedName>
    <definedName name="NativeTimeline_Hire_Date">#N/A</definedName>
    <definedName name="Slicer_Department">#N/A</definedName>
    <definedName name="Slicer_Job_Title">#N/A</definedName>
  </definedNames>
  <calcPr calcId="191029"/>
  <pivotCaches>
    <pivotCache cacheId="2" r:id="rId10"/>
    <pivotCache cacheId="3"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2" i="2"/>
  <c r="X14" i="2"/>
  <c r="W14" i="2"/>
  <c r="V15" i="2"/>
  <c r="X15" i="2"/>
  <c r="X23" i="2"/>
  <c r="W23" i="2"/>
  <c r="V23" i="2"/>
  <c r="X22" i="2"/>
  <c r="W22" i="2"/>
  <c r="V22" i="2"/>
  <c r="X21" i="2"/>
  <c r="W21" i="2"/>
  <c r="V21" i="2"/>
  <c r="X20" i="2"/>
  <c r="W20" i="2"/>
  <c r="V20" i="2"/>
  <c r="X19" i="2"/>
  <c r="W19" i="2"/>
  <c r="V19" i="2"/>
  <c r="X18" i="2"/>
  <c r="W18" i="2"/>
  <c r="V18" i="2"/>
  <c r="X17" i="2"/>
  <c r="W17" i="2"/>
  <c r="V17" i="2"/>
  <c r="X16" i="2"/>
  <c r="W16" i="2"/>
  <c r="V16" i="2"/>
  <c r="V14" i="2"/>
  <c r="W15" i="2"/>
</calcChain>
</file>

<file path=xl/sharedStrings.xml><?xml version="1.0" encoding="utf-8"?>
<sst xmlns="http://schemas.openxmlformats.org/spreadsheetml/2006/main" count="19189" uniqueCount="2135">
  <si>
    <t>Full Name</t>
  </si>
  <si>
    <t>Job Title</t>
  </si>
  <si>
    <t>Department</t>
  </si>
  <si>
    <t>Business Unit</t>
  </si>
  <si>
    <t>Gender</t>
  </si>
  <si>
    <t>Ethnicity</t>
  </si>
  <si>
    <t>Age</t>
  </si>
  <si>
    <t>Hire Date</t>
  </si>
  <si>
    <t>Annual Salary</t>
  </si>
  <si>
    <t>Bonus %</t>
  </si>
  <si>
    <t>Country</t>
  </si>
  <si>
    <t>City</t>
  </si>
  <si>
    <t>Vice President</t>
  </si>
  <si>
    <t>Finance</t>
  </si>
  <si>
    <t>Research &amp; Development</t>
  </si>
  <si>
    <t>Female</t>
  </si>
  <si>
    <t>Caucasian</t>
  </si>
  <si>
    <t>United States</t>
  </si>
  <si>
    <t>Chicago</t>
  </si>
  <si>
    <t>HRIS Analyst</t>
  </si>
  <si>
    <t>Human Resources</t>
  </si>
  <si>
    <t>Asian</t>
  </si>
  <si>
    <t>Austin</t>
  </si>
  <si>
    <t>Enterprise Architect</t>
  </si>
  <si>
    <t>IT</t>
  </si>
  <si>
    <t>Male</t>
  </si>
  <si>
    <t>Columbus</t>
  </si>
  <si>
    <t>Quality Engineer</t>
  </si>
  <si>
    <t>Engineering</t>
  </si>
  <si>
    <t>Corporate</t>
  </si>
  <si>
    <t>China</t>
  </si>
  <si>
    <t>Chengdu</t>
  </si>
  <si>
    <t>Network Engineer</t>
  </si>
  <si>
    <t>Manufacturing</t>
  </si>
  <si>
    <t>Cloud Infrastructure Architect</t>
  </si>
  <si>
    <t>Phoenix</t>
  </si>
  <si>
    <t>Director</t>
  </si>
  <si>
    <t>E02274</t>
  </si>
  <si>
    <t>Sr. Analyst</t>
  </si>
  <si>
    <t>Marketing</t>
  </si>
  <si>
    <t>Miami</t>
  </si>
  <si>
    <t>Black</t>
  </si>
  <si>
    <t>Sr. Account Representative</t>
  </si>
  <si>
    <t>Sales</t>
  </si>
  <si>
    <t>Latino</t>
  </si>
  <si>
    <t>Brazil</t>
  </si>
  <si>
    <t>Sao Paulo</t>
  </si>
  <si>
    <t>Technical Architect</t>
  </si>
  <si>
    <t>Computer Systems Manager</t>
  </si>
  <si>
    <t>E02572</t>
  </si>
  <si>
    <t>Test Engineer</t>
  </si>
  <si>
    <t>Automation Engineer</t>
  </si>
  <si>
    <t>Beijing</t>
  </si>
  <si>
    <t>Manager</t>
  </si>
  <si>
    <t>Seattle</t>
  </si>
  <si>
    <t>Analyst II</t>
  </si>
  <si>
    <t>Accounting</t>
  </si>
  <si>
    <t>Analyst</t>
  </si>
  <si>
    <t>Operations Engineer</t>
  </si>
  <si>
    <t>Network Architect</t>
  </si>
  <si>
    <t>IT Coordinator</t>
  </si>
  <si>
    <t>Shanghai</t>
  </si>
  <si>
    <t>Systems Analyst</t>
  </si>
  <si>
    <t>Sr. Business Partner</t>
  </si>
  <si>
    <t>E02744</t>
  </si>
  <si>
    <t>Chongqing</t>
  </si>
  <si>
    <t>Manaus</t>
  </si>
  <si>
    <t>Service Desk Analyst</t>
  </si>
  <si>
    <t>Business Partner</t>
  </si>
  <si>
    <t>Controls Engineer</t>
  </si>
  <si>
    <t>Development Engineer</t>
  </si>
  <si>
    <t>Solutions Architect</t>
  </si>
  <si>
    <t>Network Administrator</t>
  </si>
  <si>
    <t>IT Systems Architect</t>
  </si>
  <si>
    <t>Account Representative</t>
  </si>
  <si>
    <t>E02044</t>
  </si>
  <si>
    <t>Engineering Manager</t>
  </si>
  <si>
    <t>System Administrator </t>
  </si>
  <si>
    <t>E02832</t>
  </si>
  <si>
    <t>E02728</t>
  </si>
  <si>
    <t>E02848</t>
  </si>
  <si>
    <t>E02235</t>
  </si>
  <si>
    <t>E02903</t>
  </si>
  <si>
    <t>Field Engineer</t>
  </si>
  <si>
    <t>E02938</t>
  </si>
  <si>
    <t>E02923</t>
  </si>
  <si>
    <t>E02190</t>
  </si>
  <si>
    <t>E02307</t>
  </si>
  <si>
    <t>E02960</t>
  </si>
  <si>
    <t>E02642</t>
  </si>
  <si>
    <t>E02047</t>
  </si>
  <si>
    <t>E02522</t>
  </si>
  <si>
    <t>E02770</t>
  </si>
  <si>
    <t>E02420</t>
  </si>
  <si>
    <t>E02183</t>
  </si>
  <si>
    <t>E02791</t>
  </si>
  <si>
    <t>E02833</t>
  </si>
  <si>
    <t>E02252</t>
  </si>
  <si>
    <t>E02489</t>
  </si>
  <si>
    <t>E02942</t>
  </si>
  <si>
    <t>E02710</t>
  </si>
  <si>
    <t>E02375</t>
  </si>
  <si>
    <t>E02576</t>
  </si>
  <si>
    <t>E02074</t>
  </si>
  <si>
    <t>E02071</t>
  </si>
  <si>
    <t>E02861</t>
  </si>
  <si>
    <t>E02850</t>
  </si>
  <si>
    <t>E02415</t>
  </si>
  <si>
    <t>E02939</t>
  </si>
  <si>
    <t>E02855</t>
  </si>
  <si>
    <t>E02258</t>
  </si>
  <si>
    <t>E02813</t>
  </si>
  <si>
    <t>E02033</t>
  </si>
  <si>
    <t>E02984</t>
  </si>
  <si>
    <t>E02604</t>
  </si>
  <si>
    <t>E02468</t>
  </si>
  <si>
    <t>E03000</t>
  </si>
  <si>
    <t>E02094</t>
  </si>
  <si>
    <t>E02825</t>
  </si>
  <si>
    <t>E02378</t>
  </si>
  <si>
    <t>E02877</t>
  </si>
  <si>
    <t>E02112</t>
  </si>
  <si>
    <t>E02681</t>
  </si>
  <si>
    <t>E02103</t>
  </si>
  <si>
    <t>E02856</t>
  </si>
  <si>
    <t>E02628</t>
  </si>
  <si>
    <t>E02217</t>
  </si>
  <si>
    <t>E02473</t>
  </si>
  <si>
    <t>E02147</t>
  </si>
  <si>
    <t>E02313</t>
  </si>
  <si>
    <t>E02189</t>
  </si>
  <si>
    <t>E02783</t>
  </si>
  <si>
    <t>E02139</t>
  </si>
  <si>
    <t>E02088</t>
  </si>
  <si>
    <t>E02875</t>
  </si>
  <si>
    <t>E02363</t>
  </si>
  <si>
    <t>E02387</t>
  </si>
  <si>
    <t>David Barnes</t>
  </si>
  <si>
    <t>E02206</t>
  </si>
  <si>
    <t>E02594</t>
  </si>
  <si>
    <t>Ezekiel Kumar</t>
  </si>
  <si>
    <t>E02185</t>
  </si>
  <si>
    <t>E02862</t>
  </si>
  <si>
    <t>E02966</t>
  </si>
  <si>
    <t>David Chu</t>
  </si>
  <si>
    <t>E02166</t>
  </si>
  <si>
    <t>E02802</t>
  </si>
  <si>
    <t>Connor Simmons</t>
  </si>
  <si>
    <t>E02017</t>
  </si>
  <si>
    <t>Scarlett Rodriguez</t>
  </si>
  <si>
    <t>E02872</t>
  </si>
  <si>
    <t>E02331</t>
  </si>
  <si>
    <t>E02464</t>
  </si>
  <si>
    <t>E02706</t>
  </si>
  <si>
    <t>Hannah Nelson</t>
  </si>
  <si>
    <t>E02283</t>
  </si>
  <si>
    <t>E02254</t>
  </si>
  <si>
    <t>E02216</t>
  </si>
  <si>
    <t>E02803</t>
  </si>
  <si>
    <t>E02333</t>
  </si>
  <si>
    <t>E02639</t>
  </si>
  <si>
    <t>Hadley Parker</t>
  </si>
  <si>
    <t>E02421</t>
  </si>
  <si>
    <t>E02761</t>
  </si>
  <si>
    <t>E02121</t>
  </si>
  <si>
    <t>E02227</t>
  </si>
  <si>
    <t>E02031</t>
  </si>
  <si>
    <t>Owen Han</t>
  </si>
  <si>
    <t>E02844</t>
  </si>
  <si>
    <t>E02810</t>
  </si>
  <si>
    <t>E02285</t>
  </si>
  <si>
    <t>E02747</t>
  </si>
  <si>
    <t>E02072</t>
  </si>
  <si>
    <t>Charles Robinson</t>
  </si>
  <si>
    <t>E02555</t>
  </si>
  <si>
    <t>E02062</t>
  </si>
  <si>
    <t>E02944</t>
  </si>
  <si>
    <t>E02148</t>
  </si>
  <si>
    <t>E02838</t>
  </si>
  <si>
    <t>E02980</t>
  </si>
  <si>
    <t>E02038</t>
  </si>
  <si>
    <t>Mila Vasquez</t>
  </si>
  <si>
    <t>E02914</t>
  </si>
  <si>
    <t>Everly Coleman</t>
  </si>
  <si>
    <t>Isla Chavez</t>
  </si>
  <si>
    <t>E02652</t>
  </si>
  <si>
    <t>E02693</t>
  </si>
  <si>
    <t>E02971</t>
  </si>
  <si>
    <t>E02284</t>
  </si>
  <si>
    <t>E02023</t>
  </si>
  <si>
    <t>E02599</t>
  </si>
  <si>
    <t>E02108</t>
  </si>
  <si>
    <t>E02417</t>
  </si>
  <si>
    <t>E02769</t>
  </si>
  <si>
    <t>E02632</t>
  </si>
  <si>
    <t>E02534</t>
  </si>
  <si>
    <t>Eloise Griffin</t>
  </si>
  <si>
    <t>E02295</t>
  </si>
  <si>
    <t>E02730</t>
  </si>
  <si>
    <t>E02337</t>
  </si>
  <si>
    <t>E02633</t>
  </si>
  <si>
    <t>E02965</t>
  </si>
  <si>
    <t>E02895</t>
  </si>
  <si>
    <t>E02943</t>
  </si>
  <si>
    <t>E02678</t>
  </si>
  <si>
    <t>E02801</t>
  </si>
  <si>
    <t>Santiago f Brooks</t>
  </si>
  <si>
    <t>E02140</t>
  </si>
  <si>
    <t>E02613</t>
  </si>
  <si>
    <t>E02917</t>
  </si>
  <si>
    <t>E02977</t>
  </si>
  <si>
    <t>E02531</t>
  </si>
  <si>
    <t>E02179</t>
  </si>
  <si>
    <t>E02857</t>
  </si>
  <si>
    <t>E02477</t>
  </si>
  <si>
    <t>Jacob Cheng</t>
  </si>
  <si>
    <t>E02687</t>
  </si>
  <si>
    <t>E02748</t>
  </si>
  <si>
    <t>E02843</t>
  </si>
  <si>
    <t>E02063</t>
  </si>
  <si>
    <t>E02899</t>
  </si>
  <si>
    <t>E02478</t>
  </si>
  <si>
    <t>E02492</t>
  </si>
  <si>
    <t>E02781</t>
  </si>
  <si>
    <t>Athena Vu</t>
  </si>
  <si>
    <t>E02665</t>
  </si>
  <si>
    <t>E02012</t>
  </si>
  <si>
    <t>E02881</t>
  </si>
  <si>
    <t>E02562</t>
  </si>
  <si>
    <t>E02884</t>
  </si>
  <si>
    <t>Eliana Turner</t>
  </si>
  <si>
    <t>E02563</t>
  </si>
  <si>
    <t>E02249</t>
  </si>
  <si>
    <t>E02987</t>
  </si>
  <si>
    <t>E02920</t>
  </si>
  <si>
    <t>Charles Luu</t>
  </si>
  <si>
    <t>E02846</t>
  </si>
  <si>
    <t>E02192</t>
  </si>
  <si>
    <t>E02716</t>
  </si>
  <si>
    <t>E02066</t>
  </si>
  <si>
    <t>Eli Richardson</t>
  </si>
  <si>
    <t>E02298</t>
  </si>
  <si>
    <t>E02440</t>
  </si>
  <si>
    <t>E02798</t>
  </si>
  <si>
    <t>E02818</t>
  </si>
  <si>
    <t>E02907</t>
  </si>
  <si>
    <t>E02391</t>
  </si>
  <si>
    <t>E02800</t>
  </si>
  <si>
    <t>E02024</t>
  </si>
  <si>
    <t>E02427</t>
  </si>
  <si>
    <t>E02276</t>
  </si>
  <si>
    <t>E02649</t>
  </si>
  <si>
    <t>E02005</t>
  </si>
  <si>
    <t>E02732</t>
  </si>
  <si>
    <t>E02720</t>
  </si>
  <si>
    <t>E02428</t>
  </si>
  <si>
    <t>E02259</t>
  </si>
  <si>
    <t>E02992</t>
  </si>
  <si>
    <t>E02535</t>
  </si>
  <si>
    <t>E02035</t>
  </si>
  <si>
    <t>E02135</t>
  </si>
  <si>
    <t>E02968</t>
  </si>
  <si>
    <t>E02453</t>
  </si>
  <si>
    <t>E02153</t>
  </si>
  <si>
    <t>Nova Lin</t>
  </si>
  <si>
    <t>E02193</t>
  </si>
  <si>
    <t>E02889</t>
  </si>
  <si>
    <t>E02059</t>
  </si>
  <si>
    <t>E02900</t>
  </si>
  <si>
    <t>E02202</t>
  </si>
  <si>
    <t>E02696</t>
  </si>
  <si>
    <t>E02554</t>
  </si>
  <si>
    <t>E02888</t>
  </si>
  <si>
    <t>E02684</t>
  </si>
  <si>
    <t>E02561</t>
  </si>
  <si>
    <t>E02558</t>
  </si>
  <si>
    <t>E02221</t>
  </si>
  <si>
    <t>E02627</t>
  </si>
  <si>
    <t>E02310</t>
  </si>
  <si>
    <t>E02661</t>
  </si>
  <si>
    <t>E02703</t>
  </si>
  <si>
    <t>E02191</t>
  </si>
  <si>
    <t>E02521</t>
  </si>
  <si>
    <t>E02002</t>
  </si>
  <si>
    <t>E02003</t>
  </si>
  <si>
    <t>E02004</t>
  </si>
  <si>
    <t>E02006</t>
  </si>
  <si>
    <t>E02007</t>
  </si>
  <si>
    <t>E02008</t>
  </si>
  <si>
    <t>E02009</t>
  </si>
  <si>
    <t>E02010</t>
  </si>
  <si>
    <t>E02011</t>
  </si>
  <si>
    <t>E02013</t>
  </si>
  <si>
    <t>E02014</t>
  </si>
  <si>
    <t>E02015</t>
  </si>
  <si>
    <t>E02016</t>
  </si>
  <si>
    <t>E02018</t>
  </si>
  <si>
    <t>E02019</t>
  </si>
  <si>
    <t>E02020</t>
  </si>
  <si>
    <t>E02021</t>
  </si>
  <si>
    <t>E02022</t>
  </si>
  <si>
    <t>E02025</t>
  </si>
  <si>
    <t>E02026</t>
  </si>
  <si>
    <t>E02027</t>
  </si>
  <si>
    <t>E02028</t>
  </si>
  <si>
    <t>E02029</t>
  </si>
  <si>
    <t>E02030</t>
  </si>
  <si>
    <t>E02032</t>
  </si>
  <si>
    <t>E02034</t>
  </si>
  <si>
    <t>E02036</t>
  </si>
  <si>
    <t>E02037</t>
  </si>
  <si>
    <t>E02039</t>
  </si>
  <si>
    <t>E02040</t>
  </si>
  <si>
    <t>E02041</t>
  </si>
  <si>
    <t>E02042</t>
  </si>
  <si>
    <t>E02043</t>
  </si>
  <si>
    <t>E02045</t>
  </si>
  <si>
    <t>E02046</t>
  </si>
  <si>
    <t>E02048</t>
  </si>
  <si>
    <t>E02049</t>
  </si>
  <si>
    <t>E02050</t>
  </si>
  <si>
    <t>E02051</t>
  </si>
  <si>
    <t>E02052</t>
  </si>
  <si>
    <t>E02053</t>
  </si>
  <si>
    <t>E02054</t>
  </si>
  <si>
    <t>E02055</t>
  </si>
  <si>
    <t>E02056</t>
  </si>
  <si>
    <t>E02057</t>
  </si>
  <si>
    <t>E02058</t>
  </si>
  <si>
    <t>E02060</t>
  </si>
  <si>
    <t>E02061</t>
  </si>
  <si>
    <t>E02064</t>
  </si>
  <si>
    <t>E02065</t>
  </si>
  <si>
    <t>E02067</t>
  </si>
  <si>
    <t>E02068</t>
  </si>
  <si>
    <t>E02069</t>
  </si>
  <si>
    <t>E02070</t>
  </si>
  <si>
    <t>E02073</t>
  </si>
  <si>
    <t>E02075</t>
  </si>
  <si>
    <t>E02076</t>
  </si>
  <si>
    <t>E02077</t>
  </si>
  <si>
    <t>E02078</t>
  </si>
  <si>
    <t>E02079</t>
  </si>
  <si>
    <t>E02080</t>
  </si>
  <si>
    <t>E02081</t>
  </si>
  <si>
    <t>E02082</t>
  </si>
  <si>
    <t>E02083</t>
  </si>
  <si>
    <t>E02084</t>
  </si>
  <si>
    <t>E02085</t>
  </si>
  <si>
    <t>E02086</t>
  </si>
  <si>
    <t>E02087</t>
  </si>
  <si>
    <t>E02089</t>
  </si>
  <si>
    <t>E02090</t>
  </si>
  <si>
    <t>E02091</t>
  </si>
  <si>
    <t>E02092</t>
  </si>
  <si>
    <t>E02093</t>
  </si>
  <si>
    <t>E02095</t>
  </si>
  <si>
    <t>E02096</t>
  </si>
  <si>
    <t>E02097</t>
  </si>
  <si>
    <t>E02098</t>
  </si>
  <si>
    <t>E02099</t>
  </si>
  <si>
    <t>E02100</t>
  </si>
  <si>
    <t>E02101</t>
  </si>
  <si>
    <t>E02102</t>
  </si>
  <si>
    <t>E02104</t>
  </si>
  <si>
    <t>E02105</t>
  </si>
  <si>
    <t>E02106</t>
  </si>
  <si>
    <t>E02107</t>
  </si>
  <si>
    <t>E02109</t>
  </si>
  <si>
    <t>E02110</t>
  </si>
  <si>
    <t>E02111</t>
  </si>
  <si>
    <t>E02113</t>
  </si>
  <si>
    <t>E02114</t>
  </si>
  <si>
    <t>E02115</t>
  </si>
  <si>
    <t>E02116</t>
  </si>
  <si>
    <t>E02117</t>
  </si>
  <si>
    <t>E02118</t>
  </si>
  <si>
    <t>E02119</t>
  </si>
  <si>
    <t>E02120</t>
  </si>
  <si>
    <t>E02122</t>
  </si>
  <si>
    <t>E02123</t>
  </si>
  <si>
    <t>E02124</t>
  </si>
  <si>
    <t>E02125</t>
  </si>
  <si>
    <t>E02126</t>
  </si>
  <si>
    <t>E02127</t>
  </si>
  <si>
    <t>E02128</t>
  </si>
  <si>
    <t>E02129</t>
  </si>
  <si>
    <t>E02130</t>
  </si>
  <si>
    <t>E02131</t>
  </si>
  <si>
    <t>E02132</t>
  </si>
  <si>
    <t>E02133</t>
  </si>
  <si>
    <t>E02134</t>
  </si>
  <si>
    <t>E02136</t>
  </si>
  <si>
    <t>E02137</t>
  </si>
  <si>
    <t>E02138</t>
  </si>
  <si>
    <t>E02141</t>
  </si>
  <si>
    <t>E02142</t>
  </si>
  <si>
    <t>E02143</t>
  </si>
  <si>
    <t>E02144</t>
  </si>
  <si>
    <t>E02145</t>
  </si>
  <si>
    <t>E02146</t>
  </si>
  <si>
    <t>E02149</t>
  </si>
  <si>
    <t>E02150</t>
  </si>
  <si>
    <t>E02151</t>
  </si>
  <si>
    <t>E02152</t>
  </si>
  <si>
    <t>E02154</t>
  </si>
  <si>
    <t>E02155</t>
  </si>
  <si>
    <t>E02156</t>
  </si>
  <si>
    <t>E02157</t>
  </si>
  <si>
    <t>E02158</t>
  </si>
  <si>
    <t>E02159</t>
  </si>
  <si>
    <t>E02160</t>
  </si>
  <si>
    <t>E02161</t>
  </si>
  <si>
    <t>E02162</t>
  </si>
  <si>
    <t>E02163</t>
  </si>
  <si>
    <t>E02164</t>
  </si>
  <si>
    <t>E02165</t>
  </si>
  <si>
    <t>E02167</t>
  </si>
  <si>
    <t>E02168</t>
  </si>
  <si>
    <t>E02169</t>
  </si>
  <si>
    <t>E02170</t>
  </si>
  <si>
    <t>E02171</t>
  </si>
  <si>
    <t>E02172</t>
  </si>
  <si>
    <t>E02173</t>
  </si>
  <si>
    <t>E02174</t>
  </si>
  <si>
    <t>E02175</t>
  </si>
  <si>
    <t>E02176</t>
  </si>
  <si>
    <t>E02177</t>
  </si>
  <si>
    <t>E02178</t>
  </si>
  <si>
    <t>E02180</t>
  </si>
  <si>
    <t>E02181</t>
  </si>
  <si>
    <t>E02182</t>
  </si>
  <si>
    <t>E02184</t>
  </si>
  <si>
    <t>E02186</t>
  </si>
  <si>
    <t>E02187</t>
  </si>
  <si>
    <t>E02188</t>
  </si>
  <si>
    <t>E02194</t>
  </si>
  <si>
    <t>E02195</t>
  </si>
  <si>
    <t>E02196</t>
  </si>
  <si>
    <t>E02197</t>
  </si>
  <si>
    <t>E02198</t>
  </si>
  <si>
    <t>E02199</t>
  </si>
  <si>
    <t>E02200</t>
  </si>
  <si>
    <t>E02201</t>
  </si>
  <si>
    <t>E02203</t>
  </si>
  <si>
    <t>E02204</t>
  </si>
  <si>
    <t>E02205</t>
  </si>
  <si>
    <t>E02207</t>
  </si>
  <si>
    <t>E02208</t>
  </si>
  <si>
    <t>E02209</t>
  </si>
  <si>
    <t>E02210</t>
  </si>
  <si>
    <t>E02211</t>
  </si>
  <si>
    <t>E02212</t>
  </si>
  <si>
    <t>E02213</t>
  </si>
  <si>
    <t>E02214</t>
  </si>
  <si>
    <t>E02215</t>
  </si>
  <si>
    <t>E02218</t>
  </si>
  <si>
    <t>E02219</t>
  </si>
  <si>
    <t>E02220</t>
  </si>
  <si>
    <t>E02222</t>
  </si>
  <si>
    <t>E02223</t>
  </si>
  <si>
    <t>E02224</t>
  </si>
  <si>
    <t>E02225</t>
  </si>
  <si>
    <t>E02226</t>
  </si>
  <si>
    <t>E02228</t>
  </si>
  <si>
    <t>E02229</t>
  </si>
  <si>
    <t>E02230</t>
  </si>
  <si>
    <t>E02231</t>
  </si>
  <si>
    <t>E02232</t>
  </si>
  <si>
    <t>E02233</t>
  </si>
  <si>
    <t>E02234</t>
  </si>
  <si>
    <t>E02236</t>
  </si>
  <si>
    <t>E02237</t>
  </si>
  <si>
    <t>E02238</t>
  </si>
  <si>
    <t>E02239</t>
  </si>
  <si>
    <t>E02240</t>
  </si>
  <si>
    <t>E02241</t>
  </si>
  <si>
    <t>E02242</t>
  </si>
  <si>
    <t>E02243</t>
  </si>
  <si>
    <t>E02244</t>
  </si>
  <si>
    <t>E02245</t>
  </si>
  <si>
    <t>E02246</t>
  </si>
  <si>
    <t>E02247</t>
  </si>
  <si>
    <t>E02248</t>
  </si>
  <si>
    <t>E02250</t>
  </si>
  <si>
    <t>E02251</t>
  </si>
  <si>
    <t>E02253</t>
  </si>
  <si>
    <t>E02255</t>
  </si>
  <si>
    <t>E02256</t>
  </si>
  <si>
    <t>E02257</t>
  </si>
  <si>
    <t>E02260</t>
  </si>
  <si>
    <t>E02261</t>
  </si>
  <si>
    <t>E02262</t>
  </si>
  <si>
    <t>E02263</t>
  </si>
  <si>
    <t>E02264</t>
  </si>
  <si>
    <t>E02265</t>
  </si>
  <si>
    <t>E02266</t>
  </si>
  <si>
    <t>E02267</t>
  </si>
  <si>
    <t>E02268</t>
  </si>
  <si>
    <t>E02269</t>
  </si>
  <si>
    <t>E02270</t>
  </si>
  <si>
    <t>E02271</t>
  </si>
  <si>
    <t>E02272</t>
  </si>
  <si>
    <t>E02273</t>
  </si>
  <si>
    <t>E02275</t>
  </si>
  <si>
    <t>E02277</t>
  </si>
  <si>
    <t>E02278</t>
  </si>
  <si>
    <t>E02279</t>
  </si>
  <si>
    <t>E02280</t>
  </si>
  <si>
    <t>E02281</t>
  </si>
  <si>
    <t>E02282</t>
  </si>
  <si>
    <t>E02286</t>
  </si>
  <si>
    <t>E02287</t>
  </si>
  <si>
    <t>E02288</t>
  </si>
  <si>
    <t>E02289</t>
  </si>
  <si>
    <t>E02290</t>
  </si>
  <si>
    <t>E02291</t>
  </si>
  <si>
    <t>E02292</t>
  </si>
  <si>
    <t>E02293</t>
  </si>
  <si>
    <t>E02294</t>
  </si>
  <si>
    <t>E02296</t>
  </si>
  <si>
    <t>E02297</t>
  </si>
  <si>
    <t>E02299</t>
  </si>
  <si>
    <t>E02300</t>
  </si>
  <si>
    <t>E02301</t>
  </si>
  <si>
    <t>E02302</t>
  </si>
  <si>
    <t>E02303</t>
  </si>
  <si>
    <t>E02304</t>
  </si>
  <si>
    <t>E02305</t>
  </si>
  <si>
    <t>E02306</t>
  </si>
  <si>
    <t>E02308</t>
  </si>
  <si>
    <t>E02309</t>
  </si>
  <si>
    <t>E02311</t>
  </si>
  <si>
    <t>E02312</t>
  </si>
  <si>
    <t>E02314</t>
  </si>
  <si>
    <t>E02315</t>
  </si>
  <si>
    <t>E02316</t>
  </si>
  <si>
    <t>E02317</t>
  </si>
  <si>
    <t>E02318</t>
  </si>
  <si>
    <t>E02319</t>
  </si>
  <si>
    <t>E02320</t>
  </si>
  <si>
    <t>E02321</t>
  </si>
  <si>
    <t>E02322</t>
  </si>
  <si>
    <t>E02323</t>
  </si>
  <si>
    <t>E02324</t>
  </si>
  <si>
    <t>E02325</t>
  </si>
  <si>
    <t>E02326</t>
  </si>
  <si>
    <t>E02327</t>
  </si>
  <si>
    <t>E02328</t>
  </si>
  <si>
    <t>E02329</t>
  </si>
  <si>
    <t>E02330</t>
  </si>
  <si>
    <t>E02332</t>
  </si>
  <si>
    <t>E02334</t>
  </si>
  <si>
    <t>E02335</t>
  </si>
  <si>
    <t>E02336</t>
  </si>
  <si>
    <t>E02338</t>
  </si>
  <si>
    <t>E02339</t>
  </si>
  <si>
    <t>E02340</t>
  </si>
  <si>
    <t>E02341</t>
  </si>
  <si>
    <t>E02342</t>
  </si>
  <si>
    <t>E02343</t>
  </si>
  <si>
    <t>E02344</t>
  </si>
  <si>
    <t>E02345</t>
  </si>
  <si>
    <t>E02346</t>
  </si>
  <si>
    <t>E02347</t>
  </si>
  <si>
    <t>E02348</t>
  </si>
  <si>
    <t>E02349</t>
  </si>
  <si>
    <t>E02350</t>
  </si>
  <si>
    <t>E02351</t>
  </si>
  <si>
    <t>E02352</t>
  </si>
  <si>
    <t>E02353</t>
  </si>
  <si>
    <t>E02354</t>
  </si>
  <si>
    <t>E02355</t>
  </si>
  <si>
    <t>E02356</t>
  </si>
  <si>
    <t>E02357</t>
  </si>
  <si>
    <t>E02358</t>
  </si>
  <si>
    <t>E02359</t>
  </si>
  <si>
    <t>E02360</t>
  </si>
  <si>
    <t>E02361</t>
  </si>
  <si>
    <t>E02362</t>
  </si>
  <si>
    <t>E02364</t>
  </si>
  <si>
    <t>E02365</t>
  </si>
  <si>
    <t>E02366</t>
  </si>
  <si>
    <t>E02367</t>
  </si>
  <si>
    <t>E02368</t>
  </si>
  <si>
    <t>E02369</t>
  </si>
  <si>
    <t>E02370</t>
  </si>
  <si>
    <t>E02371</t>
  </si>
  <si>
    <t>E02372</t>
  </si>
  <si>
    <t>E02373</t>
  </si>
  <si>
    <t>E02374</t>
  </si>
  <si>
    <t>E02376</t>
  </si>
  <si>
    <t>E02377</t>
  </si>
  <si>
    <t>E02379</t>
  </si>
  <si>
    <t>E02380</t>
  </si>
  <si>
    <t>E02381</t>
  </si>
  <si>
    <t>E02382</t>
  </si>
  <si>
    <t>E02383</t>
  </si>
  <si>
    <t>E02384</t>
  </si>
  <si>
    <t>E02385</t>
  </si>
  <si>
    <t>E02386</t>
  </si>
  <si>
    <t>E02388</t>
  </si>
  <si>
    <t>E02389</t>
  </si>
  <si>
    <t>E02390</t>
  </si>
  <si>
    <t>E02392</t>
  </si>
  <si>
    <t>E02393</t>
  </si>
  <si>
    <t>E02394</t>
  </si>
  <si>
    <t>E02395</t>
  </si>
  <si>
    <t>E02396</t>
  </si>
  <si>
    <t>E02397</t>
  </si>
  <si>
    <t>E02398</t>
  </si>
  <si>
    <t>E02399</t>
  </si>
  <si>
    <t>E02400</t>
  </si>
  <si>
    <t>E02401</t>
  </si>
  <si>
    <t>E02402</t>
  </si>
  <si>
    <t>E02403</t>
  </si>
  <si>
    <t>E02404</t>
  </si>
  <si>
    <t>E02405</t>
  </si>
  <si>
    <t>E02406</t>
  </si>
  <si>
    <t>E02407</t>
  </si>
  <si>
    <t>E02408</t>
  </si>
  <si>
    <t>E02409</t>
  </si>
  <si>
    <t>E02410</t>
  </si>
  <si>
    <t>E02411</t>
  </si>
  <si>
    <t>E02412</t>
  </si>
  <si>
    <t>E02413</t>
  </si>
  <si>
    <t>E02414</t>
  </si>
  <si>
    <t>E02416</t>
  </si>
  <si>
    <t>E02418</t>
  </si>
  <si>
    <t>E02419</t>
  </si>
  <si>
    <t>E02422</t>
  </si>
  <si>
    <t>E02423</t>
  </si>
  <si>
    <t>E02424</t>
  </si>
  <si>
    <t>E02425</t>
  </si>
  <si>
    <t>E02426</t>
  </si>
  <si>
    <t>E02429</t>
  </si>
  <si>
    <t>E02430</t>
  </si>
  <si>
    <t>E02431</t>
  </si>
  <si>
    <t>E02432</t>
  </si>
  <si>
    <t>E02433</t>
  </si>
  <si>
    <t>E02434</t>
  </si>
  <si>
    <t>E02435</t>
  </si>
  <si>
    <t>E02436</t>
  </si>
  <si>
    <t>E02437</t>
  </si>
  <si>
    <t>E02438</t>
  </si>
  <si>
    <t>E02439</t>
  </si>
  <si>
    <t>E02441</t>
  </si>
  <si>
    <t>E02442</t>
  </si>
  <si>
    <t>E02443</t>
  </si>
  <si>
    <t>E02444</t>
  </si>
  <si>
    <t>E02445</t>
  </si>
  <si>
    <t>E02446</t>
  </si>
  <si>
    <t>E02447</t>
  </si>
  <si>
    <t>E02448</t>
  </si>
  <si>
    <t>E02449</t>
  </si>
  <si>
    <t>E02450</t>
  </si>
  <si>
    <t>E02451</t>
  </si>
  <si>
    <t>E02452</t>
  </si>
  <si>
    <t>E02454</t>
  </si>
  <si>
    <t>E02455</t>
  </si>
  <si>
    <t>E02456</t>
  </si>
  <si>
    <t>E02457</t>
  </si>
  <si>
    <t>E02458</t>
  </si>
  <si>
    <t>E02459</t>
  </si>
  <si>
    <t>E02460</t>
  </si>
  <si>
    <t>E02461</t>
  </si>
  <si>
    <t>E02462</t>
  </si>
  <si>
    <t>E02463</t>
  </si>
  <si>
    <t>E02465</t>
  </si>
  <si>
    <t>E02466</t>
  </si>
  <si>
    <t>E02467</t>
  </si>
  <si>
    <t>E02469</t>
  </si>
  <si>
    <t>E02470</t>
  </si>
  <si>
    <t>E02471</t>
  </si>
  <si>
    <t>E02472</t>
  </si>
  <si>
    <t>E02474</t>
  </si>
  <si>
    <t>E02475</t>
  </si>
  <si>
    <t>E02476</t>
  </si>
  <si>
    <t>E02479</t>
  </si>
  <si>
    <t>E02480</t>
  </si>
  <si>
    <t>E02481</t>
  </si>
  <si>
    <t>E02482</t>
  </si>
  <si>
    <t>E02483</t>
  </si>
  <si>
    <t>E02484</t>
  </si>
  <si>
    <t>E02485</t>
  </si>
  <si>
    <t>E02486</t>
  </si>
  <si>
    <t>E02487</t>
  </si>
  <si>
    <t>E02488</t>
  </si>
  <si>
    <t>E02490</t>
  </si>
  <si>
    <t>E02491</t>
  </si>
  <si>
    <t>E02493</t>
  </si>
  <si>
    <t>E02494</t>
  </si>
  <si>
    <t>E02495</t>
  </si>
  <si>
    <t>E02496</t>
  </si>
  <si>
    <t>E02497</t>
  </si>
  <si>
    <t>E02498</t>
  </si>
  <si>
    <t>E02499</t>
  </si>
  <si>
    <t>E02500</t>
  </si>
  <si>
    <t>E02501</t>
  </si>
  <si>
    <t>E02502</t>
  </si>
  <si>
    <t>E02503</t>
  </si>
  <si>
    <t>E02504</t>
  </si>
  <si>
    <t>E02505</t>
  </si>
  <si>
    <t>E02506</t>
  </si>
  <si>
    <t>E02507</t>
  </si>
  <si>
    <t>E02508</t>
  </si>
  <si>
    <t>E02509</t>
  </si>
  <si>
    <t>E02510</t>
  </si>
  <si>
    <t>E02511</t>
  </si>
  <si>
    <t>E02512</t>
  </si>
  <si>
    <t>E02513</t>
  </si>
  <si>
    <t>E02514</t>
  </si>
  <si>
    <t>E02515</t>
  </si>
  <si>
    <t>E02516</t>
  </si>
  <si>
    <t>E02517</t>
  </si>
  <si>
    <t>E02518</t>
  </si>
  <si>
    <t>E02519</t>
  </si>
  <si>
    <t>E02520</t>
  </si>
  <si>
    <t>E02523</t>
  </si>
  <si>
    <t>E02524</t>
  </si>
  <si>
    <t>E02525</t>
  </si>
  <si>
    <t>E02526</t>
  </si>
  <si>
    <t>E02527</t>
  </si>
  <si>
    <t>E02528</t>
  </si>
  <si>
    <t>E02529</t>
  </si>
  <si>
    <t>E02530</t>
  </si>
  <si>
    <t>E02532</t>
  </si>
  <si>
    <t>E02533</t>
  </si>
  <si>
    <t>E02536</t>
  </si>
  <si>
    <t>E02537</t>
  </si>
  <si>
    <t>E02538</t>
  </si>
  <si>
    <t>E02539</t>
  </si>
  <si>
    <t>E02540</t>
  </si>
  <si>
    <t>E02541</t>
  </si>
  <si>
    <t>E02542</t>
  </si>
  <si>
    <t>E02543</t>
  </si>
  <si>
    <t>E02544</t>
  </si>
  <si>
    <t>E02545</t>
  </si>
  <si>
    <t>E02546</t>
  </si>
  <si>
    <t>E02547</t>
  </si>
  <si>
    <t>E02548</t>
  </si>
  <si>
    <t>E02549</t>
  </si>
  <si>
    <t>E02550</t>
  </si>
  <si>
    <t>E02551</t>
  </si>
  <si>
    <t>E02552</t>
  </si>
  <si>
    <t>E02553</t>
  </si>
  <si>
    <t>E02556</t>
  </si>
  <si>
    <t>E02557</t>
  </si>
  <si>
    <t>E02559</t>
  </si>
  <si>
    <t>E02560</t>
  </si>
  <si>
    <t>E02564</t>
  </si>
  <si>
    <t>E02565</t>
  </si>
  <si>
    <t>E02566</t>
  </si>
  <si>
    <t>E02567</t>
  </si>
  <si>
    <t>E02568</t>
  </si>
  <si>
    <t>E02569</t>
  </si>
  <si>
    <t>E02570</t>
  </si>
  <si>
    <t>E02571</t>
  </si>
  <si>
    <t>E02573</t>
  </si>
  <si>
    <t>E02574</t>
  </si>
  <si>
    <t>E02575</t>
  </si>
  <si>
    <t>E02577</t>
  </si>
  <si>
    <t>E02578</t>
  </si>
  <si>
    <t>E02579</t>
  </si>
  <si>
    <t>E02580</t>
  </si>
  <si>
    <t>E02581</t>
  </si>
  <si>
    <t>E02582</t>
  </si>
  <si>
    <t>E02583</t>
  </si>
  <si>
    <t>E02584</t>
  </si>
  <si>
    <t>E02585</t>
  </si>
  <si>
    <t>E02586</t>
  </si>
  <si>
    <t>E02587</t>
  </si>
  <si>
    <t>E02588</t>
  </si>
  <si>
    <t>E02589</t>
  </si>
  <si>
    <t>E02590</t>
  </si>
  <si>
    <t>E02591</t>
  </si>
  <si>
    <t>E02592</t>
  </si>
  <si>
    <t>E02593</t>
  </si>
  <si>
    <t>E02595</t>
  </si>
  <si>
    <t>E02596</t>
  </si>
  <si>
    <t>E02597</t>
  </si>
  <si>
    <t>E02598</t>
  </si>
  <si>
    <t>E02600</t>
  </si>
  <si>
    <t>E02601</t>
  </si>
  <si>
    <t>E02602</t>
  </si>
  <si>
    <t>E02603</t>
  </si>
  <si>
    <t>E02605</t>
  </si>
  <si>
    <t>E02606</t>
  </si>
  <si>
    <t>E02607</t>
  </si>
  <si>
    <t>E02608</t>
  </si>
  <si>
    <t>E02609</t>
  </si>
  <si>
    <t>E02610</t>
  </si>
  <si>
    <t>E02611</t>
  </si>
  <si>
    <t>E02612</t>
  </si>
  <si>
    <t>E02614</t>
  </si>
  <si>
    <t>E02615</t>
  </si>
  <si>
    <t>E02616</t>
  </si>
  <si>
    <t>E02617</t>
  </si>
  <si>
    <t>E02618</t>
  </si>
  <si>
    <t>E02619</t>
  </si>
  <si>
    <t>E02620</t>
  </si>
  <si>
    <t>E02621</t>
  </si>
  <si>
    <t>E02622</t>
  </si>
  <si>
    <t>E02623</t>
  </si>
  <si>
    <t>E02624</t>
  </si>
  <si>
    <t>E02625</t>
  </si>
  <si>
    <t>E02626</t>
  </si>
  <si>
    <t>E02629</t>
  </si>
  <si>
    <t>E02630</t>
  </si>
  <si>
    <t>E02631</t>
  </si>
  <si>
    <t>E02634</t>
  </si>
  <si>
    <t>E02635</t>
  </si>
  <si>
    <t>E02636</t>
  </si>
  <si>
    <t>E02637</t>
  </si>
  <si>
    <t>E02638</t>
  </si>
  <si>
    <t>E02640</t>
  </si>
  <si>
    <t>E02641</t>
  </si>
  <si>
    <t>E02643</t>
  </si>
  <si>
    <t>E02644</t>
  </si>
  <si>
    <t>E02645</t>
  </si>
  <si>
    <t>E02646</t>
  </si>
  <si>
    <t>E02647</t>
  </si>
  <si>
    <t>E02648</t>
  </si>
  <si>
    <t>E02650</t>
  </si>
  <si>
    <t>E02651</t>
  </si>
  <si>
    <t>E02653</t>
  </si>
  <si>
    <t>E02654</t>
  </si>
  <si>
    <t>E02655</t>
  </si>
  <si>
    <t>E02656</t>
  </si>
  <si>
    <t>E02657</t>
  </si>
  <si>
    <t>E02658</t>
  </si>
  <si>
    <t>E02659</t>
  </si>
  <si>
    <t>E02660</t>
  </si>
  <si>
    <t>E02662</t>
  </si>
  <si>
    <t>E02663</t>
  </si>
  <si>
    <t>E02664</t>
  </si>
  <si>
    <t>E02666</t>
  </si>
  <si>
    <t>E02667</t>
  </si>
  <si>
    <t>E02668</t>
  </si>
  <si>
    <t>E02669</t>
  </si>
  <si>
    <t>E02670</t>
  </si>
  <si>
    <t>E02671</t>
  </si>
  <si>
    <t>E02672</t>
  </si>
  <si>
    <t>E02673</t>
  </si>
  <si>
    <t>E02674</t>
  </si>
  <si>
    <t>E02675</t>
  </si>
  <si>
    <t>E02676</t>
  </si>
  <si>
    <t>E02677</t>
  </si>
  <si>
    <t>E02679</t>
  </si>
  <si>
    <t>E02680</t>
  </si>
  <si>
    <t>E02682</t>
  </si>
  <si>
    <t>E02683</t>
  </si>
  <si>
    <t>E02685</t>
  </si>
  <si>
    <t>E02686</t>
  </si>
  <si>
    <t>E02688</t>
  </si>
  <si>
    <t>E02689</t>
  </si>
  <si>
    <t>E02690</t>
  </si>
  <si>
    <t>E02691</t>
  </si>
  <si>
    <t>E02692</t>
  </si>
  <si>
    <t>E02694</t>
  </si>
  <si>
    <t>E02695</t>
  </si>
  <si>
    <t>E02697</t>
  </si>
  <si>
    <t>E02698</t>
  </si>
  <si>
    <t>E02699</t>
  </si>
  <si>
    <t>E02700</t>
  </si>
  <si>
    <t>E02701</t>
  </si>
  <si>
    <t>E02702</t>
  </si>
  <si>
    <t>E02704</t>
  </si>
  <si>
    <t>E02705</t>
  </si>
  <si>
    <t>E02707</t>
  </si>
  <si>
    <t>E02708</t>
  </si>
  <si>
    <t>E02709</t>
  </si>
  <si>
    <t>E02711</t>
  </si>
  <si>
    <t>E02712</t>
  </si>
  <si>
    <t>E02713</t>
  </si>
  <si>
    <t>E02714</t>
  </si>
  <si>
    <t>E02715</t>
  </si>
  <si>
    <t>E02717</t>
  </si>
  <si>
    <t>E02718</t>
  </si>
  <si>
    <t>E02719</t>
  </si>
  <si>
    <t>E02721</t>
  </si>
  <si>
    <t>E02722</t>
  </si>
  <si>
    <t>E02723</t>
  </si>
  <si>
    <t>E02724</t>
  </si>
  <si>
    <t>E02725</t>
  </si>
  <si>
    <t>E02726</t>
  </si>
  <si>
    <t>E02727</t>
  </si>
  <si>
    <t>E02729</t>
  </si>
  <si>
    <t>E02731</t>
  </si>
  <si>
    <t>E02733</t>
  </si>
  <si>
    <t>E02734</t>
  </si>
  <si>
    <t>E02735</t>
  </si>
  <si>
    <t>E02736</t>
  </si>
  <si>
    <t>E02737</t>
  </si>
  <si>
    <t>E02738</t>
  </si>
  <si>
    <t>E02739</t>
  </si>
  <si>
    <t>E02740</t>
  </si>
  <si>
    <t>E02741</t>
  </si>
  <si>
    <t>E02742</t>
  </si>
  <si>
    <t>E02743</t>
  </si>
  <si>
    <t>E02745</t>
  </si>
  <si>
    <t>E02746</t>
  </si>
  <si>
    <t>E02749</t>
  </si>
  <si>
    <t>E02750</t>
  </si>
  <si>
    <t>E02751</t>
  </si>
  <si>
    <t>E02752</t>
  </si>
  <si>
    <t>E02753</t>
  </si>
  <si>
    <t>E02754</t>
  </si>
  <si>
    <t>E02755</t>
  </si>
  <si>
    <t>E02756</t>
  </si>
  <si>
    <t>E02757</t>
  </si>
  <si>
    <t>E02758</t>
  </si>
  <si>
    <t>E02759</t>
  </si>
  <si>
    <t>E02760</t>
  </si>
  <si>
    <t>E02762</t>
  </si>
  <si>
    <t>E02763</t>
  </si>
  <si>
    <t>E02764</t>
  </si>
  <si>
    <t>E02765</t>
  </si>
  <si>
    <t>E02766</t>
  </si>
  <si>
    <t>E02767</t>
  </si>
  <si>
    <t>E02768</t>
  </si>
  <si>
    <t>E02771</t>
  </si>
  <si>
    <t>E02772</t>
  </si>
  <si>
    <t>E02773</t>
  </si>
  <si>
    <t>E02774</t>
  </si>
  <si>
    <t>E02775</t>
  </si>
  <si>
    <t>E02776</t>
  </si>
  <si>
    <t>E02777</t>
  </si>
  <si>
    <t>E02778</t>
  </si>
  <si>
    <t>E02779</t>
  </si>
  <si>
    <t>E02780</t>
  </si>
  <si>
    <t>E02782</t>
  </si>
  <si>
    <t>E02784</t>
  </si>
  <si>
    <t>E02785</t>
  </si>
  <si>
    <t>E02786</t>
  </si>
  <si>
    <t>E02787</t>
  </si>
  <si>
    <t>E02788</t>
  </si>
  <si>
    <t>E02789</t>
  </si>
  <si>
    <t>E02790</t>
  </si>
  <si>
    <t>E02792</t>
  </si>
  <si>
    <t>E02793</t>
  </si>
  <si>
    <t>E02794</t>
  </si>
  <si>
    <t>E02795</t>
  </si>
  <si>
    <t>E02796</t>
  </si>
  <si>
    <t>E02797</t>
  </si>
  <si>
    <t>E02799</t>
  </si>
  <si>
    <t>E02804</t>
  </si>
  <si>
    <t>E02805</t>
  </si>
  <si>
    <t>E02806</t>
  </si>
  <si>
    <t>E02807</t>
  </si>
  <si>
    <t>E02808</t>
  </si>
  <si>
    <t>E02809</t>
  </si>
  <si>
    <t>E02811</t>
  </si>
  <si>
    <t>E02812</t>
  </si>
  <si>
    <t>E02814</t>
  </si>
  <si>
    <t>E02815</t>
  </si>
  <si>
    <t>E02816</t>
  </si>
  <si>
    <t>E02817</t>
  </si>
  <si>
    <t>E02819</t>
  </si>
  <si>
    <t>E02820</t>
  </si>
  <si>
    <t>E02821</t>
  </si>
  <si>
    <t>E02822</t>
  </si>
  <si>
    <t>E02823</t>
  </si>
  <si>
    <t>E02824</t>
  </si>
  <si>
    <t>E02826</t>
  </si>
  <si>
    <t>E02827</t>
  </si>
  <si>
    <t>E02828</t>
  </si>
  <si>
    <t>E02829</t>
  </si>
  <si>
    <t>E02830</t>
  </si>
  <si>
    <t>E02831</t>
  </si>
  <si>
    <t>E02834</t>
  </si>
  <si>
    <t>E02835</t>
  </si>
  <si>
    <t>E02836</t>
  </si>
  <si>
    <t>E02837</t>
  </si>
  <si>
    <t>E02839</t>
  </si>
  <si>
    <t>E02840</t>
  </si>
  <si>
    <t>E02841</t>
  </si>
  <si>
    <t>E02842</t>
  </si>
  <si>
    <t>E02845</t>
  </si>
  <si>
    <t>E02847</t>
  </si>
  <si>
    <t>E02849</t>
  </si>
  <si>
    <t>E02851</t>
  </si>
  <si>
    <t>E02852</t>
  </si>
  <si>
    <t>E02853</t>
  </si>
  <si>
    <t>E02854</t>
  </si>
  <si>
    <t>E02858</t>
  </si>
  <si>
    <t>E02859</t>
  </si>
  <si>
    <t>E02860</t>
  </si>
  <si>
    <t>E02863</t>
  </si>
  <si>
    <t>E02864</t>
  </si>
  <si>
    <t>E02865</t>
  </si>
  <si>
    <t>E02866</t>
  </si>
  <si>
    <t>E02867</t>
  </si>
  <si>
    <t>E02868</t>
  </si>
  <si>
    <t>E02869</t>
  </si>
  <si>
    <t>E02870</t>
  </si>
  <si>
    <t>E02871</t>
  </si>
  <si>
    <t>E02873</t>
  </si>
  <si>
    <t>E02874</t>
  </si>
  <si>
    <t>E02876</t>
  </si>
  <si>
    <t>E02878</t>
  </si>
  <si>
    <t>E02879</t>
  </si>
  <si>
    <t>E02880</t>
  </si>
  <si>
    <t>E02882</t>
  </si>
  <si>
    <t>E02883</t>
  </si>
  <si>
    <t>E02885</t>
  </si>
  <si>
    <t>E02886</t>
  </si>
  <si>
    <t>E02887</t>
  </si>
  <si>
    <t>E02890</t>
  </si>
  <si>
    <t>E02891</t>
  </si>
  <si>
    <t>E02892</t>
  </si>
  <si>
    <t>E02893</t>
  </si>
  <si>
    <t>E02894</t>
  </si>
  <si>
    <t>E02896</t>
  </si>
  <si>
    <t>E02897</t>
  </si>
  <si>
    <t>E02898</t>
  </si>
  <si>
    <t>E02901</t>
  </si>
  <si>
    <t>E02902</t>
  </si>
  <si>
    <t>E02904</t>
  </si>
  <si>
    <t>E02905</t>
  </si>
  <si>
    <t>E02906</t>
  </si>
  <si>
    <t>E02908</t>
  </si>
  <si>
    <t>E02909</t>
  </si>
  <si>
    <t>E02910</t>
  </si>
  <si>
    <t>E02911</t>
  </si>
  <si>
    <t>E02912</t>
  </si>
  <si>
    <t>E02913</t>
  </si>
  <si>
    <t>E02915</t>
  </si>
  <si>
    <t>E02916</t>
  </si>
  <si>
    <t>E02918</t>
  </si>
  <si>
    <t>E02919</t>
  </si>
  <si>
    <t>E02921</t>
  </si>
  <si>
    <t>E02922</t>
  </si>
  <si>
    <t>E02924</t>
  </si>
  <si>
    <t>E02925</t>
  </si>
  <si>
    <t>E02926</t>
  </si>
  <si>
    <t>E02927</t>
  </si>
  <si>
    <t>E02928</t>
  </si>
  <si>
    <t>E02929</t>
  </si>
  <si>
    <t>E02930</t>
  </si>
  <si>
    <t>E02931</t>
  </si>
  <si>
    <t>E02932</t>
  </si>
  <si>
    <t>E02933</t>
  </si>
  <si>
    <t>E02934</t>
  </si>
  <si>
    <t>E02935</t>
  </si>
  <si>
    <t>E02936</t>
  </si>
  <si>
    <t>E02937</t>
  </si>
  <si>
    <t>E02940</t>
  </si>
  <si>
    <t>E02941</t>
  </si>
  <si>
    <t>E02945</t>
  </si>
  <si>
    <t>E02946</t>
  </si>
  <si>
    <t>E02947</t>
  </si>
  <si>
    <t>E02948</t>
  </si>
  <si>
    <t>E02949</t>
  </si>
  <si>
    <t>E02950</t>
  </si>
  <si>
    <t>E02951</t>
  </si>
  <si>
    <t>E02952</t>
  </si>
  <si>
    <t>E02953</t>
  </si>
  <si>
    <t>E02954</t>
  </si>
  <si>
    <t>E02955</t>
  </si>
  <si>
    <t>E02956</t>
  </si>
  <si>
    <t>E02957</t>
  </si>
  <si>
    <t>E02958</t>
  </si>
  <si>
    <t>E02959</t>
  </si>
  <si>
    <t>E02961</t>
  </si>
  <si>
    <t>E02962</t>
  </si>
  <si>
    <t>E02963</t>
  </si>
  <si>
    <t>E02964</t>
  </si>
  <si>
    <t>E02967</t>
  </si>
  <si>
    <t>E02969</t>
  </si>
  <si>
    <t>E02970</t>
  </si>
  <si>
    <t>E02972</t>
  </si>
  <si>
    <t>E02973</t>
  </si>
  <si>
    <t>E02974</t>
  </si>
  <si>
    <t>E02975</t>
  </si>
  <si>
    <t>E02976</t>
  </si>
  <si>
    <t>E02978</t>
  </si>
  <si>
    <t>E02979</t>
  </si>
  <si>
    <t>E02981</t>
  </si>
  <si>
    <t>E02982</t>
  </si>
  <si>
    <t>E02983</t>
  </si>
  <si>
    <t>E02985</t>
  </si>
  <si>
    <t>E02986</t>
  </si>
  <si>
    <t>E02988</t>
  </si>
  <si>
    <t>E02989</t>
  </si>
  <si>
    <t>E02990</t>
  </si>
  <si>
    <t>E02991</t>
  </si>
  <si>
    <t>E02993</t>
  </si>
  <si>
    <t>E02994</t>
  </si>
  <si>
    <t>E02995</t>
  </si>
  <si>
    <t>E02996</t>
  </si>
  <si>
    <t>E02997</t>
  </si>
  <si>
    <t>E02998</t>
  </si>
  <si>
    <t>E02999</t>
  </si>
  <si>
    <t>E03001</t>
  </si>
  <si>
    <t>Kai Le</t>
  </si>
  <si>
    <t>Robert Patel</t>
  </si>
  <si>
    <t>Cameron Lo</t>
  </si>
  <si>
    <t>Harper Castillo</t>
  </si>
  <si>
    <t>Harper Dominguez</t>
  </si>
  <si>
    <t>Ezra Vu</t>
  </si>
  <si>
    <t>Jade Hu</t>
  </si>
  <si>
    <t>Specialty Products</t>
  </si>
  <si>
    <t>Miles Chang</t>
  </si>
  <si>
    <t>Gianna Holmes</t>
  </si>
  <si>
    <t>Jameson Thomas</t>
  </si>
  <si>
    <t>Jameson Pena</t>
  </si>
  <si>
    <t>Bella Wu</t>
  </si>
  <si>
    <t>Jose Wong</t>
  </si>
  <si>
    <t>Lucas Richardson</t>
  </si>
  <si>
    <t>Jacob Moore</t>
  </si>
  <si>
    <t>Sr. Manager</t>
  </si>
  <si>
    <t>Luna Lu</t>
  </si>
  <si>
    <t>Bella Tran</t>
  </si>
  <si>
    <t>Ivy Chau</t>
  </si>
  <si>
    <t>Jordan Kumar</t>
  </si>
  <si>
    <t>Sophia Gutierrez</t>
  </si>
  <si>
    <t>Eli Dang</t>
  </si>
  <si>
    <t>Lillian Lewis</t>
  </si>
  <si>
    <t>Serenity Cao</t>
  </si>
  <si>
    <t>Parker Lai</t>
  </si>
  <si>
    <t>Charles Simmons</t>
  </si>
  <si>
    <t>Jayden Luu</t>
  </si>
  <si>
    <t>Brooks Richardson</t>
  </si>
  <si>
    <t>Ivy Thompson</t>
  </si>
  <si>
    <t>Peyton Wright</t>
  </si>
  <si>
    <t>Wyatt Dinh</t>
  </si>
  <si>
    <t>Ruby Alexander</t>
  </si>
  <si>
    <t>Axel Oh</t>
  </si>
  <si>
    <t>Axel Ramirez</t>
  </si>
  <si>
    <t>Liliana Chang</t>
  </si>
  <si>
    <t>Leonardo Carter</t>
  </si>
  <si>
    <t>Landon Gonzales</t>
  </si>
  <si>
    <t>Amelia Dominguez</t>
  </si>
  <si>
    <t>Rio de Janeiro</t>
  </si>
  <si>
    <t>Silas Ross</t>
  </si>
  <si>
    <t>Jeremiah Cheng</t>
  </si>
  <si>
    <t>Chloe Chin</t>
  </si>
  <si>
    <t>Ella Martinez</t>
  </si>
  <si>
    <t>Gianna Jones</t>
  </si>
  <si>
    <t>Austin Chow</t>
  </si>
  <si>
    <t>Ella Chen</t>
  </si>
  <si>
    <t>Ruby Kaur</t>
  </si>
  <si>
    <t>Savannah Morales</t>
  </si>
  <si>
    <t>Luca Powell</t>
  </si>
  <si>
    <t>Parker Thao</t>
  </si>
  <si>
    <t>Ryan Vo</t>
  </si>
  <si>
    <t>Isabella Ngo</t>
  </si>
  <si>
    <t>Leah Vega</t>
  </si>
  <si>
    <t>Jaxson Liu</t>
  </si>
  <si>
    <t>Santiago f Ross</t>
  </si>
  <si>
    <t>Layla Bell</t>
  </si>
  <si>
    <t>Bella Morales</t>
  </si>
  <si>
    <t>Eliza Kang</t>
  </si>
  <si>
    <t>Gabriel Reyes</t>
  </si>
  <si>
    <t>Piper Garcia</t>
  </si>
  <si>
    <t>Nathan Hong</t>
  </si>
  <si>
    <t>Chloe Kim</t>
  </si>
  <si>
    <t>Isaac Guzman</t>
  </si>
  <si>
    <t>Julian Ford</t>
  </si>
  <si>
    <t>Kinsley Liang</t>
  </si>
  <si>
    <t>Wesley Yu</t>
  </si>
  <si>
    <t>Serenity Martin</t>
  </si>
  <si>
    <t>Ethan Sanchez</t>
  </si>
  <si>
    <t>David Sanchez</t>
  </si>
  <si>
    <t>Elias Hsu</t>
  </si>
  <si>
    <t>Luca Phan</t>
  </si>
  <si>
    <t>Olivia Xi</t>
  </si>
  <si>
    <t>Alice Luu</t>
  </si>
  <si>
    <t>Leonardo Ng</t>
  </si>
  <si>
    <t>Peyton Edwards</t>
  </si>
  <si>
    <t>Axel Patel</t>
  </si>
  <si>
    <t>Eva Chavez</t>
  </si>
  <si>
    <t>Savannah Lee</t>
  </si>
  <si>
    <t>Mia Grant</t>
  </si>
  <si>
    <t>Eloise Perry</t>
  </si>
  <si>
    <t>Ian Cheng</t>
  </si>
  <si>
    <t>Penelope Chan</t>
  </si>
  <si>
    <t>Sofia Vasquez</t>
  </si>
  <si>
    <t>Anthony Baker</t>
  </si>
  <si>
    <t>Lucas Luong</t>
  </si>
  <si>
    <t>Xavier Patel</t>
  </si>
  <si>
    <t>Robert Soto</t>
  </si>
  <si>
    <t>Nevaeh Jiang</t>
  </si>
  <si>
    <t>Chloe Reyes</t>
  </si>
  <si>
    <t>Lucy Edwards</t>
  </si>
  <si>
    <t>Luna Edwards</t>
  </si>
  <si>
    <t>Stella Daniels</t>
  </si>
  <si>
    <t>Ayla Ma</t>
  </si>
  <si>
    <t>Matthew Avila</t>
  </si>
  <si>
    <t>Gianna Lim</t>
  </si>
  <si>
    <t>Joseph Tan</t>
  </si>
  <si>
    <t>Connor Lai</t>
  </si>
  <si>
    <t>Ava Owens</t>
  </si>
  <si>
    <t>Dylan Aguilar</t>
  </si>
  <si>
    <t>Leah Zheng</t>
  </si>
  <si>
    <t>Jade Pham</t>
  </si>
  <si>
    <t>Theodore Bui</t>
  </si>
  <si>
    <t>Asher Chan</t>
  </si>
  <si>
    <t>Ezekiel Brown</t>
  </si>
  <si>
    <t>Peyton Allen</t>
  </si>
  <si>
    <t>Parker Joseph</t>
  </si>
  <si>
    <t>Kayden Ortiz</t>
  </si>
  <si>
    <t>Lillian Desai</t>
  </si>
  <si>
    <t>Avery Gutierrez</t>
  </si>
  <si>
    <t>Caroline Sandoval</t>
  </si>
  <si>
    <t>Hailey Lim</t>
  </si>
  <si>
    <t>Roman Liang</t>
  </si>
  <si>
    <t>Elias Rojas</t>
  </si>
  <si>
    <t>Quinn Lai</t>
  </si>
  <si>
    <t>Clara Le</t>
  </si>
  <si>
    <t>Chloe Yoon</t>
  </si>
  <si>
    <t>Abigail Simmons</t>
  </si>
  <si>
    <t>Ayla Espinoza</t>
  </si>
  <si>
    <t>Sadie Singh</t>
  </si>
  <si>
    <t>Aaron Powell</t>
  </si>
  <si>
    <t>Jameson Vargas</t>
  </si>
  <si>
    <t>Logan Young</t>
  </si>
  <si>
    <t>Wyatt Cheung</t>
  </si>
  <si>
    <t>Lucas Zhu</t>
  </si>
  <si>
    <t>Emily Hong</t>
  </si>
  <si>
    <t>Luke Ramos</t>
  </si>
  <si>
    <t>Maya Gupta</t>
  </si>
  <si>
    <t>Eliana Ha</t>
  </si>
  <si>
    <t>Lillian Cheng</t>
  </si>
  <si>
    <t>Alexander Pena</t>
  </si>
  <si>
    <t>Leonardo Mai</t>
  </si>
  <si>
    <t>Jack Phillips</t>
  </si>
  <si>
    <t>Scarlett Delgado</t>
  </si>
  <si>
    <t>Jack Rogers</t>
  </si>
  <si>
    <t>Violet Huynh</t>
  </si>
  <si>
    <t>Victoria Park</t>
  </si>
  <si>
    <t>Elizabeth Rodriguez</t>
  </si>
  <si>
    <t>Samuel Kumar</t>
  </si>
  <si>
    <t>Zoe Maldonado</t>
  </si>
  <si>
    <t>Natalia Richardson</t>
  </si>
  <si>
    <t>Madeline Contreras</t>
  </si>
  <si>
    <t>Raelynn Espinoza</t>
  </si>
  <si>
    <t>Noah Rojas</t>
  </si>
  <si>
    <t>Jack Ramos</t>
  </si>
  <si>
    <t>Riley King</t>
  </si>
  <si>
    <t>Naomi Lee</t>
  </si>
  <si>
    <t>Caleb Jones</t>
  </si>
  <si>
    <t>Peyton Alvarado</t>
  </si>
  <si>
    <t>Luca Liu</t>
  </si>
  <si>
    <t>Christian Johnson</t>
  </si>
  <si>
    <t>Kinsley Gonzales</t>
  </si>
  <si>
    <t>Hunter Yoon</t>
  </si>
  <si>
    <t>Elias Dixon</t>
  </si>
  <si>
    <t>Owen Guerrero</t>
  </si>
  <si>
    <t>Lucas Lo</t>
  </si>
  <si>
    <t>Hunter Mitchell</t>
  </si>
  <si>
    <t>Eliana Bailey</t>
  </si>
  <si>
    <t>Gabriella Choi</t>
  </si>
  <si>
    <t>Evelyn Alvarado</t>
  </si>
  <si>
    <t>Wyatt Chan</t>
  </si>
  <si>
    <t>Sarah Johnson</t>
  </si>
  <si>
    <t>Brooks Evans</t>
  </si>
  <si>
    <t>Isaiah Dixon</t>
  </si>
  <si>
    <t>Addison Lo</t>
  </si>
  <si>
    <t>Nolan Howard</t>
  </si>
  <si>
    <t>Paisley Dominguez</t>
  </si>
  <si>
    <t>Eliana Ho</t>
  </si>
  <si>
    <t>Charles Miller</t>
  </si>
  <si>
    <t>Mia Jiang</t>
  </si>
  <si>
    <t>Skylar Parker</t>
  </si>
  <si>
    <t>Zoey Leung</t>
  </si>
  <si>
    <t>Austin Moua</t>
  </si>
  <si>
    <t>Christopher Robinson</t>
  </si>
  <si>
    <t>Jayden Zhang</t>
  </si>
  <si>
    <t>Cora Mejia</t>
  </si>
  <si>
    <t>Julian Harris</t>
  </si>
  <si>
    <t>Anthony Espinoza</t>
  </si>
  <si>
    <t>Aubrey Ruiz</t>
  </si>
  <si>
    <t>Piper Tang</t>
  </si>
  <si>
    <t>Colton Delgado</t>
  </si>
  <si>
    <t>Madeline Chung</t>
  </si>
  <si>
    <t>Ariana Sharma</t>
  </si>
  <si>
    <t>Julian Marquez</t>
  </si>
  <si>
    <t>Logan Reyes</t>
  </si>
  <si>
    <t>Penelope Mai</t>
  </si>
  <si>
    <t>Ryan Reed</t>
  </si>
  <si>
    <t>Grayson Hwang</t>
  </si>
  <si>
    <t>Ezra Tan</t>
  </si>
  <si>
    <t>David Ha</t>
  </si>
  <si>
    <t>Lillian Vang</t>
  </si>
  <si>
    <t>Sofia Zhang</t>
  </si>
  <si>
    <t>Athena Daniels</t>
  </si>
  <si>
    <t>Jameson Shin</t>
  </si>
  <si>
    <t>Everly Avila</t>
  </si>
  <si>
    <t>Liam Nelson</t>
  </si>
  <si>
    <t>Theodore Lai</t>
  </si>
  <si>
    <t>Caroline Do</t>
  </si>
  <si>
    <t>Josiah Ramos</t>
  </si>
  <si>
    <t>Colton Alexander</t>
  </si>
  <si>
    <t>Charles Ramos</t>
  </si>
  <si>
    <t>Ellie Wilson</t>
  </si>
  <si>
    <t>Peyton Powell</t>
  </si>
  <si>
    <t>Hailey Rojas</t>
  </si>
  <si>
    <t>Kai Singh</t>
  </si>
  <si>
    <t>Ryan Rivera</t>
  </si>
  <si>
    <t>Everett Lu</t>
  </si>
  <si>
    <t>Layla Nunez</t>
  </si>
  <si>
    <t>Liliana Collins</t>
  </si>
  <si>
    <t>Ezekiel Jenkins</t>
  </si>
  <si>
    <t>Christopher Wang</t>
  </si>
  <si>
    <t>Savannah Rodriguez</t>
  </si>
  <si>
    <t>Lyla Turner</t>
  </si>
  <si>
    <t>Adrian Ngo</t>
  </si>
  <si>
    <t>Aria Juarez</t>
  </si>
  <si>
    <t>Audrey Ramos</t>
  </si>
  <si>
    <t>Hazel Cho</t>
  </si>
  <si>
    <t>Iris Chung</t>
  </si>
  <si>
    <t>Thomas Rodriguez</t>
  </si>
  <si>
    <t>Avery Lo</t>
  </si>
  <si>
    <t>Gabriel Bell</t>
  </si>
  <si>
    <t>Gianna Walker</t>
  </si>
  <si>
    <t>Axel Bailey</t>
  </si>
  <si>
    <t>Scarlett Green</t>
  </si>
  <si>
    <t>Jackson Wong</t>
  </si>
  <si>
    <t>Eva Jimenez</t>
  </si>
  <si>
    <t>Ian Ma</t>
  </si>
  <si>
    <t>Luna Castro</t>
  </si>
  <si>
    <t>Nolan Brooks</t>
  </si>
  <si>
    <t>Jayden Jones</t>
  </si>
  <si>
    <t>Asher Hsu</t>
  </si>
  <si>
    <t>Greyson Lim</t>
  </si>
  <si>
    <t>Chloe Miller</t>
  </si>
  <si>
    <t>Jaxson Brooks</t>
  </si>
  <si>
    <t>Jack Perez</t>
  </si>
  <si>
    <t>Ruby Reed</t>
  </si>
  <si>
    <t>Ivy Rojas</t>
  </si>
  <si>
    <t>Hudson Wong</t>
  </si>
  <si>
    <t>Ryan Yi</t>
  </si>
  <si>
    <t>Carter Simmons</t>
  </si>
  <si>
    <t>Emilia Xu</t>
  </si>
  <si>
    <t>Adam Medina</t>
  </si>
  <si>
    <t>Connor Howard</t>
  </si>
  <si>
    <t>Audrey Duong</t>
  </si>
  <si>
    <t>Landon Reyes</t>
  </si>
  <si>
    <t>Noah Ma</t>
  </si>
  <si>
    <t>Lucas Alexander</t>
  </si>
  <si>
    <t>Henry Vo</t>
  </si>
  <si>
    <t>Mila Han</t>
  </si>
  <si>
    <t>Genesis Herrera</t>
  </si>
  <si>
    <t>Olivia Vazquez</t>
  </si>
  <si>
    <t>Leilani Ng</t>
  </si>
  <si>
    <t>Olivia Mendoza</t>
  </si>
  <si>
    <t>Skylar Xu</t>
  </si>
  <si>
    <t>Eloise Williams</t>
  </si>
  <si>
    <t>Jackson Maldonado</t>
  </si>
  <si>
    <t>Christian Harris</t>
  </si>
  <si>
    <t>Penelope Santos</t>
  </si>
  <si>
    <t>Nicholas Zhou</t>
  </si>
  <si>
    <t>Ayla Garza</t>
  </si>
  <si>
    <t>Carson Mai</t>
  </si>
  <si>
    <t>Anthony Ho</t>
  </si>
  <si>
    <t>Clara Lopez</t>
  </si>
  <si>
    <t>Melody Woods</t>
  </si>
  <si>
    <t>Matthew Simmons</t>
  </si>
  <si>
    <t>Gabriella Carrillo</t>
  </si>
  <si>
    <t>Lydia Juarez</t>
  </si>
  <si>
    <t>Ava Carrillo</t>
  </si>
  <si>
    <t>Elena Sharma</t>
  </si>
  <si>
    <t>Julia Ahmed</t>
  </si>
  <si>
    <t>Iris Vo</t>
  </si>
  <si>
    <t>Hunter Yi</t>
  </si>
  <si>
    <t>Valentina Oh</t>
  </si>
  <si>
    <t>Kinsley Tran</t>
  </si>
  <si>
    <t>Christian Hong</t>
  </si>
  <si>
    <t>Amelia Mehta</t>
  </si>
  <si>
    <t>Axel Leung</t>
  </si>
  <si>
    <t>Lucas Lam</t>
  </si>
  <si>
    <t>Jose Thompson</t>
  </si>
  <si>
    <t>Wesley Duong</t>
  </si>
  <si>
    <t>Adeline Maldonado</t>
  </si>
  <si>
    <t>Elias Diaz</t>
  </si>
  <si>
    <t>Wyatt Aguilar</t>
  </si>
  <si>
    <t>Josephine Espinoza</t>
  </si>
  <si>
    <t>Adeline Lai</t>
  </si>
  <si>
    <t>Christopher Vu</t>
  </si>
  <si>
    <t>Kai Vega</t>
  </si>
  <si>
    <t>Hailey Chin</t>
  </si>
  <si>
    <t>Eleanor Xi</t>
  </si>
  <si>
    <t>Lily Molina</t>
  </si>
  <si>
    <t>Levi Vasquez</t>
  </si>
  <si>
    <t>Elijah Washington</t>
  </si>
  <si>
    <t>Gianna Park</t>
  </si>
  <si>
    <t>Melody Leung</t>
  </si>
  <si>
    <t>Liliana Valdez</t>
  </si>
  <si>
    <t>Ruby Rahman</t>
  </si>
  <si>
    <t>Natalie Stewart</t>
  </si>
  <si>
    <t>Charlotte Lim</t>
  </si>
  <si>
    <t>Elena Campos</t>
  </si>
  <si>
    <t>Vivian Lim</t>
  </si>
  <si>
    <t>Madison Xu</t>
  </si>
  <si>
    <t>Ava Aguilar</t>
  </si>
  <si>
    <t>Kayden Patel</t>
  </si>
  <si>
    <t>Penelope Desai</t>
  </si>
  <si>
    <t>Henry Vang</t>
  </si>
  <si>
    <t>Charlotte Tran</t>
  </si>
  <si>
    <t>Matthew Harris</t>
  </si>
  <si>
    <t>Emilia Barnes</t>
  </si>
  <si>
    <t>Sophie Griffin</t>
  </si>
  <si>
    <t>Kai Phillips</t>
  </si>
  <si>
    <t>Dylan Khan</t>
  </si>
  <si>
    <t>Nevaeh Clark</t>
  </si>
  <si>
    <t>Carter Luu</t>
  </si>
  <si>
    <t>Jordan Ngo</t>
  </si>
  <si>
    <t>Jackson Hu</t>
  </si>
  <si>
    <t>Madelyn Kang</t>
  </si>
  <si>
    <t>Everleigh Bell</t>
  </si>
  <si>
    <t>Eliana Trinh</t>
  </si>
  <si>
    <t>Oliver Ford</t>
  </si>
  <si>
    <t>Ryan Huang</t>
  </si>
  <si>
    <t>Gabriel Ahmed</t>
  </si>
  <si>
    <t>Ivy Rios</t>
  </si>
  <si>
    <t>Luca Hunter</t>
  </si>
  <si>
    <t>Claire Owens</t>
  </si>
  <si>
    <t>Aubrey Maldonado</t>
  </si>
  <si>
    <t>Elias Vasquez</t>
  </si>
  <si>
    <t>Melody Luu</t>
  </si>
  <si>
    <t>Christopher Luu</t>
  </si>
  <si>
    <t>James Han</t>
  </si>
  <si>
    <t>Jaxson Ayala</t>
  </si>
  <si>
    <t>Levi James</t>
  </si>
  <si>
    <t>Grayson Carrillo</t>
  </si>
  <si>
    <t>Maverick Hwang</t>
  </si>
  <si>
    <t>Noah Truong</t>
  </si>
  <si>
    <t>Willow Guzman</t>
  </si>
  <si>
    <t>Rylee Howard</t>
  </si>
  <si>
    <t>Ian Marquez</t>
  </si>
  <si>
    <t>Layla Owens</t>
  </si>
  <si>
    <t>Chloe Dixon</t>
  </si>
  <si>
    <t>Emily Zheng</t>
  </si>
  <si>
    <t>Jayden Rogers</t>
  </si>
  <si>
    <t>Elizabeth Vasquez</t>
  </si>
  <si>
    <t>Samantha Ford</t>
  </si>
  <si>
    <t>Thomas Silva</t>
  </si>
  <si>
    <t>Charlotte Park</t>
  </si>
  <si>
    <t>Liam Jimenez</t>
  </si>
  <si>
    <t>Ivy Liu</t>
  </si>
  <si>
    <t>Jayden Dixon</t>
  </si>
  <si>
    <t>Nevaeh Butler</t>
  </si>
  <si>
    <t>Leonardo Li</t>
  </si>
  <si>
    <t>Kinsley Woods</t>
  </si>
  <si>
    <t>Abigail Chu</t>
  </si>
  <si>
    <t>Ava Xiong</t>
  </si>
  <si>
    <t>Olivia Marquez</t>
  </si>
  <si>
    <t>Claire Vazquez</t>
  </si>
  <si>
    <t>Christian Castro</t>
  </si>
  <si>
    <t>Mason Oh</t>
  </si>
  <si>
    <t>Violet Santiago</t>
  </si>
  <si>
    <t>Lily Rios</t>
  </si>
  <si>
    <t>Kinsley Stewart</t>
  </si>
  <si>
    <t>Aria Molina</t>
  </si>
  <si>
    <t>James Cheng</t>
  </si>
  <si>
    <t>Mila Vang</t>
  </si>
  <si>
    <t>Alice Liu</t>
  </si>
  <si>
    <t>Delilah Gonzalez</t>
  </si>
  <si>
    <t>Samuel Tang</t>
  </si>
  <si>
    <t>Serenity Gray</t>
  </si>
  <si>
    <t>Benjamin Estrada</t>
  </si>
  <si>
    <t>Wesley Han</t>
  </si>
  <si>
    <t>Nora Herrera</t>
  </si>
  <si>
    <t>Lincoln Harris</t>
  </si>
  <si>
    <t>Charles Gonzales</t>
  </si>
  <si>
    <t>Athena Cheng</t>
  </si>
  <si>
    <t>David Garza</t>
  </si>
  <si>
    <t>Hunter Doan</t>
  </si>
  <si>
    <t>Julian Lam</t>
  </si>
  <si>
    <t>Sofia Estrada</t>
  </si>
  <si>
    <t>Jordan Chen</t>
  </si>
  <si>
    <t>Eloise Huang</t>
  </si>
  <si>
    <t>Ivy Mehta</t>
  </si>
  <si>
    <t>Eli Castillo</t>
  </si>
  <si>
    <t>Nolan Garcia</t>
  </si>
  <si>
    <t>Alexander Zhu</t>
  </si>
  <si>
    <t>Victoria Wu</t>
  </si>
  <si>
    <t>Mateo Jordan</t>
  </si>
  <si>
    <t>Everly Martin</t>
  </si>
  <si>
    <t>Athena Castro</t>
  </si>
  <si>
    <t>Josephine White</t>
  </si>
  <si>
    <t>Nicholas Vo</t>
  </si>
  <si>
    <t>Jackson Sandoval</t>
  </si>
  <si>
    <t>Olivia Turner</t>
  </si>
  <si>
    <t>Cooper Rivera</t>
  </si>
  <si>
    <t>Hailey Washington</t>
  </si>
  <si>
    <t>Mia Vasquez</t>
  </si>
  <si>
    <t>Jose Grant</t>
  </si>
  <si>
    <t>Nathan Yee</t>
  </si>
  <si>
    <t>Isabella Munoz</t>
  </si>
  <si>
    <t>Michael Turner</t>
  </si>
  <si>
    <t>Oliver Jones</t>
  </si>
  <si>
    <t>Charles Taylor</t>
  </si>
  <si>
    <t>Gianna Alvarez</t>
  </si>
  <si>
    <t>Nova Martin</t>
  </si>
  <si>
    <t>Julia Gonzalez</t>
  </si>
  <si>
    <t>Caroline Bui</t>
  </si>
  <si>
    <t>Daniel Ali</t>
  </si>
  <si>
    <t>Iris Huang</t>
  </si>
  <si>
    <t>Natalia Cheng</t>
  </si>
  <si>
    <t>Owen Evans</t>
  </si>
  <si>
    <t>Angel Dixon</t>
  </si>
  <si>
    <t>Aubrey Guerrero</t>
  </si>
  <si>
    <t>Ivy Do</t>
  </si>
  <si>
    <t>Kai Gutierrez</t>
  </si>
  <si>
    <t>Caroline Ahmed</t>
  </si>
  <si>
    <t>Alice Sharma</t>
  </si>
  <si>
    <t>Leo Simmons</t>
  </si>
  <si>
    <t>Asher Hong</t>
  </si>
  <si>
    <t>Gianna Ramirez</t>
  </si>
  <si>
    <t>Thomas Smith</t>
  </si>
  <si>
    <t>Carter Hunter</t>
  </si>
  <si>
    <t>Charlotte Green</t>
  </si>
  <si>
    <t>Lincoln Holmes</t>
  </si>
  <si>
    <t>Hudson Hu</t>
  </si>
  <si>
    <t>Noah Mitchell</t>
  </si>
  <si>
    <t>Liliana Choi</t>
  </si>
  <si>
    <t>Leonardo Cho</t>
  </si>
  <si>
    <t>Oliver Delgado</t>
  </si>
  <si>
    <t>Isabella Roberts</t>
  </si>
  <si>
    <t>Luca Desai</t>
  </si>
  <si>
    <t>William Juarez</t>
  </si>
  <si>
    <t>Ryan Alvarez</t>
  </si>
  <si>
    <t>Hudson Ha</t>
  </si>
  <si>
    <t>Hannah Brown</t>
  </si>
  <si>
    <t>Hadley Le</t>
  </si>
  <si>
    <t>Jaxson Shah</t>
  </si>
  <si>
    <t>Christopher Delgado</t>
  </si>
  <si>
    <t>Hannah Ng</t>
  </si>
  <si>
    <t>Austin Ngo</t>
  </si>
  <si>
    <t>Gianna Han</t>
  </si>
  <si>
    <t>Isaac Choi</t>
  </si>
  <si>
    <t>Madeline Smith</t>
  </si>
  <si>
    <t>Ellie Fernandez</t>
  </si>
  <si>
    <t>Lyla Lai</t>
  </si>
  <si>
    <t>Emily Moore</t>
  </si>
  <si>
    <t>Aubrey Moreno</t>
  </si>
  <si>
    <t>Nova Xiong</t>
  </si>
  <si>
    <t>Eva Lam</t>
  </si>
  <si>
    <t>Caroline Chau</t>
  </si>
  <si>
    <t>Sofia Chen</t>
  </si>
  <si>
    <t>Christopher Sharma</t>
  </si>
  <si>
    <t>Lucas Grant</t>
  </si>
  <si>
    <t>Delilah Washington</t>
  </si>
  <si>
    <t>Eloise Molina</t>
  </si>
  <si>
    <t>Clara Desai</t>
  </si>
  <si>
    <t>Audrey Campbell</t>
  </si>
  <si>
    <t>Delilah Alvarez</t>
  </si>
  <si>
    <t>Luke Luna</t>
  </si>
  <si>
    <t>Elizabeth Tan</t>
  </si>
  <si>
    <t>Sophia Wang</t>
  </si>
  <si>
    <t>Nova Park</t>
  </si>
  <si>
    <t>Josiah Khan</t>
  </si>
  <si>
    <t>Madison Gray</t>
  </si>
  <si>
    <t>Luca Washington</t>
  </si>
  <si>
    <t>Isaac Cruz</t>
  </si>
  <si>
    <t>Ellie Ortega</t>
  </si>
  <si>
    <t>Ian Huang</t>
  </si>
  <si>
    <t>Jayden Ahmed</t>
  </si>
  <si>
    <t>Violet Simmons</t>
  </si>
  <si>
    <t>William Roberts</t>
  </si>
  <si>
    <t>Penelope Sandoval</t>
  </si>
  <si>
    <t>Emilia Ortiz</t>
  </si>
  <si>
    <t>Layla Gutierrez</t>
  </si>
  <si>
    <t>Dylan Vu</t>
  </si>
  <si>
    <t>Peyton Wong</t>
  </si>
  <si>
    <t>Santiago f Banks</t>
  </si>
  <si>
    <t>Caroline Wong</t>
  </si>
  <si>
    <t>Quinn Ho</t>
  </si>
  <si>
    <t>Caroline Nunez</t>
  </si>
  <si>
    <t>Carson Brown</t>
  </si>
  <si>
    <t>Olivia Maldonado</t>
  </si>
  <si>
    <t>Emilia Chung</t>
  </si>
  <si>
    <t>Leilani Shin</t>
  </si>
  <si>
    <t>Abigail Zhu</t>
  </si>
  <si>
    <t>Autumn Xiong</t>
  </si>
  <si>
    <t>Hailey Cruz</t>
  </si>
  <si>
    <t>Piper Cruz</t>
  </si>
  <si>
    <t>Jaxson Jackson</t>
  </si>
  <si>
    <t>Serenity Mehta</t>
  </si>
  <si>
    <t>Peyton Gomez</t>
  </si>
  <si>
    <t>Ethan Vargas</t>
  </si>
  <si>
    <t>Serenity Morris</t>
  </si>
  <si>
    <t>Vivian Chan</t>
  </si>
  <si>
    <t>Lincoln Singh</t>
  </si>
  <si>
    <t>Ayla Lim</t>
  </si>
  <si>
    <t>Leilani Hong</t>
  </si>
  <si>
    <t>Victoria Doan</t>
  </si>
  <si>
    <t>Naomi Wright</t>
  </si>
  <si>
    <t>Scarlett Howard</t>
  </si>
  <si>
    <t>Victoria Vo</t>
  </si>
  <si>
    <t>Oliver Fernandez</t>
  </si>
  <si>
    <t>Luca Jiang</t>
  </si>
  <si>
    <t>Charlotte Owens</t>
  </si>
  <si>
    <t>Stella Tan</t>
  </si>
  <si>
    <t>Ellie Yoon</t>
  </si>
  <si>
    <t>Ella Do</t>
  </si>
  <si>
    <t>Lucas Cruz</t>
  </si>
  <si>
    <t>Sarah Mehta</t>
  </si>
  <si>
    <t>Anthony Phan</t>
  </si>
  <si>
    <t>Sebastian Sanders</t>
  </si>
  <si>
    <t>Jayden Phillips</t>
  </si>
  <si>
    <t>Caleb Chan</t>
  </si>
  <si>
    <t>Ariana Santiago</t>
  </si>
  <si>
    <t>Quinn Owens</t>
  </si>
  <si>
    <t>Eli James</t>
  </si>
  <si>
    <t>Ezra Aguilar</t>
  </si>
  <si>
    <t>Anna Castro</t>
  </si>
  <si>
    <t>Liliana Lewis</t>
  </si>
  <si>
    <t>Maverick Alvarado</t>
  </si>
  <si>
    <t>Nora Butler</t>
  </si>
  <si>
    <t>Landon Rodriguez</t>
  </si>
  <si>
    <t>Grace Harris</t>
  </si>
  <si>
    <t>Jeremiah Medina</t>
  </si>
  <si>
    <t>Charles Bryant</t>
  </si>
  <si>
    <t>Elizabeth Dixon</t>
  </si>
  <si>
    <t>Riley Phillips</t>
  </si>
  <si>
    <t>Gianna Cruz</t>
  </si>
  <si>
    <t>Lincoln Cruz</t>
  </si>
  <si>
    <t>Ezekiel Contreras</t>
  </si>
  <si>
    <t>Amelia Do</t>
  </si>
  <si>
    <t>Anthony Perez</t>
  </si>
  <si>
    <t>Elias Maldonado</t>
  </si>
  <si>
    <t>Liam Luong</t>
  </si>
  <si>
    <t>Jordan Ford</t>
  </si>
  <si>
    <t>Mateo Chung</t>
  </si>
  <si>
    <t>Jameson Vang</t>
  </si>
  <si>
    <t>Samuel Thomas</t>
  </si>
  <si>
    <t>Gabriel Rodriguez</t>
  </si>
  <si>
    <t>Wyatt Robinson</t>
  </si>
  <si>
    <t>Anna Huynh</t>
  </si>
  <si>
    <t>Lucy Simmons</t>
  </si>
  <si>
    <t>Austin Ng</t>
  </si>
  <si>
    <t>Madeline Cruz</t>
  </si>
  <si>
    <t>Layla Munoz</t>
  </si>
  <si>
    <t>Alexander Tang</t>
  </si>
  <si>
    <t>Carson Chen</t>
  </si>
  <si>
    <t>Kai Duong</t>
  </si>
  <si>
    <t>Ayla Cooper</t>
  </si>
  <si>
    <t>Eliza Espinoza</t>
  </si>
  <si>
    <t>Axel King</t>
  </si>
  <si>
    <t>Alexander Carter</t>
  </si>
  <si>
    <t>Robert Rogers</t>
  </si>
  <si>
    <t>Anthony Gupta</t>
  </si>
  <si>
    <t>Jackson Gupta</t>
  </si>
  <si>
    <t>Sophia Rodriguez</t>
  </si>
  <si>
    <t>Cora Patel</t>
  </si>
  <si>
    <t>Piper Hsu</t>
  </si>
  <si>
    <t>Hunter Marquez</t>
  </si>
  <si>
    <t>Addison Li</t>
  </si>
  <si>
    <t>Carson Hoang</t>
  </si>
  <si>
    <t>Julian Fernandez</t>
  </si>
  <si>
    <t>Caleb Rojas</t>
  </si>
  <si>
    <t>Elizabeth Griffin</t>
  </si>
  <si>
    <t>Nolan Han</t>
  </si>
  <si>
    <t>Cameron Romero</t>
  </si>
  <si>
    <t>Angel Patterson</t>
  </si>
  <si>
    <t>Ryan Foster</t>
  </si>
  <si>
    <t>Leonardo Patterson</t>
  </si>
  <si>
    <t>William Song</t>
  </si>
  <si>
    <t>Axel Aguilar</t>
  </si>
  <si>
    <t>Liam Valdez</t>
  </si>
  <si>
    <t>Hudson Washington</t>
  </si>
  <si>
    <t>Harper Washington</t>
  </si>
  <si>
    <t>Brooklyn Parker</t>
  </si>
  <si>
    <t>Hudson Oh</t>
  </si>
  <si>
    <t>Maverick Howard</t>
  </si>
  <si>
    <t>Alexander Dominguez</t>
  </si>
  <si>
    <t>Jack Garcia</t>
  </si>
  <si>
    <t>Aiden Hu</t>
  </si>
  <si>
    <t>Cora Espinoza</t>
  </si>
  <si>
    <t>Naomi Moua</t>
  </si>
  <si>
    <t>Liam Baker</t>
  </si>
  <si>
    <t>Christian Liu</t>
  </si>
  <si>
    <t>Aaron Munoz</t>
  </si>
  <si>
    <t>Levi Kang</t>
  </si>
  <si>
    <t>Isaac Foster</t>
  </si>
  <si>
    <t>Samantha Zhu</t>
  </si>
  <si>
    <t>Vivian Watson</t>
  </si>
  <si>
    <t>Emery Hernandez</t>
  </si>
  <si>
    <t>Camila Baker</t>
  </si>
  <si>
    <t>David Bryant</t>
  </si>
  <si>
    <t>Miles Perez</t>
  </si>
  <si>
    <t>Elijah Hill</t>
  </si>
  <si>
    <t>Sofia Shin</t>
  </si>
  <si>
    <t>Ezekiel Lee</t>
  </si>
  <si>
    <t>Nevaeh Truong</t>
  </si>
  <si>
    <t>Leah Ali</t>
  </si>
  <si>
    <t>Emma Soto</t>
  </si>
  <si>
    <t>Lydia Marquez</t>
  </si>
  <si>
    <t>Cora Munoz</t>
  </si>
  <si>
    <t>Hudson Ross</t>
  </si>
  <si>
    <t>Aiden Cheng</t>
  </si>
  <si>
    <t>Willow Vang</t>
  </si>
  <si>
    <t>Jonathan Young</t>
  </si>
  <si>
    <t>Isaac Rojas</t>
  </si>
  <si>
    <t>Dylan Guzman</t>
  </si>
  <si>
    <t>Sarah Shin</t>
  </si>
  <si>
    <t>Michael Johnson</t>
  </si>
  <si>
    <t>Riley Vega</t>
  </si>
  <si>
    <t>Benjamin Ali</t>
  </si>
  <si>
    <t>Ezekiel Cooper</t>
  </si>
  <si>
    <t>Lyla Walker</t>
  </si>
  <si>
    <t>Aria Cheng</t>
  </si>
  <si>
    <t>Christopher Ramirez</t>
  </si>
  <si>
    <t>Emily Roberts</t>
  </si>
  <si>
    <t>Nathan Parker</t>
  </si>
  <si>
    <t>Nora Her</t>
  </si>
  <si>
    <t>Mia Brown</t>
  </si>
  <si>
    <t>Hunter Hu</t>
  </si>
  <si>
    <t>Luke Acosta</t>
  </si>
  <si>
    <t>Sophia Griffin</t>
  </si>
  <si>
    <t>Anthony Chu</t>
  </si>
  <si>
    <t>Landon Ha</t>
  </si>
  <si>
    <t>Layla Kang</t>
  </si>
  <si>
    <t>Cora Xu</t>
  </si>
  <si>
    <t>Rylee Campos</t>
  </si>
  <si>
    <t>Amelia Foster</t>
  </si>
  <si>
    <t>Hadley Rios</t>
  </si>
  <si>
    <t>Luna Chang</t>
  </si>
  <si>
    <t>Mia Navarro</t>
  </si>
  <si>
    <t>Nova Rios</t>
  </si>
  <si>
    <t>Theodore Truong</t>
  </si>
  <si>
    <t>Asher Ly</t>
  </si>
  <si>
    <t>Madeline Doan</t>
  </si>
  <si>
    <t>Zoey Lu</t>
  </si>
  <si>
    <t>Mila Cheung</t>
  </si>
  <si>
    <t>Lucy Mai</t>
  </si>
  <si>
    <t>Benjamin Luu</t>
  </si>
  <si>
    <t>Maya Watson</t>
  </si>
  <si>
    <t>Jack Adams</t>
  </si>
  <si>
    <t>Gabriella Jordan</t>
  </si>
  <si>
    <t>Jonathan Torres</t>
  </si>
  <si>
    <t>Samuel Xu</t>
  </si>
  <si>
    <t>Ezekiel Lai</t>
  </si>
  <si>
    <t>Levi Rahman</t>
  </si>
  <si>
    <t>Madison Phan</t>
  </si>
  <si>
    <t>Andrew Pham</t>
  </si>
  <si>
    <t>Clara Ford</t>
  </si>
  <si>
    <t>Christopher Chau</t>
  </si>
  <si>
    <t>Madeline Guerrero</t>
  </si>
  <si>
    <t>Harper Yee</t>
  </si>
  <si>
    <t>Mia Thomas</t>
  </si>
  <si>
    <t>Owen Nelson</t>
  </si>
  <si>
    <t>Aiden Evans</t>
  </si>
  <si>
    <t>Josiah Lai</t>
  </si>
  <si>
    <t>Jameson Yee</t>
  </si>
  <si>
    <t>Serenity Her</t>
  </si>
  <si>
    <t>Ariana Turner</t>
  </si>
  <si>
    <t>Jacob Cooper</t>
  </si>
  <si>
    <t>Christopher Dominguez</t>
  </si>
  <si>
    <t>Nevaeh Lim</t>
  </si>
  <si>
    <t>Dominic Cheng</t>
  </si>
  <si>
    <t>Serenity Rodriguez</t>
  </si>
  <si>
    <t>Caleb Thompson</t>
  </si>
  <si>
    <t>Luke Avila</t>
  </si>
  <si>
    <t>Sadie Chin</t>
  </si>
  <si>
    <t>Everett Le</t>
  </si>
  <si>
    <t>Carson Santos</t>
  </si>
  <si>
    <t>Natalie Ho</t>
  </si>
  <si>
    <t>Natalia Hall</t>
  </si>
  <si>
    <t>Zoey Ahmed</t>
  </si>
  <si>
    <t>Santiago f Turner</t>
  </si>
  <si>
    <t>Jacob Alexander</t>
  </si>
  <si>
    <t>Christopher Aguilar</t>
  </si>
  <si>
    <t>Vivian Jackson</t>
  </si>
  <si>
    <t>Leonardo Jenkins</t>
  </si>
  <si>
    <t>Oliver Hunter</t>
  </si>
  <si>
    <t>Ayla Brooks</t>
  </si>
  <si>
    <t>Willow Chau</t>
  </si>
  <si>
    <t>Kai Shin</t>
  </si>
  <si>
    <t>Liliana Zhao</t>
  </si>
  <si>
    <t>Aiden Carter</t>
  </si>
  <si>
    <t>Christopher Song</t>
  </si>
  <si>
    <t>Kayden Dinh</t>
  </si>
  <si>
    <t>Valentina Zhang</t>
  </si>
  <si>
    <t>Alexander Perez</t>
  </si>
  <si>
    <t>Everleigh Kumar</t>
  </si>
  <si>
    <t>Santiago f Xiong</t>
  </si>
  <si>
    <t>Elizabeth Powell</t>
  </si>
  <si>
    <t>Lucas Yang</t>
  </si>
  <si>
    <t>John Richardson</t>
  </si>
  <si>
    <t>Miles Ross</t>
  </si>
  <si>
    <t>Jonathan Santos</t>
  </si>
  <si>
    <t>Joshua Maldonado</t>
  </si>
  <si>
    <t>Santiago f Vo</t>
  </si>
  <si>
    <t>Leilani Martin</t>
  </si>
  <si>
    <t>Luca Xiong</t>
  </si>
  <si>
    <t>Valentina Campos</t>
  </si>
  <si>
    <t>Grayson Jenkins</t>
  </si>
  <si>
    <t>Jeremiah Ross</t>
  </si>
  <si>
    <t>Natalie Zheng</t>
  </si>
  <si>
    <t>Jace Mehta</t>
  </si>
  <si>
    <t>Hannah Doan</t>
  </si>
  <si>
    <t>Caroline Robinson</t>
  </si>
  <si>
    <t>Naomi Ma</t>
  </si>
  <si>
    <t>Adam Davis</t>
  </si>
  <si>
    <t>Ellie Ho</t>
  </si>
  <si>
    <t>Mila Liang</t>
  </si>
  <si>
    <t>Nova Doan</t>
  </si>
  <si>
    <t>Colton Mejia</t>
  </si>
  <si>
    <t>Joseph Kim</t>
  </si>
  <si>
    <t>Audrey Campos</t>
  </si>
  <si>
    <t>Vivian Brooks</t>
  </si>
  <si>
    <t>Mateo Vargas</t>
  </si>
  <si>
    <t>David Foster</t>
  </si>
  <si>
    <t>Isaiah Ramos</t>
  </si>
  <si>
    <t>Samantha Do</t>
  </si>
  <si>
    <t>Emery Fernandez</t>
  </si>
  <si>
    <t>Aubrey Lin</t>
  </si>
  <si>
    <t>Jace Hsu</t>
  </si>
  <si>
    <t>Nicholas Sanders</t>
  </si>
  <si>
    <t>Joshua Sun</t>
  </si>
  <si>
    <t>Riley Ayala</t>
  </si>
  <si>
    <t>Isaac Santos</t>
  </si>
  <si>
    <t>Logan Brooks</t>
  </si>
  <si>
    <t>Leilani Hu</t>
  </si>
  <si>
    <t>Jace Cho</t>
  </si>
  <si>
    <t>Jaxson Fong</t>
  </si>
  <si>
    <t>Wyatt Ly</t>
  </si>
  <si>
    <t>Mia Huang</t>
  </si>
  <si>
    <t>Levi Her</t>
  </si>
  <si>
    <t>Everleigh Phillips</t>
  </si>
  <si>
    <t>Natalie Acosta</t>
  </si>
  <si>
    <t>Hadley Chavez</t>
  </si>
  <si>
    <t>Hailey Liu</t>
  </si>
  <si>
    <t>Nicholas Jiang</t>
  </si>
  <si>
    <t>Gabriel Xu</t>
  </si>
  <si>
    <t>Sophia Collins</t>
  </si>
  <si>
    <t>Evelyn Vasquez</t>
  </si>
  <si>
    <t>Paisley Baker</t>
  </si>
  <si>
    <t>Samuel Cruz</t>
  </si>
  <si>
    <t>Gabriel Cheung</t>
  </si>
  <si>
    <t>Kai Green</t>
  </si>
  <si>
    <t>Julia Moore</t>
  </si>
  <si>
    <t>Roman Mendoza</t>
  </si>
  <si>
    <t>Sadie Pham</t>
  </si>
  <si>
    <t>Chloe Contreras</t>
  </si>
  <si>
    <t>Owen Ford</t>
  </si>
  <si>
    <t>Audrey Powell</t>
  </si>
  <si>
    <t>Greyson Munoz</t>
  </si>
  <si>
    <t>Isaiah Vang</t>
  </si>
  <si>
    <t>Lincoln Alvarado</t>
  </si>
  <si>
    <t>Carter Sandoval</t>
  </si>
  <si>
    <t>Julia Jimenez</t>
  </si>
  <si>
    <t>Savannah Cortez</t>
  </si>
  <si>
    <t>Everly Brown</t>
  </si>
  <si>
    <t>Charlotte Pham</t>
  </si>
  <si>
    <t>Iris Bailey</t>
  </si>
  <si>
    <t>Logan Daniels</t>
  </si>
  <si>
    <t>Autumn Molina</t>
  </si>
  <si>
    <t>Emma Mehta</t>
  </si>
  <si>
    <t>Julian Joseph</t>
  </si>
  <si>
    <t>Eleanor Munoz</t>
  </si>
  <si>
    <t>Eliza Zhu</t>
  </si>
  <si>
    <t>Greyson Moore</t>
  </si>
  <si>
    <t>Lyla Clark</t>
  </si>
  <si>
    <t>Samuel Patterson</t>
  </si>
  <si>
    <t>Robert Padilla</t>
  </si>
  <si>
    <t>Landon Munoz</t>
  </si>
  <si>
    <t>Josiah Yi</t>
  </si>
  <si>
    <t>Owen Scott</t>
  </si>
  <si>
    <t>Matthew Parker</t>
  </si>
  <si>
    <t>Daniel Huynh</t>
  </si>
  <si>
    <t>Matthew Vargas</t>
  </si>
  <si>
    <t>Ella Herrera</t>
  </si>
  <si>
    <t>Everly Hwang</t>
  </si>
  <si>
    <t>Hazel Mitchell</t>
  </si>
  <si>
    <t>Ian Hernandez</t>
  </si>
  <si>
    <t>Charlotte Lam</t>
  </si>
  <si>
    <t>Jonathan Ali</t>
  </si>
  <si>
    <t>Violet He</t>
  </si>
  <si>
    <t>Hannah Truong</t>
  </si>
  <si>
    <t>Autumn Kaur</t>
  </si>
  <si>
    <t>Serenity Ngo</t>
  </si>
  <si>
    <t>Raelynn Her</t>
  </si>
  <si>
    <t>Jameson Salazar</t>
  </si>
  <si>
    <t>Hunter Moua</t>
  </si>
  <si>
    <t>Athena Aguilar</t>
  </si>
  <si>
    <t>Ariana Sanders</t>
  </si>
  <si>
    <t>Easton Cruz</t>
  </si>
  <si>
    <t>Josiah Vega</t>
  </si>
  <si>
    <t>Willow Estrada</t>
  </si>
  <si>
    <t>Nevaeh Ng</t>
  </si>
  <si>
    <t>Henry Vazquez</t>
  </si>
  <si>
    <t>Nathan Jackson</t>
  </si>
  <si>
    <t>Anthony Lam</t>
  </si>
  <si>
    <t>Nevaeh Ali</t>
  </si>
  <si>
    <t>Madelyn Henry</t>
  </si>
  <si>
    <t>Emilia Alexander</t>
  </si>
  <si>
    <t>Christian Ayala</t>
  </si>
  <si>
    <t>Willow Xiong</t>
  </si>
  <si>
    <t>Avery Valdez</t>
  </si>
  <si>
    <t>Abigail Carter</t>
  </si>
  <si>
    <t>Madison Patel</t>
  </si>
  <si>
    <t>Paisley Hsu</t>
  </si>
  <si>
    <t>Kinsley Hill</t>
  </si>
  <si>
    <t>Kai Barnes</t>
  </si>
  <si>
    <t>Lincoln Cheng</t>
  </si>
  <si>
    <t>Noah Sharma</t>
  </si>
  <si>
    <t>Ariana Hall</t>
  </si>
  <si>
    <t>Samuel Cao</t>
  </si>
  <si>
    <t>Brooks Mitchell</t>
  </si>
  <si>
    <t>Kinsley Gonzalez</t>
  </si>
  <si>
    <t>Dominic Tang</t>
  </si>
  <si>
    <t>Colton Le</t>
  </si>
  <si>
    <t>Kai Huang</t>
  </si>
  <si>
    <t>Addison Cruz</t>
  </si>
  <si>
    <t>Natalie Thao</t>
  </si>
  <si>
    <t>Maria Barnes</t>
  </si>
  <si>
    <t>Mia Vang</t>
  </si>
  <si>
    <t>Zoey Mendoza</t>
  </si>
  <si>
    <t>Parker Desai</t>
  </si>
  <si>
    <t>Alexander Liang</t>
  </si>
  <si>
    <t>Adam Jordan</t>
  </si>
  <si>
    <t>Leah Stewart</t>
  </si>
  <si>
    <t>Robert Santos</t>
  </si>
  <si>
    <t>Addison Ma</t>
  </si>
  <si>
    <t>Clara Collins</t>
  </si>
  <si>
    <t>Stella Castro</t>
  </si>
  <si>
    <t>Lucy Chin</t>
  </si>
  <si>
    <t>Piper Evans</t>
  </si>
  <si>
    <t>Cora Coleman</t>
  </si>
  <si>
    <t>Cora Holmes</t>
  </si>
  <si>
    <t>Leo Figueroa</t>
  </si>
  <si>
    <t>Allison Wang</t>
  </si>
  <si>
    <t>Levi Cruz</t>
  </si>
  <si>
    <t>Iris Phillips</t>
  </si>
  <si>
    <t>Madelyn Chavez</t>
  </si>
  <si>
    <t>Caroline Smith</t>
  </si>
  <si>
    <t>Grayson Lai</t>
  </si>
  <si>
    <t>Anna Guerrero</t>
  </si>
  <si>
    <t>Paisley Bell</t>
  </si>
  <si>
    <t>Jose Park</t>
  </si>
  <si>
    <t>Eliza Parker</t>
  </si>
  <si>
    <t>Melody Yoon</t>
  </si>
  <si>
    <t>Avery Smith</t>
  </si>
  <si>
    <t>Madeline Vu</t>
  </si>
  <si>
    <t>Aubrey Cheng</t>
  </si>
  <si>
    <t>Clara Henderson</t>
  </si>
  <si>
    <t>Jace Henderson</t>
  </si>
  <si>
    <t>Caroline Martin</t>
  </si>
  <si>
    <t>Asher Bui</t>
  </si>
  <si>
    <t>Samantha Chau</t>
  </si>
  <si>
    <t>Jonathan Nelson</t>
  </si>
  <si>
    <t>Liliana Simmons</t>
  </si>
  <si>
    <t>Logan Ortega</t>
  </si>
  <si>
    <t>Isaac Jung</t>
  </si>
  <si>
    <t>Christopher Desai</t>
  </si>
  <si>
    <t>Levi Gonzalez</t>
  </si>
  <si>
    <t>Santiago f Wang</t>
  </si>
  <si>
    <t>Julia Kim</t>
  </si>
  <si>
    <t>Noah Allen</t>
  </si>
  <si>
    <t>Colton Adams</t>
  </si>
  <si>
    <t>Colton Mehta</t>
  </si>
  <si>
    <t>Caroline Gomez</t>
  </si>
  <si>
    <t>Kayden Tang</t>
  </si>
  <si>
    <t>Elizabeth Estrada</t>
  </si>
  <si>
    <t>Sofia Yee</t>
  </si>
  <si>
    <t>Asher Mendoza</t>
  </si>
  <si>
    <t>Jordan Hernandez</t>
  </si>
  <si>
    <t>Everleigh Tan</t>
  </si>
  <si>
    <t>Joshua Hall</t>
  </si>
  <si>
    <t>Stella Gupta</t>
  </si>
  <si>
    <t>Levi White</t>
  </si>
  <si>
    <t>Matthew Jackson</t>
  </si>
  <si>
    <t>Dominic Martinez</t>
  </si>
  <si>
    <t>Aiden Aguilar</t>
  </si>
  <si>
    <t>Victoria Hu</t>
  </si>
  <si>
    <t>Eloise Campos</t>
  </si>
  <si>
    <t>Emilia Alvarado</t>
  </si>
  <si>
    <t>Lydia Ahmed</t>
  </si>
  <si>
    <t>Dylan Simmons</t>
  </si>
  <si>
    <t>Jaxson Chu</t>
  </si>
  <si>
    <t>Ariana Griffin</t>
  </si>
  <si>
    <t>Hudson Bailey</t>
  </si>
  <si>
    <t>Colton Grant</t>
  </si>
  <si>
    <t>Emery Flores</t>
  </si>
  <si>
    <t>Gabriella Wong</t>
  </si>
  <si>
    <t>Ian Gonzales</t>
  </si>
  <si>
    <t>Jaxon Wright</t>
  </si>
  <si>
    <t>Ethan Cruz</t>
  </si>
  <si>
    <t>Adrian James</t>
  </si>
  <si>
    <t>Isabella Mejia</t>
  </si>
  <si>
    <t>Christopher Miller</t>
  </si>
  <si>
    <t>Samuel Watson</t>
  </si>
  <si>
    <t>Lucy Phan</t>
  </si>
  <si>
    <t>Dominic Thao</t>
  </si>
  <si>
    <t>Jaxon Shin</t>
  </si>
  <si>
    <t>Nevaeh Diaz</t>
  </si>
  <si>
    <t>Isaac Jenkins</t>
  </si>
  <si>
    <t>Jace Barnes</t>
  </si>
  <si>
    <t>Carson Liu</t>
  </si>
  <si>
    <t>Sofia Gutierrez</t>
  </si>
  <si>
    <t>Jeremiah Chang</t>
  </si>
  <si>
    <t>Connor Ruiz</t>
  </si>
  <si>
    <t>Easton Truong</t>
  </si>
  <si>
    <t>Sebastian Vargas</t>
  </si>
  <si>
    <t>Joseph Dang</t>
  </si>
  <si>
    <t>Madison White</t>
  </si>
  <si>
    <t>Valentina Nelson</t>
  </si>
  <si>
    <t>Everleigh Coleman</t>
  </si>
  <si>
    <t>Everleigh Castillo</t>
  </si>
  <si>
    <t>Valentina Fernandez</t>
  </si>
  <si>
    <t>Serenity Richardson</t>
  </si>
  <si>
    <t>Cooper Ramirez</t>
  </si>
  <si>
    <t>Penelope Avila</t>
  </si>
  <si>
    <t>Ivy Luong</t>
  </si>
  <si>
    <t>Aurora Bailey</t>
  </si>
  <si>
    <t>Valentina Valdez</t>
  </si>
  <si>
    <t>Parker Dinh</t>
  </si>
  <si>
    <t>Eliana Hsu</t>
  </si>
  <si>
    <t>Logan Parker</t>
  </si>
  <si>
    <t>Liliana Green</t>
  </si>
  <si>
    <t>Victoria Vazquez</t>
  </si>
  <si>
    <t>Kinsley Huynh</t>
  </si>
  <si>
    <t>Anna Carrillo</t>
  </si>
  <si>
    <t>Isla Singh</t>
  </si>
  <si>
    <t>Emma Yu</t>
  </si>
  <si>
    <t>Jonathan Dominguez</t>
  </si>
  <si>
    <t>Caleb Mehta</t>
  </si>
  <si>
    <t>Jaxon Lai</t>
  </si>
  <si>
    <t>Madelyn Yee</t>
  </si>
  <si>
    <t>Elena Jimenez</t>
  </si>
  <si>
    <t>Sadie Ali</t>
  </si>
  <si>
    <t>Lucas Sandoval</t>
  </si>
  <si>
    <t>Brooks Ngo</t>
  </si>
  <si>
    <t>Piper Oh</t>
  </si>
  <si>
    <t>Hunter Molina</t>
  </si>
  <si>
    <t>Michael Hoang</t>
  </si>
  <si>
    <t>Eloise Sun</t>
  </si>
  <si>
    <t>Gianna Jimenez</t>
  </si>
  <si>
    <t>Ava Chan</t>
  </si>
  <si>
    <t>Leilani Navarro</t>
  </si>
  <si>
    <t>Lydia Chu</t>
  </si>
  <si>
    <t>Liam Salazar</t>
  </si>
  <si>
    <t>Hailey Henderson</t>
  </si>
  <si>
    <t>Austin Espinoza</t>
  </si>
  <si>
    <t>Delilah Ng</t>
  </si>
  <si>
    <t>Gabriella Han</t>
  </si>
  <si>
    <t>Aria Miller</t>
  </si>
  <si>
    <t>Sofia Dixon</t>
  </si>
  <si>
    <t>Ethan Xiong</t>
  </si>
  <si>
    <t>Gabriella Cruz</t>
  </si>
  <si>
    <t>Christopher Kang</t>
  </si>
  <si>
    <t>Ariana Pham</t>
  </si>
  <si>
    <t>Colton Bui</t>
  </si>
  <si>
    <t>Caroline Cortez</t>
  </si>
  <si>
    <t>Nora Richardson</t>
  </si>
  <si>
    <t>Alexander Sanchez</t>
  </si>
  <si>
    <t>Logan Rahman</t>
  </si>
  <si>
    <t>Henry Rogers</t>
  </si>
  <si>
    <t>Delilah Cheng</t>
  </si>
  <si>
    <t>Caroline Rodriguez</t>
  </si>
  <si>
    <t>Jack Chin</t>
  </si>
  <si>
    <t>Luna Collins</t>
  </si>
  <si>
    <t>John Campos</t>
  </si>
  <si>
    <t>Charlotte Banks</t>
  </si>
  <si>
    <t>Miles Liu</t>
  </si>
  <si>
    <t>Violet Duong</t>
  </si>
  <si>
    <t>Isaac Xiong</t>
  </si>
  <si>
    <t>Ian Le</t>
  </si>
  <si>
    <t>Melody Delgado</t>
  </si>
  <si>
    <t>Eliza Bui</t>
  </si>
  <si>
    <t>Layla Wu</t>
  </si>
  <si>
    <t>Thomas Lam</t>
  </si>
  <si>
    <t>Willow Taylor</t>
  </si>
  <si>
    <t>Employee ID</t>
  </si>
  <si>
    <t>Research &amp; 
Development</t>
  </si>
  <si>
    <t xml:space="preserve"> Full name </t>
  </si>
  <si>
    <t>Grand Total</t>
  </si>
  <si>
    <t>Sum of Annual Salary</t>
  </si>
  <si>
    <t>SN</t>
  </si>
  <si>
    <t>No. 1</t>
  </si>
  <si>
    <t>No. 2</t>
  </si>
  <si>
    <t>No. 3</t>
  </si>
  <si>
    <t>No. 4</t>
  </si>
  <si>
    <t>No. 5</t>
  </si>
  <si>
    <t>No. 6</t>
  </si>
  <si>
    <t>No. 7</t>
  </si>
  <si>
    <t>No. 8</t>
  </si>
  <si>
    <t>No. 9</t>
  </si>
  <si>
    <t>No. 10</t>
  </si>
  <si>
    <t>No. 11</t>
  </si>
  <si>
    <t>No. 12</t>
  </si>
  <si>
    <t>No. 13</t>
  </si>
  <si>
    <t>No. 14</t>
  </si>
  <si>
    <t>No. 15</t>
  </si>
  <si>
    <t>No. 16</t>
  </si>
  <si>
    <t>No. 17</t>
  </si>
  <si>
    <t>No. 18</t>
  </si>
  <si>
    <t>No. 19</t>
  </si>
  <si>
    <t>No. 20</t>
  </si>
  <si>
    <t>Row Labels</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</si>
  <si>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</si>
  <si>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</si>
  <si>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</si>
  <si>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</si>
  <si>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</si>
  <si>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</si>
  <si>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</si>
  <si>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</si>
  <si>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</si>
  <si>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</si>
  <si>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</si>
  <si>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</si>
  <si>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</si>
  <si>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</si>
  <si>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</si>
  <si>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</si>
  <si>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</si>
  <si>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</si>
  <si>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</si>
  <si>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</si>
  <si>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</si>
  <si>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</si>
  <si>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</si>
  <si>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</si>
  <si>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</si>
  <si>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</si>
  <si>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</si>
  <si>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</si>
  <si>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</si>
  <si>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</si>
  <si>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Count of Employee ID</t>
  </si>
  <si>
    <t>Qtr2</t>
  </si>
  <si>
    <t>Qtr3</t>
  </si>
  <si>
    <t>Qtr4</t>
  </si>
  <si>
    <t>Column Labels</t>
  </si>
  <si>
    <t>Qtr1</t>
  </si>
  <si>
    <t>Count of Employee ID2</t>
  </si>
  <si>
    <t>department</t>
  </si>
  <si>
    <t>c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</si>
</sst>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9" x14ac:knownFonts="1">
    <font>
      <sz val="11"/>
      <color theme="1"/>
      <name val="Calibri"/>
      <family val="2"/>
      <scheme val="minor"/>
    </font>
    <font>
      <b/>
      <sz val="11"/>
      <color rgb="FFFFFFFF"/>
      <name val="Calibri"/>
      <family val="2"/>
      <scheme val="minor"/>
    </font>
    <font>
      <sz val="14"/>
      <color theme="1"/>
      <name val="Calibri"/>
      <family val="2"/>
      <scheme val="minor"/>
    </font>
    <font>
      <b/>
      <sz val="14"/>
      <color rgb="FFFFFFFF"/>
      <name val="Calibri"/>
      <family val="2"/>
      <scheme val="minor"/>
    </font>
    <font>
      <sz val="14"/>
      <color theme="0"/>
      <name val="Calibri"/>
      <family val="2"/>
      <scheme val="minor"/>
    </font>
    <font>
      <b/>
      <sz val="14"/>
      <color theme="1"/>
      <name val="Calibri"/>
      <family val="2"/>
      <scheme val="minor"/>
    </font>
    <font>
      <sz val="11"/>
      <color theme="0"/>
      <name val="Calibri"/>
      <family val="2"/>
      <scheme val="minor"/>
    </font>
    <font>
      <sz val="8"/>
      <name val="Calibri"/>
      <family val="2"/>
      <scheme val="minor"/>
    </font>
    <font>
      <b/>
      <sz val="11"/>
      <color theme="1"/>
      <name val="Calibri"/>
      <family val="2"/>
      <scheme val="minor"/>
    </font>
  </fonts>
  <fills count="6">
    <fill>
      <patternFill patternType="none"/>
    </fill>
    <fill>
      <patternFill patternType="gray125"/>
    </fill>
    <fill>
      <patternFill patternType="solid">
        <fgColor rgb="FF3DB182"/>
        <bgColor indexed="64"/>
      </patternFill>
    </fill>
    <fill>
      <patternFill patternType="solid">
        <fgColor rgb="FF0070C0"/>
        <bgColor indexed="64"/>
      </patternFill>
    </fill>
    <fill>
      <patternFill patternType="solid">
        <fgColor rgb="FFFFFF00"/>
        <bgColor indexed="64"/>
      </patternFill>
    </fill>
    <fill>
      <patternFill patternType="solid">
        <fgColor rgb="FF7030A0"/>
        <bgColor indexed="64"/>
      </patternFill>
    </fill>
  </fills>
  <borders count="13">
    <border>
      <left/>
      <right/>
      <top/>
      <bottom/>
      <diagonal/>
    </border>
    <border>
      <left style="thin">
        <color theme="9"/>
      </left>
      <right style="medium">
        <color rgb="FFFFFFFF"/>
      </right>
      <top style="thin">
        <color theme="9"/>
      </top>
      <bottom/>
      <diagonal/>
    </border>
    <border>
      <left style="medium">
        <color rgb="FFFFFFFF"/>
      </left>
      <right style="medium">
        <color rgb="FFFFFFFF"/>
      </right>
      <top style="thin">
        <color theme="9"/>
      </top>
      <bottom/>
      <diagonal/>
    </border>
    <border>
      <left style="thin">
        <color theme="9"/>
      </left>
      <right/>
      <top style="thin">
        <color theme="9"/>
      </top>
      <bottom/>
      <diagonal/>
    </border>
    <border>
      <left/>
      <right/>
      <top style="thin">
        <color theme="9"/>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theme="9"/>
      </right>
      <top style="thin">
        <color theme="9"/>
      </top>
      <bottom/>
      <diagonal/>
    </border>
    <border>
      <left style="medium">
        <color rgb="FFFFFFFF"/>
      </left>
      <right/>
      <top/>
      <bottom/>
      <diagonal/>
    </border>
    <border>
      <left style="medium">
        <color rgb="FFFFFFFF"/>
      </left>
      <right style="medium">
        <color rgb="FFFFFFFF"/>
      </right>
      <top/>
      <bottom/>
      <diagonal/>
    </border>
  </borders>
  <cellStyleXfs count="1">
    <xf numFmtId="0" fontId="0" fillId="0" borderId="0"/>
  </cellStyleXfs>
  <cellXfs count="34">
    <xf numFmtId="0" fontId="0" fillId="0" borderId="0" xfId="0"/>
    <xf numFmtId="0" fontId="0" fillId="0" borderId="0" xfId="0" applyAlignment="1">
      <alignment horizontal="left"/>
    </xf>
    <xf numFmtId="0" fontId="0" fillId="0" borderId="5" xfId="0" applyBorder="1"/>
    <xf numFmtId="0" fontId="2" fillId="0" borderId="0" xfId="0" applyFont="1"/>
    <xf numFmtId="0" fontId="3" fillId="2" borderId="1" xfId="0" applyFont="1" applyFill="1" applyBorder="1" applyAlignment="1">
      <alignment horizontal="center"/>
    </xf>
    <xf numFmtId="0" fontId="3" fillId="2" borderId="2" xfId="0" applyFont="1" applyFill="1" applyBorder="1" applyAlignment="1">
      <alignment horizontal="left"/>
    </xf>
    <xf numFmtId="0" fontId="2" fillId="0" borderId="3" xfId="0" applyFont="1" applyBorder="1"/>
    <xf numFmtId="0" fontId="2" fillId="0" borderId="4" xfId="0" applyFont="1" applyBorder="1"/>
    <xf numFmtId="0" fontId="4" fillId="3" borderId="6" xfId="0" applyFont="1" applyFill="1" applyBorder="1"/>
    <xf numFmtId="0" fontId="4" fillId="3" borderId="7" xfId="0" applyFont="1" applyFill="1" applyBorder="1"/>
    <xf numFmtId="0" fontId="2" fillId="0" borderId="8" xfId="0" applyFont="1" applyBorder="1"/>
    <xf numFmtId="0" fontId="2" fillId="0" borderId="9" xfId="0" applyFont="1" applyBorder="1"/>
    <xf numFmtId="0" fontId="3" fillId="2" borderId="5" xfId="0" applyFont="1" applyFill="1" applyBorder="1" applyAlignment="1">
      <alignment horizontal="center"/>
    </xf>
    <xf numFmtId="0" fontId="3" fillId="2" borderId="5" xfId="0" applyFont="1" applyFill="1" applyBorder="1" applyAlignment="1">
      <alignment horizontal="left"/>
    </xf>
    <xf numFmtId="0" fontId="2" fillId="0" borderId="5" xfId="0" applyFont="1" applyBorder="1"/>
    <xf numFmtId="14" fontId="2" fillId="0" borderId="5" xfId="0" applyNumberFormat="1" applyFont="1" applyBorder="1"/>
    <xf numFmtId="164" fontId="2" fillId="0" borderId="5" xfId="0" applyNumberFormat="1" applyFont="1" applyBorder="1"/>
    <xf numFmtId="165" fontId="2" fillId="0" borderId="5" xfId="0" applyNumberFormat="1" applyFont="1" applyBorder="1"/>
    <xf numFmtId="0" fontId="5" fillId="4" borderId="5" xfId="0" applyFont="1" applyFill="1" applyBorder="1" applyAlignment="1">
      <alignment horizontal="left"/>
    </xf>
    <xf numFmtId="0" fontId="0" fillId="0" borderId="0" xfId="0" pivotButton="1"/>
    <xf numFmtId="0" fontId="6" fillId="5" borderId="5" xfId="0" applyFont="1" applyFill="1" applyBorder="1"/>
    <xf numFmtId="0" fontId="1" fillId="2" borderId="5" xfId="0" applyFont="1" applyFill="1" applyBorder="1" applyAlignment="1">
      <alignment horizontal="left"/>
    </xf>
    <xf numFmtId="0" fontId="0" fillId="0" borderId="4" xfId="0" applyBorder="1"/>
    <xf numFmtId="0" fontId="0" fillId="0" borderId="10" xfId="0" applyBorder="1"/>
    <xf numFmtId="14" fontId="0" fillId="0" borderId="4" xfId="0" applyNumberFormat="1" applyBorder="1"/>
    <xf numFmtId="165" fontId="0" fillId="0" borderId="4" xfId="0" applyNumberFormat="1" applyBorder="1"/>
    <xf numFmtId="0" fontId="0" fillId="0" borderId="4" xfId="0" applyBorder="1" applyAlignment="1">
      <alignment wrapText="1"/>
    </xf>
    <xf numFmtId="164" fontId="0" fillId="0" borderId="4" xfId="0" applyNumberFormat="1" applyBorder="1" applyAlignment="1">
      <alignment horizontal="center"/>
    </xf>
    <xf numFmtId="164" fontId="0" fillId="0" borderId="0" xfId="0" applyNumberFormat="1"/>
    <xf numFmtId="0" fontId="1" fillId="2" borderId="0" xfId="0" applyFont="1" applyFill="1" applyAlignment="1">
      <alignment horizontal="center"/>
    </xf>
    <xf numFmtId="0" fontId="1" fillId="2" borderId="11" xfId="0" applyFont="1" applyFill="1" applyBorder="1" applyAlignment="1">
      <alignment horizontal="left"/>
    </xf>
    <xf numFmtId="0" fontId="1" fillId="2" borderId="12" xfId="0" applyFont="1" applyFill="1" applyBorder="1" applyAlignment="1">
      <alignment horizontal="left"/>
    </xf>
    <xf numFmtId="0" fontId="0" fillId="0" borderId="0" xfId="0" applyAlignment="1">
      <alignment horizontal="left" indent="1"/>
    </xf>
    <xf numFmtId="0" fontId="8" fillId="0" borderId="0" xfId="0" applyFont="1"/>
  </cellXfs>
  <cellStyles count="1">
    <cellStyle name="Normal" xfId="0" builtinId="0"/>
  </cellStyles>
  <dxfs count="31">
    <dxf>
      <border diagonalUp="0" diagonalDown="0">
        <left/>
        <right style="thin">
          <color theme="9"/>
        </right>
        <top style="thin">
          <color theme="9"/>
        </top>
        <bottom/>
        <vertical/>
        <horizontal/>
      </border>
    </dxf>
    <dxf>
      <border diagonalUp="0" diagonalDown="0">
        <left/>
        <right/>
        <top style="thin">
          <color theme="9"/>
        </top>
        <bottom/>
        <vertical/>
        <horizontal/>
      </border>
    </dxf>
    <dxf>
      <numFmt numFmtId="165" formatCode="#,##0%_);\(#,##0%\);0%_)"/>
      <border diagonalUp="0" diagonalDown="0">
        <left/>
        <right/>
        <top style="thin">
          <color theme="9"/>
        </top>
        <bottom/>
        <vertical/>
        <horizontal/>
      </border>
    </dxf>
    <dxf>
      <numFmt numFmtId="164" formatCode="&quot;$&quot;#,##0_);\(&quot;$&quot;#,##0\);&quot;$&quot;0_)"/>
      <alignment horizontal="center" vertical="bottom" textRotation="0" wrapText="0" indent="0" justifyLastLine="0" shrinkToFit="0" readingOrder="0"/>
      <border diagonalUp="0" diagonalDown="0">
        <left/>
        <right/>
        <top style="thin">
          <color theme="9"/>
        </top>
        <bottom/>
        <vertical/>
        <horizontal/>
      </border>
    </dxf>
    <dxf>
      <numFmt numFmtId="19" formatCode="dd/mm/yyyy"/>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outline="0">
        <left style="thin">
          <color rgb="FF3DB182"/>
        </left>
        <top style="thin">
          <color rgb="FF3DB182"/>
        </top>
        <bottom style="thin">
          <color rgb="FF3DB182"/>
        </bottom>
      </border>
    </dxf>
    <dxf>
      <font>
        <b/>
        <i val="0"/>
        <strike val="0"/>
        <condense val="0"/>
        <extend val="0"/>
        <outline val="0"/>
        <shadow val="0"/>
        <u val="none"/>
        <vertAlign val="baseline"/>
        <sz val="11"/>
        <color rgb="FFFFFFFF"/>
        <name val="Calibri"/>
        <family val="2"/>
        <scheme val="minor"/>
      </font>
      <fill>
        <patternFill patternType="solid">
          <fgColor indexed="64"/>
          <bgColor rgb="FF3DB182"/>
        </patternFill>
      </fill>
      <alignment horizontal="left" vertical="bottom" textRotation="0" wrapText="0" indent="0" justifyLastLine="0" shrinkToFit="0" readingOrder="0"/>
    </dxf>
    <dxf>
      <border diagonalUp="0" diagonalDown="0">
        <left/>
        <right style="thin">
          <color theme="9"/>
        </right>
        <top style="thin">
          <color theme="9"/>
        </top>
        <bottom/>
        <vertical/>
        <horizontal/>
      </border>
    </dxf>
    <dxf>
      <border diagonalUp="0" diagonalDown="0">
        <left/>
        <right/>
        <top style="thin">
          <color theme="9"/>
        </top>
        <bottom/>
        <vertical/>
        <horizontal/>
      </border>
    </dxf>
    <dxf>
      <numFmt numFmtId="165" formatCode="#,##0%_);\(#,##0%\);0%_)"/>
      <border diagonalUp="0" diagonalDown="0">
        <left/>
        <right/>
        <top style="thin">
          <color theme="9"/>
        </top>
        <bottom/>
        <vertical/>
        <horizontal/>
      </border>
    </dxf>
    <dxf>
      <numFmt numFmtId="164" formatCode="&quot;$&quot;#,##0_);\(&quot;$&quot;#,##0\);&quot;$&quot;0_)"/>
      <alignment horizontal="center" vertical="bottom" textRotation="0" wrapText="0" indent="0" justifyLastLine="0" shrinkToFit="0" readingOrder="0"/>
      <border diagonalUp="0" diagonalDown="0">
        <left/>
        <right/>
        <top style="thin">
          <color theme="9"/>
        </top>
        <bottom/>
        <vertical/>
        <horizontal/>
      </border>
    </dxf>
    <dxf>
      <numFmt numFmtId="19" formatCode="dd/mm/yyyy"/>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outline="0">
        <left style="thin">
          <color theme="9"/>
        </left>
        <top style="thin">
          <color theme="9"/>
        </top>
        <bottom style="thin">
          <color theme="9"/>
        </bottom>
      </border>
    </dxf>
    <dxf>
      <font>
        <b/>
        <i val="0"/>
        <strike val="0"/>
        <condense val="0"/>
        <extend val="0"/>
        <outline val="0"/>
        <shadow val="0"/>
        <u val="none"/>
        <vertAlign val="baseline"/>
        <sz val="11"/>
        <color rgb="FFFFFFFF"/>
        <name val="Calibri"/>
        <family val="2"/>
        <scheme val="minor"/>
      </font>
      <fill>
        <patternFill patternType="solid">
          <fgColor indexed="64"/>
          <bgColor rgb="FF3DB182"/>
        </patternFill>
      </fill>
      <alignment horizontal="left" vertical="bottom" textRotation="0" wrapText="0" indent="0" justifyLastLine="0" shrinkToFit="0" readingOrder="0"/>
    </dxf>
    <dxf>
      <fill>
        <patternFill patternType="solid">
          <bgColor theme="5"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 (1).xlsx]Chart!PivotTable4</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Salary by City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manualLayout>
          <c:layoutTarget val="inner"/>
          <c:xMode val="edge"/>
          <c:yMode val="edge"/>
          <c:x val="0.14258092738407699"/>
          <c:y val="0.22222621893711755"/>
          <c:w val="0.80458814947531931"/>
          <c:h val="0.51728233135203494"/>
        </c:manualLayout>
      </c:layout>
      <c:barChart>
        <c:barDir val="col"/>
        <c:grouping val="clustered"/>
        <c:varyColors val="1"/>
        <c:ser>
          <c:idx val="0"/>
          <c:order val="0"/>
          <c:tx>
            <c:strRef>
              <c:f>Chart!$AL$3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A93-4D7D-886B-4A40636005C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A93-4D7D-886B-4A40636005C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A93-4D7D-886B-4A40636005C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A93-4D7D-886B-4A40636005C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2A93-4D7D-886B-4A40636005C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2A93-4D7D-886B-4A40636005C2}"/>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2A93-4D7D-886B-4A40636005C2}"/>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2A93-4D7D-886B-4A40636005C2}"/>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2A93-4D7D-886B-4A40636005C2}"/>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2A93-4D7D-886B-4A40636005C2}"/>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2A93-4D7D-886B-4A40636005C2}"/>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2A93-4D7D-886B-4A40636005C2}"/>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2A93-4D7D-886B-4A40636005C2}"/>
              </c:ext>
            </c:extLst>
          </c:dPt>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Chart!$AK$4:$AK$17</c:f>
              <c:strCache>
                <c:ptCount val="13"/>
                <c:pt idx="0">
                  <c:v>Austin</c:v>
                </c:pt>
                <c:pt idx="1">
                  <c:v>Beijing</c:v>
                </c:pt>
                <c:pt idx="2">
                  <c:v>Chengdu</c:v>
                </c:pt>
                <c:pt idx="3">
                  <c:v>Chicago</c:v>
                </c:pt>
                <c:pt idx="4">
                  <c:v>Chongqing</c:v>
                </c:pt>
                <c:pt idx="5">
                  <c:v>Columbus</c:v>
                </c:pt>
                <c:pt idx="6">
                  <c:v>Manaus</c:v>
                </c:pt>
                <c:pt idx="7">
                  <c:v>Miami</c:v>
                </c:pt>
                <c:pt idx="8">
                  <c:v>Phoenix</c:v>
                </c:pt>
                <c:pt idx="9">
                  <c:v>Rio de Janeiro</c:v>
                </c:pt>
                <c:pt idx="10">
                  <c:v>Sao Paulo</c:v>
                </c:pt>
                <c:pt idx="11">
                  <c:v>Seattle</c:v>
                </c:pt>
                <c:pt idx="12">
                  <c:v>Shanghai</c:v>
                </c:pt>
              </c:strCache>
            </c:strRef>
          </c:cat>
          <c:val>
            <c:numRef>
              <c:f>Chart!$AL$4:$AL$17</c:f>
              <c:numCache>
                <c:formatCode>General</c:formatCode>
                <c:ptCount val="13"/>
                <c:pt idx="0">
                  <c:v>13206969</c:v>
                </c:pt>
                <c:pt idx="1">
                  <c:v>6403502</c:v>
                </c:pt>
                <c:pt idx="2">
                  <c:v>6181116</c:v>
                </c:pt>
                <c:pt idx="3">
                  <c:v>11951518</c:v>
                </c:pt>
                <c:pt idx="4">
                  <c:v>6190524</c:v>
                </c:pt>
                <c:pt idx="5">
                  <c:v>9443917</c:v>
                </c:pt>
                <c:pt idx="6">
                  <c:v>4969261</c:v>
                </c:pt>
                <c:pt idx="7">
                  <c:v>13093702</c:v>
                </c:pt>
                <c:pt idx="8">
                  <c:v>10720460</c:v>
                </c:pt>
                <c:pt idx="9">
                  <c:v>5494806</c:v>
                </c:pt>
                <c:pt idx="10">
                  <c:v>4865053</c:v>
                </c:pt>
                <c:pt idx="11">
                  <c:v>11294514</c:v>
                </c:pt>
                <c:pt idx="12">
                  <c:v>5507287</c:v>
                </c:pt>
              </c:numCache>
            </c:numRef>
          </c:val>
          <c:extLst>
            <c:ext xmlns:c16="http://schemas.microsoft.com/office/drawing/2014/chart" uri="{C3380CC4-5D6E-409C-BE32-E72D297353CC}">
              <c16:uniqueId val="{00000000-57C0-4F6A-813E-F84810C74754}"/>
            </c:ext>
          </c:extLst>
        </c:ser>
        <c:dLbls>
          <c:showLegendKey val="0"/>
          <c:showVal val="0"/>
          <c:showCatName val="0"/>
          <c:showSerName val="0"/>
          <c:showPercent val="0"/>
          <c:showBubbleSize val="0"/>
        </c:dLbls>
        <c:gapWidth val="76"/>
        <c:overlap val="43"/>
        <c:axId val="1312029839"/>
        <c:axId val="1197438031"/>
      </c:barChart>
      <c:catAx>
        <c:axId val="131202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197438031"/>
        <c:crosses val="autoZero"/>
        <c:auto val="1"/>
        <c:lblAlgn val="ctr"/>
        <c:lblOffset val="100"/>
        <c:noMultiLvlLbl val="0"/>
      </c:catAx>
      <c:valAx>
        <c:axId val="119743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12029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 (1).xlsx]Chart!PivotTable1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Annual</a:t>
            </a:r>
            <a:r>
              <a:rPr lang="en-US" b="1" baseline="0">
                <a:solidFill>
                  <a:schemeClr val="tx1"/>
                </a:solidFill>
              </a:rPr>
              <a:t> Salary by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Chart!$A$4:$A$11</c:f>
              <c:strCache>
                <c:ptCount val="7"/>
                <c:pt idx="0">
                  <c:v>Accounting</c:v>
                </c:pt>
                <c:pt idx="1">
                  <c:v>Engineering</c:v>
                </c:pt>
                <c:pt idx="2">
                  <c:v>Finance</c:v>
                </c:pt>
                <c:pt idx="3">
                  <c:v>Human Resources</c:v>
                </c:pt>
                <c:pt idx="4">
                  <c:v>IT</c:v>
                </c:pt>
                <c:pt idx="5">
                  <c:v>Marketing</c:v>
                </c:pt>
                <c:pt idx="6">
                  <c:v>Sales</c:v>
                </c:pt>
              </c:strCache>
            </c:strRef>
          </c:cat>
          <c:val>
            <c:numRef>
              <c:f>Chart!$B$4:$B$11</c:f>
              <c:numCache>
                <c:formatCode>General</c:formatCode>
                <c:ptCount val="7"/>
                <c:pt idx="0">
                  <c:v>14104292</c:v>
                </c:pt>
                <c:pt idx="1">
                  <c:v>15212233</c:v>
                </c:pt>
                <c:pt idx="2">
                  <c:v>11792414</c:v>
                </c:pt>
                <c:pt idx="3">
                  <c:v>13648733</c:v>
                </c:pt>
                <c:pt idx="4">
                  <c:v>25606278</c:v>
                </c:pt>
                <c:pt idx="5">
                  <c:v>13706376</c:v>
                </c:pt>
                <c:pt idx="6">
                  <c:v>15252303</c:v>
                </c:pt>
              </c:numCache>
            </c:numRef>
          </c:val>
          <c:extLst>
            <c:ext xmlns:c16="http://schemas.microsoft.com/office/drawing/2014/chart" uri="{C3380CC4-5D6E-409C-BE32-E72D297353CC}">
              <c16:uniqueId val="{00000000-5E99-4493-B0B5-994DB76C8928}"/>
            </c:ext>
          </c:extLst>
        </c:ser>
        <c:dLbls>
          <c:showLegendKey val="0"/>
          <c:showVal val="0"/>
          <c:showCatName val="0"/>
          <c:showSerName val="0"/>
          <c:showPercent val="0"/>
          <c:showBubbleSize val="0"/>
        </c:dLbls>
        <c:gapWidth val="182"/>
        <c:axId val="1247113215"/>
        <c:axId val="1324602463"/>
      </c:barChart>
      <c:catAx>
        <c:axId val="124711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324602463"/>
        <c:crosses val="autoZero"/>
        <c:auto val="1"/>
        <c:lblAlgn val="ctr"/>
        <c:lblOffset val="100"/>
        <c:noMultiLvlLbl val="0"/>
      </c:catAx>
      <c:valAx>
        <c:axId val="1324602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4711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 (1).xlsx]Chart!PivotTable2</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a:t>
            </a:r>
            <a:r>
              <a:rPr lang="en-US" baseline="0"/>
              <a:t> Annual Salary by Gender</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solidFill>
                <a:srgbClr val="439FF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a:noFill/>
          </a:ln>
          <a:effectLst>
            <a:outerShdw blurRad="63500" sx="102000" sy="102000" algn="ctr" rotWithShape="0">
              <a:prstClr val="black">
                <a:alpha val="20000"/>
              </a:prstClr>
            </a:outerShdw>
          </a:effectLst>
        </c:spPr>
        <c:dLbl>
          <c:idx val="0"/>
          <c:spPr>
            <a:solidFill>
              <a:sysClr val="window" lastClr="FFFFFF"/>
            </a:solidFill>
            <a:ln>
              <a:solidFill>
                <a:srgbClr val="439FF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lumMod val="50000"/>
            </a:schemeClr>
          </a:solidFill>
          <a:ln>
            <a:noFill/>
          </a:ln>
          <a:effectLst>
            <a:outerShdw blurRad="63500" sx="102000" sy="102000" algn="ctr" rotWithShape="0">
              <a:prstClr val="black">
                <a:alpha val="20000"/>
              </a:prstClr>
            </a:outerShdw>
          </a:effectLst>
        </c:spPr>
        <c:dLbl>
          <c:idx val="0"/>
          <c:spPr>
            <a:solidFill>
              <a:sysClr val="window" lastClr="FFFFFF"/>
            </a:solidFill>
            <a:ln>
              <a:solidFill>
                <a:srgbClr val="439FF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Chart!$N$3</c:f>
              <c:strCache>
                <c:ptCount val="1"/>
                <c:pt idx="0">
                  <c:v>Total</c:v>
                </c:pt>
              </c:strCache>
            </c:strRef>
          </c:tx>
          <c:dPt>
            <c:idx val="0"/>
            <c:bubble3D val="0"/>
            <c:spPr>
              <a:solidFill>
                <a:schemeClr val="accent3">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BED-46F5-B6B3-F9923AC02742}"/>
              </c:ext>
            </c:extLst>
          </c:dPt>
          <c:dPt>
            <c:idx val="1"/>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4BED-46F5-B6B3-F9923AC02742}"/>
              </c:ext>
            </c:extLst>
          </c:dPt>
          <c:dLbls>
            <c:dLbl>
              <c:idx val="0"/>
              <c:spPr>
                <a:solidFill>
                  <a:sysClr val="window" lastClr="FFFFFF"/>
                </a:solidFill>
                <a:ln>
                  <a:solidFill>
                    <a:srgbClr val="439FF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BED-46F5-B6B3-F9923AC02742}"/>
                </c:ext>
              </c:extLst>
            </c:dLbl>
            <c:dLbl>
              <c:idx val="1"/>
              <c:spPr>
                <a:solidFill>
                  <a:sysClr val="window" lastClr="FFFFFF"/>
                </a:solidFill>
                <a:ln>
                  <a:solidFill>
                    <a:srgbClr val="439FF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4BED-46F5-B6B3-F9923AC02742}"/>
                </c:ext>
              </c:extLst>
            </c:dLbl>
            <c:spPr>
              <a:solidFill>
                <a:sysClr val="window" lastClr="FFFFFF"/>
              </a:solidFill>
              <a:ln>
                <a:solidFill>
                  <a:srgbClr val="439FF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Chart!$M$4:$M$6</c:f>
              <c:strCache>
                <c:ptCount val="2"/>
                <c:pt idx="0">
                  <c:v>Female</c:v>
                </c:pt>
                <c:pt idx="1">
                  <c:v>Male</c:v>
                </c:pt>
              </c:strCache>
            </c:strRef>
          </c:cat>
          <c:val>
            <c:numRef>
              <c:f>Chart!$N$4:$N$6</c:f>
              <c:numCache>
                <c:formatCode>General</c:formatCode>
                <c:ptCount val="2"/>
                <c:pt idx="0">
                  <c:v>58145316</c:v>
                </c:pt>
                <c:pt idx="1">
                  <c:v>51177313</c:v>
                </c:pt>
              </c:numCache>
            </c:numRef>
          </c:val>
          <c:extLst>
            <c:ext xmlns:c16="http://schemas.microsoft.com/office/drawing/2014/chart" uri="{C3380CC4-5D6E-409C-BE32-E72D297353CC}">
              <c16:uniqueId val="{00000000-4BED-46F5-B6B3-F9923AC02742}"/>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dept</a:t>
            </a:r>
            <a:r>
              <a:rPr lang="en-IN" baseline="0"/>
              <a: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Sheet6!$A$2:$A$7</c:f>
              <c:strCache>
                <c:ptCount val="6"/>
                <c:pt idx="0">
                  <c:v>Accounting</c:v>
                </c:pt>
                <c:pt idx="1">
                  <c:v>Engineering</c:v>
                </c:pt>
                <c:pt idx="2">
                  <c:v>Finance</c:v>
                </c:pt>
                <c:pt idx="3">
                  <c:v>Human Resources</c:v>
                </c:pt>
                <c:pt idx="4">
                  <c:v>IT</c:v>
                </c:pt>
                <c:pt idx="5">
                  <c:v>Marketing</c:v>
                </c:pt>
              </c:strCache>
            </c:strRef>
          </c:cat>
          <c:val>
            <c:numRef>
              <c:f>Sheet6!$B$2:$B$7</c:f>
              <c:numCache>
                <c:formatCode>General</c:formatCode>
                <c:ptCount val="6"/>
                <c:pt idx="0">
                  <c:v>115</c:v>
                </c:pt>
                <c:pt idx="1">
                  <c:v>141</c:v>
                </c:pt>
                <c:pt idx="2">
                  <c:v>98</c:v>
                </c:pt>
                <c:pt idx="3">
                  <c:v>109</c:v>
                </c:pt>
                <c:pt idx="4">
                  <c:v>277</c:v>
                </c:pt>
                <c:pt idx="5">
                  <c:v>110</c:v>
                </c:pt>
              </c:numCache>
            </c:numRef>
          </c:val>
          <c:extLst>
            <c:ext xmlns:c16="http://schemas.microsoft.com/office/drawing/2014/chart" uri="{C3380CC4-5D6E-409C-BE32-E72D297353CC}">
              <c16:uniqueId val="{00000000-9790-4FDD-9235-B57BC5A2CE3F}"/>
            </c:ext>
          </c:extLst>
        </c:ser>
        <c:dLbls>
          <c:showLegendKey val="0"/>
          <c:showVal val="0"/>
          <c:showCatName val="0"/>
          <c:showSerName val="0"/>
          <c:showPercent val="0"/>
          <c:showBubbleSize val="0"/>
        </c:dLbls>
        <c:gapWidth val="182"/>
        <c:axId val="2114079520"/>
        <c:axId val="74571328"/>
      </c:barChart>
      <c:catAx>
        <c:axId val="2114079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71328"/>
        <c:crosses val="autoZero"/>
        <c:auto val="1"/>
        <c:lblAlgn val="ctr"/>
        <c:lblOffset val="100"/>
        <c:noMultiLvlLbl val="0"/>
      </c:catAx>
      <c:valAx>
        <c:axId val="7457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79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35</xdr:col>
      <xdr:colOff>542931</xdr:colOff>
      <xdr:row>17</xdr:row>
      <xdr:rowOff>190499</xdr:rowOff>
    </xdr:from>
    <xdr:to>
      <xdr:col>43</xdr:col>
      <xdr:colOff>161925</xdr:colOff>
      <xdr:row>35</xdr:row>
      <xdr:rowOff>180974</xdr:rowOff>
    </xdr:to>
    <xdr:graphicFrame macro="">
      <xdr:nvGraphicFramePr>
        <xdr:cNvPr id="2" name="Chart 1">
          <a:extLst>
            <a:ext uri="{FF2B5EF4-FFF2-40B4-BE49-F238E27FC236}">
              <a16:creationId xmlns:a16="http://schemas.microsoft.com/office/drawing/2014/main" id="{35E1B573-9D58-B383-CB48-5A237F257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219075</xdr:colOff>
      <xdr:row>11</xdr:row>
      <xdr:rowOff>123825</xdr:rowOff>
    </xdr:from>
    <xdr:to>
      <xdr:col>6</xdr:col>
      <xdr:colOff>314325</xdr:colOff>
      <xdr:row>33</xdr:row>
      <xdr:rowOff>85725</xdr:rowOff>
    </xdr:to>
    <xdr:graphicFrame macro="">
      <xdr:nvGraphicFramePr>
        <xdr:cNvPr id="3" name="Chart 2">
          <a:extLst>
            <a:ext uri="{FF2B5EF4-FFF2-40B4-BE49-F238E27FC236}">
              <a16:creationId xmlns:a16="http://schemas.microsoft.com/office/drawing/2014/main" id="{AAFB3E34-5952-15F7-B5B7-0289518CC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733425</xdr:colOff>
      <xdr:row>11</xdr:row>
      <xdr:rowOff>123825</xdr:rowOff>
    </xdr:from>
    <xdr:to>
      <xdr:col>19</xdr:col>
      <xdr:colOff>180975</xdr:colOff>
      <xdr:row>26</xdr:row>
      <xdr:rowOff>9525</xdr:rowOff>
    </xdr:to>
    <xdr:graphicFrame macro="">
      <xdr:nvGraphicFramePr>
        <xdr:cNvPr id="4" name="Chart 3">
          <a:extLst>
            <a:ext uri="{FF2B5EF4-FFF2-40B4-BE49-F238E27FC236}">
              <a16:creationId xmlns:a16="http://schemas.microsoft.com/office/drawing/2014/main" id="{7F3A13CA-9598-CF28-BC88-9890D898F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22786</xdr:colOff>
      <xdr:row>16</xdr:row>
      <xdr:rowOff>96744</xdr:rowOff>
    </xdr:from>
    <xdr:to>
      <xdr:col>10</xdr:col>
      <xdr:colOff>99586</xdr:colOff>
      <xdr:row>28</xdr:row>
      <xdr:rowOff>5229</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57E2179E-A66A-D226-B939-8E5BA808A80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095315" y="3084979"/>
              <a:ext cx="1466330" cy="2149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222250</xdr:colOff>
      <xdr:row>2</xdr:row>
      <xdr:rowOff>101600</xdr:rowOff>
    </xdr:from>
    <xdr:to>
      <xdr:col>10</xdr:col>
      <xdr:colOff>196850</xdr:colOff>
      <xdr:row>16</xdr:row>
      <xdr:rowOff>47625</xdr:rowOff>
    </xdr:to>
    <mc:AlternateContent xmlns:mc="http://schemas.openxmlformats.org/markup-compatibility/2006" xmlns:a14="http://schemas.microsoft.com/office/drawing/2010/main">
      <mc:Choice Requires="a14">
        <xdr:graphicFrame macro="">
          <xdr:nvGraphicFramePr>
            <xdr:cNvPr id="4" name="Job Title">
              <a:extLst>
                <a:ext uri="{FF2B5EF4-FFF2-40B4-BE49-F238E27FC236}">
                  <a16:creationId xmlns:a16="http://schemas.microsoft.com/office/drawing/2014/main" id="{7B46836F-43BE-B5BE-6D60-969F18196FFF}"/>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4831603" y="475129"/>
              <a:ext cx="1827306" cy="2560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463550</xdr:colOff>
      <xdr:row>7</xdr:row>
      <xdr:rowOff>127000</xdr:rowOff>
    </xdr:from>
    <xdr:to>
      <xdr:col>17</xdr:col>
      <xdr:colOff>88900</xdr:colOff>
      <xdr:row>15</xdr:row>
      <xdr:rowOff>25400</xdr:rowOff>
    </xdr:to>
    <mc:AlternateContent xmlns:mc="http://schemas.openxmlformats.org/markup-compatibility/2006" xmlns:tsle="http://schemas.microsoft.com/office/drawing/2012/timeslicer">
      <mc:Choice Requires="tsle">
        <xdr:graphicFrame macro="">
          <xdr:nvGraphicFramePr>
            <xdr:cNvPr id="5" name="Hire Date">
              <a:extLst>
                <a:ext uri="{FF2B5EF4-FFF2-40B4-BE49-F238E27FC236}">
                  <a16:creationId xmlns:a16="http://schemas.microsoft.com/office/drawing/2014/main" id="{4F990F0E-6750-4827-006B-9C308AA0E676}"/>
                </a:ext>
              </a:extLst>
            </xdr:cNvPr>
            <xdr:cNvGraphicFramePr/>
          </xdr:nvGraphicFramePr>
          <xdr:xfrm>
            <a:off x="0" y="0"/>
            <a:ext cx="0" cy="0"/>
          </xdr:xfrm>
          <a:graphic>
            <a:graphicData uri="http://schemas.microsoft.com/office/drawing/2012/timeslicer">
              <tsle:timeslicer name="Hire Date"/>
            </a:graphicData>
          </a:graphic>
        </xdr:graphicFrame>
      </mc:Choice>
      <mc:Fallback xmlns="">
        <xdr:sp macro="" textlink="">
          <xdr:nvSpPr>
            <xdr:cNvPr id="0" name=""/>
            <xdr:cNvSpPr>
              <a:spLocks noTextEdit="1"/>
            </xdr:cNvSpPr>
          </xdr:nvSpPr>
          <xdr:spPr>
            <a:xfrm>
              <a:off x="6462432" y="1434353"/>
              <a:ext cx="3330762" cy="13925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34925</xdr:colOff>
      <xdr:row>2</xdr:row>
      <xdr:rowOff>82550</xdr:rowOff>
    </xdr:from>
    <xdr:to>
      <xdr:col>12</xdr:col>
      <xdr:colOff>339725</xdr:colOff>
      <xdr:row>17</xdr:row>
      <xdr:rowOff>63500</xdr:rowOff>
    </xdr:to>
    <xdr:graphicFrame macro="">
      <xdr:nvGraphicFramePr>
        <xdr:cNvPr id="2" name="Chart 1">
          <a:extLst>
            <a:ext uri="{FF2B5EF4-FFF2-40B4-BE49-F238E27FC236}">
              <a16:creationId xmlns:a16="http://schemas.microsoft.com/office/drawing/2014/main" id="{67BD73BB-13F4-9642-8128-500728E1D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Employee%20Sample%20Data.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 Krishnan" refreshedDate="45016.302972106481" createdVersion="8" refreshedVersion="8" minRefreshableVersion="3" recordCount="1000" xr:uid="{9D61FD36-AB89-4339-9C56-5F039BC4CD0B}">
  <cacheSource type="worksheet">
    <worksheetSource ref="A1:M1001" sheet="Data" r:id="rId2"/>
  </cacheSource>
  <cacheFields count="13">
    <cacheField name="Employee ID" numFmtId="0">
      <sharedItems/>
    </cacheField>
    <cacheField name="Full Name" numFmtId="0">
      <sharedItems count="991">
        <s v="Kai Le"/>
        <s v="Robert Patel"/>
        <s v="Cameron Lo"/>
        <s v="Harper Castillo"/>
        <s v="Harper Dominguez"/>
        <s v="Ezra Vu"/>
        <s v="Jade Hu"/>
        <s v="Miles Chang"/>
        <s v="Gianna Holmes"/>
        <s v="Jameson Thomas"/>
        <s v="Jameson Pena"/>
        <s v="Bella Wu"/>
        <s v="Jose Wong"/>
        <s v="Lucas Richardson"/>
        <s v="Jacob Moore"/>
        <s v="Luna Lu"/>
        <s v="Bella Tran"/>
        <s v="Ivy Chau"/>
        <s v="Jordan Kumar"/>
        <s v="Sophia Gutierrez"/>
        <s v="Eli Dang"/>
        <s v="Lillian Lewis"/>
        <s v="Serenity Cao"/>
        <s v="Parker Lai"/>
        <s v="Charles Simmons"/>
        <s v="Jayden Luu"/>
        <s v="Brooks Richardson"/>
        <s v="Ivy Thompson"/>
        <s v="Peyton Wright"/>
        <s v="Wyatt Dinh"/>
        <s v="Ruby Alexander"/>
        <s v="Axel Oh"/>
        <s v="Axel Ramirez"/>
        <s v="Liliana Chang"/>
        <s v="Leonardo Carter"/>
        <s v="Landon Gonzales"/>
        <s v="Amelia Dominguez"/>
        <s v="Silas Ross"/>
        <s v="Jeremiah Cheng"/>
        <s v="Chloe Chin"/>
        <s v="Ella Martinez"/>
        <s v="Gianna Jones"/>
        <s v="Austin Chow"/>
        <s v="Ella Chen"/>
        <s v="Ruby Kaur"/>
        <s v="Savannah Morales"/>
        <s v="Luca Powell"/>
        <s v="Parker Thao"/>
        <s v="Ryan Vo"/>
        <s v="Isabella Ngo"/>
        <s v="Leah Vega"/>
        <s v="Jaxson Liu"/>
        <s v="Santiago f Ross"/>
        <s v="Layla Bell"/>
        <s v="Bella Morales"/>
        <s v="Eliza Kang"/>
        <s v="Gabriel Reyes"/>
        <s v="Piper Garcia"/>
        <s v="Jacob Cheng"/>
        <s v="Nathan Hong"/>
        <s v="Chloe Kim"/>
        <s v="Isaac Guzman"/>
        <s v="Julian Ford"/>
        <s v="Kinsley Liang"/>
        <s v="Wesley Yu"/>
        <s v="Serenity Martin"/>
        <s v="Ethan Sanchez"/>
        <s v="David Sanchez"/>
        <s v="Elias Hsu"/>
        <s v="Luca Phan"/>
        <s v="Olivia Xi"/>
        <s v="Alice Luu"/>
        <s v="Leonardo Ng"/>
        <s v="Peyton Edwards"/>
        <s v="Axel Patel"/>
        <s v="Eva Chavez"/>
        <s v="Savannah Lee"/>
        <s v="Mia Grant"/>
        <s v="Eli Richardson"/>
        <s v="Eloise Perry"/>
        <s v="Ian Cheng"/>
        <s v="Penelope Chan"/>
        <s v="Sofia Vasquez"/>
        <s v="Anthony Baker"/>
        <s v="Lucas Luong"/>
        <s v="Xavier Patel"/>
        <s v="Robert Soto"/>
        <s v="Nevaeh Jiang"/>
        <s v="Chloe Reyes"/>
        <s v="Lucy Edwards"/>
        <s v="Luna Edwards"/>
        <s v="Stella Daniels"/>
        <s v="Ayla Ma"/>
        <s v="Matthew Avila"/>
        <s v="Gianna Lim"/>
        <s v="Joseph Tan"/>
        <s v="Connor Lai"/>
        <s v="Ava Owens"/>
        <s v="Dylan Aguilar"/>
        <s v="Leah Zheng"/>
        <s v="Jade Pham"/>
        <s v="Theodore Bui"/>
        <s v="Asher Chan"/>
        <s v="Ezekiel Brown"/>
        <s v="Peyton Allen"/>
        <s v="Parker Joseph"/>
        <s v="Kayden Ortiz"/>
        <s v="Lillian Desai"/>
        <s v="Avery Gutierrez"/>
        <s v="Caroline Sandoval"/>
        <s v="Hailey Lim"/>
        <s v="Roman Liang"/>
        <s v="Elias Rojas"/>
        <s v="Quinn Lai"/>
        <s v="Clara Le"/>
        <s v="Chloe Yoon"/>
        <s v="Abigail Simmons"/>
        <s v="Ayla Espinoza"/>
        <s v="Nova Lin"/>
        <s v="Sadie Singh"/>
        <s v="Aaron Powell"/>
        <s v="Jameson Vargas"/>
        <s v="Logan Young"/>
        <s v="Wyatt Cheung"/>
        <s v="Lucas Zhu"/>
        <s v="Emily Hong"/>
        <s v="Luke Ramos"/>
        <s v="Maya Gupta"/>
        <s v="Eliana Ha"/>
        <s v="Lillian Cheng"/>
        <s v="Alexander Pena"/>
        <s v="Leonardo Mai"/>
        <s v="Jack Phillips"/>
        <s v="Scarlett Delgado"/>
        <s v="Jack Rogers"/>
        <s v="Violet Huynh"/>
        <s v="Victoria Park"/>
        <s v="Elizabeth Rodriguez"/>
        <s v="Samuel Kumar"/>
        <s v="Zoe Maldonado"/>
        <s v="Natalia Richardson"/>
        <s v="Madeline Contreras"/>
        <s v="Raelynn Espinoza"/>
        <s v="Noah Rojas"/>
        <s v="Jack Ramos"/>
        <s v="Riley King"/>
        <s v="Naomi Lee"/>
        <s v="Caleb Jones"/>
        <s v="Peyton Alvarado"/>
        <s v="Luca Liu"/>
        <s v="Christian Johnson"/>
        <s v="Kinsley Gonzales"/>
        <s v="Hunter Yoon"/>
        <s v="Elias Dixon"/>
        <s v="Owen Guerrero"/>
        <s v="Lucas Lo"/>
        <s v="Hunter Mitchell"/>
        <s v="Eliana Bailey"/>
        <s v="Gabriella Choi"/>
        <s v="Evelyn Alvarado"/>
        <s v="Wyatt Chan"/>
        <s v="Sarah Johnson"/>
        <s v="Brooks Evans"/>
        <s v="Isaiah Dixon"/>
        <s v="Addison Lo"/>
        <s v="Nolan Howard"/>
        <s v="Paisley Dominguez"/>
        <s v="Eliana Ho"/>
        <s v="Charles Miller"/>
        <s v="Mia Jiang"/>
        <s v="Skylar Parker"/>
        <s v="Zoey Leung"/>
        <s v="Austin Moua"/>
        <s v="Christopher Robinson"/>
        <s v="Jayden Zhang"/>
        <s v="Cora Mejia"/>
        <s v="Julian Harris"/>
        <s v="Anthony Espinoza"/>
        <s v="Aubrey Ruiz"/>
        <s v="Piper Tang"/>
        <s v="Colton Delgado"/>
        <s v="Madeline Chung"/>
        <s v="Ariana Sharma"/>
        <s v="Julian Marquez"/>
        <s v="Logan Reyes"/>
        <s v="Penelope Mai"/>
        <s v="Ryan Reed"/>
        <s v="Grayson Hwang"/>
        <s v="Ezra Tan"/>
        <s v="David Ha"/>
        <s v="Lillian Vang"/>
        <s v="Sofia Zhang"/>
        <s v="Athena Daniels"/>
        <s v="Jameson Shin"/>
        <s v="Everly Avila"/>
        <s v="Liam Nelson"/>
        <s v="Theodore Lai"/>
        <s v="Caroline Do"/>
        <s v="Josiah Ramos"/>
        <s v="Colton Alexander"/>
        <s v="Charles Ramos"/>
        <s v="Ellie Wilson"/>
        <s v="Peyton Powell"/>
        <s v="Hailey Rojas"/>
        <s v="Kai Singh"/>
        <s v="Ryan Rivera"/>
        <s v="Everett Lu"/>
        <s v="Layla Nunez"/>
        <s v="Liliana Collins"/>
        <s v="Ezekiel Jenkins"/>
        <s v="Christopher Wang"/>
        <s v="Savannah Rodriguez"/>
        <s v="Lyla Turner"/>
        <s v="Adrian Ngo"/>
        <s v="Aria Juarez"/>
        <s v="Audrey Ramos"/>
        <s v="Hazel Cho"/>
        <s v="Iris Chung"/>
        <s v="Thomas Rodriguez"/>
        <s v="Avery Lo"/>
        <s v="Gabriel Bell"/>
        <s v="Gianna Walker"/>
        <s v="Axel Bailey"/>
        <s v="Scarlett Green"/>
        <s v="Jackson Wong"/>
        <s v="Eva Jimenez"/>
        <s v="Ian Ma"/>
        <s v="Luna Castro"/>
        <s v="Nolan Brooks"/>
        <s v="Jayden Jones"/>
        <s v="Asher Hsu"/>
        <s v="Greyson Lim"/>
        <s v="Chloe Miller"/>
        <s v="Jaxson Brooks"/>
        <s v="Jack Perez"/>
        <s v="Ruby Reed"/>
        <s v="Ivy Rojas"/>
        <s v="Hudson Wong"/>
        <s v="Ryan Yi"/>
        <s v="Carter Simmons"/>
        <s v="Emilia Xu"/>
        <s v="Adam Medina"/>
        <s v="Connor Howard"/>
        <s v="Audrey Duong"/>
        <s v="Landon Reyes"/>
        <s v="Noah Ma"/>
        <s v="Lucas Alexander"/>
        <s v="Henry Vo"/>
        <s v="Mila Han"/>
        <s v="Genesis Herrera"/>
        <s v="Olivia Vazquez"/>
        <s v="Leilani Ng"/>
        <s v="Olivia Mendoza"/>
        <s v="Skylar Xu"/>
        <s v="Eloise Williams"/>
        <s v="Jackson Maldonado"/>
        <s v="Christian Harris"/>
        <s v="Penelope Santos"/>
        <s v="Nicholas Zhou"/>
        <s v="Ayla Garza"/>
        <s v="Carson Mai"/>
        <s v="Anthony Ho"/>
        <s v="Clara Lopez"/>
        <s v="Melody Woods"/>
        <s v="Matthew Simmons"/>
        <s v="Gabriella Carrillo"/>
        <s v="Lydia Juarez"/>
        <s v="Ava Carrillo"/>
        <s v="Elena Sharma"/>
        <s v="Julia Ahmed"/>
        <s v="Iris Vo"/>
        <s v="Hunter Yi"/>
        <s v="Valentina Oh"/>
        <s v="Kinsley Tran"/>
        <s v="Christian Hong"/>
        <s v="Amelia Mehta"/>
        <s v="Axel Leung"/>
        <s v="Lucas Lam"/>
        <s v="Jose Thompson"/>
        <s v="Wesley Duong"/>
        <s v="Adeline Maldonado"/>
        <s v="Elias Diaz"/>
        <s v="Wyatt Aguilar"/>
        <s v="Josephine Espinoza"/>
        <s v="Adeline Lai"/>
        <s v="Christopher Vu"/>
        <s v="Kai Vega"/>
        <s v="Hailey Chin"/>
        <s v="Eleanor Xi"/>
        <s v="Lily Molina"/>
        <s v="Levi Vasquez"/>
        <s v="Elijah Washington"/>
        <s v="Gianna Park"/>
        <s v="Melody Leung"/>
        <s v="Liliana Valdez"/>
        <s v="Ezekiel Kumar"/>
        <s v="Ruby Rahman"/>
        <s v="Natalie Stewart"/>
        <s v="Charlotte Lim"/>
        <s v="Elena Campos"/>
        <s v="Vivian Lim"/>
        <s v="Madison Xu"/>
        <s v="Ava Aguilar"/>
        <s v="Kayden Patel"/>
        <s v="Penelope Desai"/>
        <s v="Henry Vang"/>
        <s v="Eliana Turner"/>
        <s v="Charlotte Tran"/>
        <s v="Everly Coleman"/>
        <s v="Matthew Harris"/>
        <s v="Emilia Barnes"/>
        <s v="Sophie Griffin"/>
        <s v="Kai Phillips"/>
        <s v="Dylan Khan"/>
        <s v="Nevaeh Clark"/>
        <s v="Carter Luu"/>
        <s v="Jordan Ngo"/>
        <s v="Jackson Hu"/>
        <s v="Madelyn Kang"/>
        <s v="Everleigh Bell"/>
        <s v="Eliana Trinh"/>
        <s v="Oliver Ford"/>
        <s v="Ryan Huang"/>
        <s v="Gabriel Ahmed"/>
        <s v="Ivy Rios"/>
        <s v="Luca Hunter"/>
        <s v="Claire Owens"/>
        <s v="Aubrey Maldonado"/>
        <s v="Elias Vasquez"/>
        <s v="Melody Luu"/>
        <s v="Christopher Luu"/>
        <s v="James Han"/>
        <s v="Jaxson Ayala"/>
        <s v="Levi James"/>
        <s v="Grayson Carrillo"/>
        <s v="Maverick Hwang"/>
        <s v="Noah Truong"/>
        <s v="Willow Guzman"/>
        <s v="Rylee Howard"/>
        <s v="Ian Marquez"/>
        <s v="Layla Owens"/>
        <s v="Chloe Dixon"/>
        <s v="Emily Zheng"/>
        <s v="Jayden Rogers"/>
        <s v="Elizabeth Vasquez"/>
        <s v="Samantha Ford"/>
        <s v="Thomas Silva"/>
        <s v="Charlotte Park"/>
        <s v="Liam Jimenez"/>
        <s v="Ivy Liu"/>
        <s v="Jayden Dixon"/>
        <s v="Nevaeh Butler"/>
        <s v="Leonardo Li"/>
        <s v="Kinsley Woods"/>
        <s v="Abigail Chu"/>
        <s v="Ava Xiong"/>
        <s v="Olivia Marquez"/>
        <s v="Claire Vazquez"/>
        <s v="Christian Castro"/>
        <s v="Mason Oh"/>
        <s v="Violet Santiago"/>
        <s v="Lily Rios"/>
        <s v="Kinsley Stewart"/>
        <s v="Aria Molina"/>
        <s v="James Cheng"/>
        <s v="Mila Vang"/>
        <s v="Alice Liu"/>
        <s v="Delilah Gonzalez"/>
        <s v="Samuel Tang"/>
        <s v="Serenity Gray"/>
        <s v="Benjamin Estrada"/>
        <s v="Wesley Han"/>
        <s v="Nora Herrera"/>
        <s v="Lincoln Harris"/>
        <s v="Charles Gonzales"/>
        <s v="Athena Cheng"/>
        <s v="David Garza"/>
        <s v="Hunter Doan"/>
        <s v="Julian Lam"/>
        <s v="Sofia Estrada"/>
        <s v="Jordan Chen"/>
        <s v="Eloise Huang"/>
        <s v="Ivy Mehta"/>
        <s v="Eli Castillo"/>
        <s v="Nolan Garcia"/>
        <s v="Alexander Zhu"/>
        <s v="Victoria Wu"/>
        <s v="Mateo Jordan"/>
        <s v="Everly Martin"/>
        <s v="Athena Castro"/>
        <s v="Josephine White"/>
        <s v="Nicholas Vo"/>
        <s v="Jackson Sandoval"/>
        <s v="Olivia Turner"/>
        <s v="Cooper Rivera"/>
        <s v="Hailey Washington"/>
        <s v="Mia Vasquez"/>
        <s v="Jose Grant"/>
        <s v="Nathan Yee"/>
        <s v="Isabella Munoz"/>
        <s v="Michael Turner"/>
        <s v="Oliver Jones"/>
        <s v="Charles Taylor"/>
        <s v="Gianna Alvarez"/>
        <s v="Nova Martin"/>
        <s v="Julia Gonzalez"/>
        <s v="Athena Vu"/>
        <s v="Caroline Bui"/>
        <s v="Daniel Ali"/>
        <s v="Iris Huang"/>
        <s v="Natalia Cheng"/>
        <s v="Owen Evans"/>
        <s v="Angel Dixon"/>
        <s v="Aubrey Guerrero"/>
        <s v="Ivy Do"/>
        <s v="Kai Gutierrez"/>
        <s v="Caroline Ahmed"/>
        <s v="Alice Sharma"/>
        <s v="Leo Simmons"/>
        <s v="Asher Hong"/>
        <s v="Gianna Ramirez"/>
        <s v="Thomas Smith"/>
        <s v="Carter Hunter"/>
        <s v="Charlotte Green"/>
        <s v="Lincoln Holmes"/>
        <s v="Hudson Hu"/>
        <s v="Noah Mitchell"/>
        <s v="Liliana Choi"/>
        <s v="Leonardo Cho"/>
        <s v="Oliver Delgado"/>
        <s v="Isabella Roberts"/>
        <s v="Luca Desai"/>
        <s v="William Juarez"/>
        <s v="Ryan Alvarez"/>
        <s v="Hudson Ha"/>
        <s v="Hannah Brown"/>
        <s v="Hadley Le"/>
        <s v="Jaxson Shah"/>
        <s v="Christopher Delgado"/>
        <s v="Hannah Ng"/>
        <s v="Austin Ngo"/>
        <s v="Gianna Han"/>
        <s v="Isaac Choi"/>
        <s v="Madeline Smith"/>
        <s v="Ellie Fernandez"/>
        <s v="Lyla Lai"/>
        <s v="Emily Moore"/>
        <s v="Aubrey Moreno"/>
        <s v="Nova Xiong"/>
        <s v="Eva Lam"/>
        <s v="Caroline Chau"/>
        <s v="Sofia Chen"/>
        <s v="Christopher Sharma"/>
        <s v="Lucas Grant"/>
        <s v="Delilah Washington"/>
        <s v="Eloise Molina"/>
        <s v="Clara Desai"/>
        <s v="Audrey Campbell"/>
        <s v="Delilah Alvarez"/>
        <s v="Luke Luna"/>
        <s v="Elizabeth Tan"/>
        <s v="Sophia Wang"/>
        <s v="Nova Park"/>
        <s v="Josiah Khan"/>
        <s v="Madison Gray"/>
        <s v="Luca Washington"/>
        <s v="Isaac Cruz"/>
        <s v="Ellie Ortega"/>
        <s v="Ian Huang"/>
        <s v="Jayden Ahmed"/>
        <s v="Violet Simmons"/>
        <s v="William Roberts"/>
        <s v="Penelope Sandoval"/>
        <s v="Emilia Ortiz"/>
        <s v="Layla Gutierrez"/>
        <s v="Dylan Vu"/>
        <s v="Peyton Wong"/>
        <s v="Santiago f Banks"/>
        <s v="Caroline Wong"/>
        <s v="Quinn Ho"/>
        <s v="Caroline Nunez"/>
        <s v="Carson Brown"/>
        <s v="Olivia Maldonado"/>
        <s v="Emilia Chung"/>
        <s v="Leilani Shin"/>
        <s v="Abigail Zhu"/>
        <s v="Autumn Xiong"/>
        <s v="Hailey Cruz"/>
        <s v="Piper Cruz"/>
        <s v="Jaxson Jackson"/>
        <s v="Serenity Mehta"/>
        <s v="Peyton Gomez"/>
        <s v="Ethan Vargas"/>
        <s v="Serenity Morris"/>
        <s v="Vivian Chan"/>
        <s v="Lincoln Singh"/>
        <s v="Ayla Lim"/>
        <s v="Leilani Hong"/>
        <s v="Victoria Doan"/>
        <s v="Naomi Wright"/>
        <s v="Scarlett Howard"/>
        <s v="Victoria Vo"/>
        <s v="Oliver Fernandez"/>
        <s v="Luca Jiang"/>
        <s v="Charlotte Owens"/>
        <s v="Stella Tan"/>
        <s v="Ellie Yoon"/>
        <s v="Ella Do"/>
        <s v="Lucas Cruz"/>
        <s v="Sarah Mehta"/>
        <s v="Anthony Phan"/>
        <s v="David Chu"/>
        <s v="Sebastian Sanders"/>
        <s v="Jayden Phillips"/>
        <s v="Caleb Chan"/>
        <s v="Ariana Santiago"/>
        <s v="Quinn Owens"/>
        <s v="Eli James"/>
        <s v="Ezra Aguilar"/>
        <s v="Anna Castro"/>
        <s v="Liliana Lewis"/>
        <s v="Maverick Alvarado"/>
        <s v="Nora Butler"/>
        <s v="Landon Rodriguez"/>
        <s v="Grace Harris"/>
        <s v="Jeremiah Medina"/>
        <s v="Charles Bryant"/>
        <s v="Elizabeth Dixon"/>
        <s v="Riley Phillips"/>
        <s v="Gianna Cruz"/>
        <s v="Lincoln Cruz"/>
        <s v="Ezekiel Contreras"/>
        <s v="Amelia Do"/>
        <s v="Anthony Perez"/>
        <s v="Elias Maldonado"/>
        <s v="Liam Luong"/>
        <s v="Jordan Ford"/>
        <s v="Mateo Chung"/>
        <s v="Jameson Vang"/>
        <s v="Samuel Thomas"/>
        <s v="Gabriel Rodriguez"/>
        <s v="Wyatt Robinson"/>
        <s v="Anna Huynh"/>
        <s v="Lucy Simmons"/>
        <s v="Austin Ng"/>
        <s v="Madeline Cruz"/>
        <s v="Layla Munoz"/>
        <s v="Alexander Tang"/>
        <s v="Carson Chen"/>
        <s v="Kai Duong"/>
        <s v="Ayla Cooper"/>
        <s v="Eliza Espinoza"/>
        <s v="Axel King"/>
        <s v="Alexander Carter"/>
        <s v="Robert Rogers"/>
        <s v="Anthony Gupta"/>
        <s v="Jackson Gupta"/>
        <s v="Sophia Rodriguez"/>
        <s v="Cora Patel"/>
        <s v="Piper Hsu"/>
        <s v="Hunter Marquez"/>
        <s v="Addison Li"/>
        <s v="Carson Hoang"/>
        <s v="Julian Fernandez"/>
        <s v="Caleb Rojas"/>
        <s v="Elizabeth Griffin"/>
        <s v="Nolan Han"/>
        <s v="Cameron Romero"/>
        <s v="Angel Patterson"/>
        <s v="Ryan Foster"/>
        <s v="Leonardo Patterson"/>
        <s v="William Song"/>
        <s v="Axel Aguilar"/>
        <s v="Liam Valdez"/>
        <s v="Hudson Washington"/>
        <s v="Owen Han"/>
        <s v="Harper Washington"/>
        <s v="Brooklyn Parker"/>
        <s v="Hudson Oh"/>
        <s v="Maverick Howard"/>
        <s v="Alexander Dominguez"/>
        <s v="Jack Garcia"/>
        <s v="Aiden Hu"/>
        <s v="Cora Espinoza"/>
        <s v="Naomi Moua"/>
        <s v="Liam Baker"/>
        <s v="Christian Liu"/>
        <s v="Aaron Munoz"/>
        <s v="Levi Kang"/>
        <s v="Isaac Foster"/>
        <s v="Samantha Zhu"/>
        <s v="Vivian Watson"/>
        <s v="Emery Hernandez"/>
        <s v="Camila Baker"/>
        <s v="David Bryant"/>
        <s v="Miles Perez"/>
        <s v="Elijah Hill"/>
        <s v="Sofia Shin"/>
        <s v="Ezekiel Lee"/>
        <s v="Nevaeh Truong"/>
        <s v="Leah Ali"/>
        <s v="Emma Soto"/>
        <s v="Lydia Marquez"/>
        <s v="Cora Munoz"/>
        <s v="Hudson Ross"/>
        <s v="Aiden Cheng"/>
        <s v="Willow Vang"/>
        <s v="Jonathan Young"/>
        <s v="Isaac Rojas"/>
        <s v="Dylan Guzman"/>
        <s v="Sarah Shin"/>
        <s v="Michael Johnson"/>
        <s v="Riley Vega"/>
        <s v="Benjamin Ali"/>
        <s v="Ezekiel Cooper"/>
        <s v="Lyla Walker"/>
        <s v="Aria Cheng"/>
        <s v="Christopher Ramirez"/>
        <s v="Emily Roberts"/>
        <s v="Nathan Parker"/>
        <s v="Nora Her"/>
        <s v="Mia Brown"/>
        <s v="Hunter Hu"/>
        <s v="Luke Acosta"/>
        <s v="Sophia Griffin"/>
        <s v="Anthony Chu"/>
        <s v="Landon Ha"/>
        <s v="Layla Kang"/>
        <s v="Cora Xu"/>
        <s v="Rylee Campos"/>
        <s v="Amelia Foster"/>
        <s v="Hadley Rios"/>
        <s v="Luna Chang"/>
        <s v="Mia Navarro"/>
        <s v="Nova Rios"/>
        <s v="Theodore Truong"/>
        <s v="Asher Ly"/>
        <s v="Madeline Doan"/>
        <s v="Scarlett Rodriguez"/>
        <s v="Zoey Lu"/>
        <s v="Mila Cheung"/>
        <s v="Lucy Mai"/>
        <s v="Benjamin Luu"/>
        <s v="Maya Watson"/>
        <s v="Jack Adams"/>
        <s v="Gabriella Jordan"/>
        <s v="Jonathan Torres"/>
        <s v="Samuel Xu"/>
        <s v="Ezekiel Lai"/>
        <s v="Levi Rahman"/>
        <s v="Madison Phan"/>
        <s v="Andrew Pham"/>
        <s v="Clara Ford"/>
        <s v="Christopher Chau"/>
        <s v="Madeline Guerrero"/>
        <s v="Harper Yee"/>
        <s v="Mia Thomas"/>
        <s v="Owen Nelson"/>
        <s v="Aiden Evans"/>
        <s v="Josiah Lai"/>
        <s v="Jameson Yee"/>
        <s v="Serenity Her"/>
        <s v="Ariana Turner"/>
        <s v="Jacob Cooper"/>
        <s v="Christopher Dominguez"/>
        <s v="Nevaeh Lim"/>
        <s v="Dominic Cheng"/>
        <s v="Serenity Rodriguez"/>
        <s v="Caleb Thompson"/>
        <s v="Luke Avila"/>
        <s v="Sadie Chin"/>
        <s v="Everett Le"/>
        <s v="Carson Santos"/>
        <s v="Natalie Ho"/>
        <s v="Natalia Hall"/>
        <s v="Zoey Ahmed"/>
        <s v="Santiago f Turner"/>
        <s v="Jacob Alexander"/>
        <s v="Christopher Aguilar"/>
        <s v="Vivian Jackson"/>
        <s v="Leonardo Jenkins"/>
        <s v="Oliver Hunter"/>
        <s v="Ayla Brooks"/>
        <s v="Willow Chau"/>
        <s v="Kai Shin"/>
        <s v="Liliana Zhao"/>
        <s v="Aiden Carter"/>
        <s v="Christopher Song"/>
        <s v="Charles Luu"/>
        <s v="Kayden Dinh"/>
        <s v="Valentina Zhang"/>
        <s v="Alexander Perez"/>
        <s v="Everleigh Kumar"/>
        <s v="Santiago f Xiong"/>
        <s v="Elizabeth Powell"/>
        <s v="Lucas Yang"/>
        <s v="John Richardson"/>
        <s v="Miles Ross"/>
        <s v="Jonathan Santos"/>
        <s v="Joshua Maldonado"/>
        <s v="Santiago f Vo"/>
        <s v="Leilani Martin"/>
        <s v="Luca Xiong"/>
        <s v="Valentina Campos"/>
        <s v="Grayson Jenkins"/>
        <s v="Jeremiah Ross"/>
        <s v="Natalie Zheng"/>
        <s v="Jace Mehta"/>
        <s v="Hannah Doan"/>
        <s v="Caroline Robinson"/>
        <s v="Naomi Ma"/>
        <s v="Adam Davis"/>
        <s v="Ellie Ho"/>
        <s v="Mila Liang"/>
        <s v="Nova Doan"/>
        <s v="Colton Mejia"/>
        <s v="Joseph Kim"/>
        <s v="Audrey Campos"/>
        <s v="Vivian Brooks"/>
        <s v="Mateo Vargas"/>
        <s v="David Foster"/>
        <s v="Isaiah Ramos"/>
        <s v="Samantha Do"/>
        <s v="Emery Fernandez"/>
        <s v="Santiago f Brooks"/>
        <s v="Aubrey Lin"/>
        <s v="Jace Hsu"/>
        <s v="Nicholas Sanders"/>
        <s v="Joshua Sun"/>
        <s v="Riley Ayala"/>
        <s v="Isaac Santos"/>
        <s v="Logan Brooks"/>
        <s v="Leilani Hu"/>
        <s v="Jace Cho"/>
        <s v="Jaxson Fong"/>
        <s v="Wyatt Ly"/>
        <s v="Mia Huang"/>
        <s v="Levi Her"/>
        <s v="Everleigh Phillips"/>
        <s v="Natalie Acosta"/>
        <s v="Hadley Chavez"/>
        <s v="Hailey Liu"/>
        <s v="Nicholas Jiang"/>
        <s v="Gabriel Xu"/>
        <s v="Sophia Collins"/>
        <s v="Evelyn Vasquez"/>
        <s v="Paisley Baker"/>
        <s v="Eloise Griffin"/>
        <s v="Samuel Cruz"/>
        <s v="Gabriel Cheung"/>
        <s v="Kai Green"/>
        <s v="Julia Moore"/>
        <s v="Roman Mendoza"/>
        <s v="Sadie Pham"/>
        <s v="Chloe Contreras"/>
        <s v="Owen Ford"/>
        <s v="Audrey Powell"/>
        <s v="Greyson Munoz"/>
        <s v="Isaiah Vang"/>
        <s v="Lincoln Alvarado"/>
        <s v="Carter Sandoval"/>
        <s v="Julia Jimenez"/>
        <s v="Savannah Cortez"/>
        <s v="Everly Brown"/>
        <s v="Charlotte Pham"/>
        <s v="Iris Bailey"/>
        <s v="Logan Daniels"/>
        <s v="Autumn Molina"/>
        <s v="Emma Mehta"/>
        <s v="Julian Joseph"/>
        <s v="Eleanor Munoz"/>
        <s v="Eliza Zhu"/>
        <s v="Greyson Moore"/>
        <s v="Lyla Clark"/>
        <s v="Samuel Patterson"/>
        <s v="Robert Padilla"/>
        <s v="Landon Munoz"/>
        <s v="Josiah Yi"/>
        <s v="Owen Scott"/>
        <s v="Matthew Parker"/>
        <s v="Daniel Huynh"/>
        <s v="Matthew Vargas"/>
        <s v="Ella Herrera"/>
        <s v="Everly Hwang"/>
        <s v="Hazel Mitchell"/>
        <s v="Ian Hernandez"/>
        <s v="Charlotte Lam"/>
        <s v="Jonathan Ali"/>
        <s v="Violet He"/>
        <s v="Hannah Truong"/>
        <s v="Hannah Nelson"/>
        <s v="Autumn Kaur"/>
        <s v="Serenity Ngo"/>
        <s v="Raelynn Her"/>
        <s v="Jameson Salazar"/>
        <s v="Hunter Moua"/>
        <s v="Athena Aguilar"/>
        <s v="Ariana Sanders"/>
        <s v="Easton Cruz"/>
        <s v="Josiah Vega"/>
        <s v="Isla Chavez"/>
        <s v="Willow Estrada"/>
        <s v="Nevaeh Ng"/>
        <s v="Henry Vazquez"/>
        <s v="Nathan Jackson"/>
        <s v="Anthony Lam"/>
        <s v="Nevaeh Ali"/>
        <s v="Mila Vasquez"/>
        <s v="Madelyn Henry"/>
        <s v="Emilia Alexander"/>
        <s v="Christian Ayala"/>
        <s v="Willow Xiong"/>
        <s v="Avery Valdez"/>
        <s v="Abigail Carter"/>
        <s v="Madison Patel"/>
        <s v="Paisley Hsu"/>
        <s v="Kinsley Hill"/>
        <s v="Kai Barnes"/>
        <s v="Lincoln Cheng"/>
        <s v="Noah Sharma"/>
        <s v="Ariana Hall"/>
        <s v="Samuel Cao"/>
        <s v="Brooks Mitchell"/>
        <s v="Kinsley Gonzalez"/>
        <s v="Dominic Tang"/>
        <s v="Colton Le"/>
        <s v="Kai Huang"/>
        <s v="Addison Cruz"/>
        <s v="Natalie Thao"/>
        <s v="Maria Barnes"/>
        <s v="Mia Vang"/>
        <s v="Zoey Mendoza"/>
        <s v="Parker Desai"/>
        <s v="Alexander Liang"/>
        <s v="Adam Jordan"/>
        <s v="Leah Stewart"/>
        <s v="Robert Santos"/>
        <s v="Addison Ma"/>
        <s v="Clara Collins"/>
        <s v="Stella Castro"/>
        <s v="Lucy Chin"/>
        <s v="Piper Evans"/>
        <s v="Cora Coleman"/>
        <s v="Cora Holmes"/>
        <s v="Leo Figueroa"/>
        <s v="Allison Wang"/>
        <s v="Levi Cruz"/>
        <s v="Iris Phillips"/>
        <s v="Madelyn Chavez"/>
        <s v="Caroline Smith"/>
        <s v="Grayson Lai"/>
        <s v="Anna Guerrero"/>
        <s v="Paisley Bell"/>
        <s v="Jose Park"/>
        <s v="Eliza Parker"/>
        <s v="Melody Yoon"/>
        <s v="Avery Smith"/>
        <s v="Madeline Vu"/>
        <s v="Aubrey Cheng"/>
        <s v="Clara Henderson"/>
        <s v="Jace Henderson"/>
        <s v="Caroline Martin"/>
        <s v="Asher Bui"/>
        <s v="Samantha Chau"/>
        <s v="Charles Robinson"/>
        <s v="Jonathan Nelson"/>
        <s v="Liliana Simmons"/>
        <s v="Logan Ortega"/>
        <s v="Isaac Jung"/>
        <s v="Christopher Desai"/>
        <s v="Levi Gonzalez"/>
        <s v="Santiago f Wang"/>
        <s v="Julia Kim"/>
        <s v="Noah Allen"/>
        <s v="Colton Adams"/>
        <s v="Colton Mehta"/>
        <s v="Caroline Gomez"/>
        <s v="Kayden Tang"/>
        <s v="Hadley Parker"/>
        <s v="Elizabeth Estrada"/>
        <s v="Sofia Yee"/>
        <s v="Asher Mendoza"/>
        <s v="Jordan Hernandez"/>
        <s v="Everleigh Tan"/>
        <s v="Joshua Hall"/>
        <s v="Stella Gupta"/>
        <s v="Levi White"/>
        <s v="Matthew Jackson"/>
        <s v="Dominic Martinez"/>
        <s v="Aiden Aguilar"/>
        <s v="Victoria Hu"/>
        <s v="Eloise Campos"/>
        <s v="Emilia Alvarado"/>
        <s v="Lydia Ahmed"/>
        <s v="Dylan Simmons"/>
        <s v="Jaxson Chu"/>
        <s v="Ariana Griffin"/>
        <s v="Hudson Bailey"/>
        <s v="Colton Grant"/>
        <s v="Emery Flores"/>
        <s v="Gabriella Wong"/>
        <s v="Ian Gonzales"/>
        <s v="Jaxon Wright"/>
        <s v="Ethan Cruz"/>
        <s v="Adrian James"/>
        <s v="Isabella Mejia"/>
        <s v="Christopher Miller"/>
        <s v="Samuel Watson"/>
        <s v="Lucy Phan"/>
        <s v="Dominic Thao"/>
        <s v="Jaxon Shin"/>
        <s v="Nevaeh Diaz"/>
        <s v="Isaac Jenkins"/>
        <s v="Jace Barnes"/>
        <s v="Carson Liu"/>
        <s v="Sofia Gutierrez"/>
        <s v="Jeremiah Chang"/>
        <s v="Connor Ruiz"/>
        <s v="Easton Truong"/>
        <s v="Sebastian Vargas"/>
        <s v="Joseph Dang"/>
        <s v="Madison White"/>
        <s v="Valentina Nelson"/>
        <s v="Everleigh Coleman"/>
        <s v="Everleigh Castillo"/>
        <s v="Valentina Fernandez"/>
        <s v="Serenity Richardson"/>
        <s v="Cooper Ramirez"/>
        <s v="Penelope Avila"/>
        <s v="David Barnes"/>
        <s v="Ivy Luong"/>
        <s v="Aurora Bailey"/>
        <s v="Valentina Valdez"/>
        <s v="Parker Dinh"/>
        <s v="Eliana Hsu"/>
        <s v="Logan Parker"/>
        <s v="Liliana Green"/>
        <s v="Victoria Vazquez"/>
        <s v="Kinsley Huynh"/>
        <s v="Anna Carrillo"/>
        <s v="Isla Singh"/>
        <s v="Emma Yu"/>
        <s v="Jonathan Dominguez"/>
        <s v="Caleb Mehta"/>
        <s v="Connor Simmons"/>
        <s v="Jaxon Lai"/>
        <s v="Madelyn Yee"/>
        <s v="Elena Jimenez"/>
        <s v="Sadie Ali"/>
        <s v="Lucas Sandoval"/>
        <s v="Brooks Ngo"/>
        <s v="Piper Oh"/>
        <s v="Hunter Molina"/>
        <s v="Michael Hoang"/>
        <s v="Eloise Sun"/>
        <s v="Gianna Jimenez"/>
        <s v="Ava Chan"/>
        <s v="Leilani Navarro"/>
        <s v="Lydia Chu"/>
        <s v="Liam Salazar"/>
        <s v="Hailey Henderson"/>
        <s v="Austin Espinoza"/>
        <s v="Delilah Ng"/>
        <s v="Gabriella Han"/>
        <s v="Aria Miller"/>
        <s v="Sofia Dixon"/>
        <s v="Ethan Xiong"/>
        <s v="Gabriella Cruz"/>
        <s v="Christopher Kang"/>
        <s v="Ariana Pham"/>
        <s v="Colton Bui"/>
        <s v="Caroline Cortez"/>
        <s v="Nora Richardson"/>
        <s v="Alexander Sanchez"/>
        <s v="Logan Rahman"/>
        <s v="Henry Rogers"/>
        <s v="Delilah Cheng"/>
        <s v="Caroline Rodriguez"/>
        <s v="Jack Chin"/>
        <s v="Luna Collins"/>
        <s v="John Campos"/>
        <s v="Charlotte Banks"/>
        <s v="Miles Liu"/>
        <s v="Violet Duong"/>
        <s v="Isaac Xiong"/>
        <s v="Ian Le"/>
        <s v="Melody Delgado"/>
        <s v="Eliza Bui"/>
        <s v="Layla Wu"/>
        <s v="Thomas Lam"/>
        <s v="Willow Taylor"/>
      </sharedItems>
    </cacheField>
    <cacheField name="Job Title" numFmtId="0">
      <sharedItems/>
    </cacheField>
    <cacheField name="Department" numFmtId="0">
      <sharedItems count="7">
        <s v="Engineering"/>
        <s v="Sales"/>
        <s v="IT"/>
        <s v="Accounting"/>
        <s v="Finance"/>
        <s v="Marketing"/>
        <s v="Human Resources"/>
      </sharedItems>
    </cacheField>
    <cacheField name="Business Unit" numFmtId="0">
      <sharedItems count="5">
        <s v="Manufacturing"/>
        <s v="Corporate"/>
        <s v="Research &amp; Development"/>
        <s v="Specialty Products"/>
        <s v="Research &amp; _x000a__x000a_Development"/>
      </sharedItems>
    </cacheField>
    <cacheField name="Gender" numFmtId="0">
      <sharedItems count="2">
        <s v="Male"/>
        <s v="Female"/>
      </sharedItems>
    </cacheField>
    <cacheField name="Ethnicity" numFmtId="0">
      <sharedItems count="4">
        <s v="Asian"/>
        <s v="Latino"/>
        <s v="Caucasian"/>
        <s v="Black"/>
      </sharedItems>
    </cacheField>
    <cacheField name="Age" numFmtId="0">
      <sharedItems containsSemiMixedTypes="0" containsString="0" containsNumber="1" containsInteger="1" minValue="25" maxValue="65" count="41">
        <n v="47"/>
        <n v="58"/>
        <n v="34"/>
        <n v="39"/>
        <n v="42"/>
        <n v="62"/>
        <n v="38"/>
        <n v="52"/>
        <n v="49"/>
        <n v="63"/>
        <n v="45"/>
        <n v="36"/>
        <n v="61"/>
        <n v="29"/>
        <n v="43"/>
        <n v="31"/>
        <n v="48"/>
        <n v="55"/>
        <n v="64"/>
        <n v="50"/>
        <n v="41"/>
        <n v="59"/>
        <n v="26"/>
        <n v="32"/>
        <n v="54"/>
        <n v="35"/>
        <n v="33"/>
        <n v="27"/>
        <n v="65"/>
        <n v="60"/>
        <n v="46"/>
        <n v="51"/>
        <n v="53"/>
        <n v="37"/>
        <n v="28"/>
        <n v="40"/>
        <n v="56"/>
        <n v="30"/>
        <n v="44"/>
        <n v="57"/>
        <n v="25"/>
      </sharedItems>
    </cacheField>
    <cacheField name="Hire Date" numFmtId="14">
      <sharedItems containsSemiMixedTypes="0" containsNonDate="0" containsDate="1" containsString="0" minDate="1993-04-30T00:00:00" maxDate="2022-12-26T00:00:00"/>
    </cacheField>
    <cacheField name="Annual Salary" numFmtId="164">
      <sharedItems containsSemiMixedTypes="0" containsString="0" containsNumber="1" containsInteger="1" minValue="40352" maxValue="258734"/>
    </cacheField>
    <cacheField name="Bonus %" numFmtId="165">
      <sharedItems containsSemiMixedTypes="0" containsString="0" containsNumber="1" minValue="0" maxValue="0.4"/>
    </cacheField>
    <cacheField name="Country" numFmtId="0">
      <sharedItems count="3">
        <s v="United States"/>
        <s v="China"/>
        <s v="Brazil"/>
      </sharedItems>
    </cacheField>
    <cacheField name="City" numFmtId="0">
      <sharedItems count="13">
        <s v="Columbus"/>
        <s v="Chicago"/>
        <s v="Shanghai"/>
        <s v="Seattle"/>
        <s v="Austin"/>
        <s v="Phoenix"/>
        <s v="Chongqing"/>
        <s v="Chengdu"/>
        <s v="Miami"/>
        <s v="Beijing"/>
        <s v="Rio de Janeiro"/>
        <s v="Sao Paulo"/>
        <s v="Manau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8.929367245371" createdVersion="8" refreshedVersion="8" minRefreshableVersion="3" recordCount="1000" xr:uid="{BF1AB7FC-41A5-4AA9-AEEA-FE3531DF8B1D}">
  <cacheSource type="worksheet">
    <worksheetSource name="practice_excel"/>
  </cacheSource>
  <cacheFields count="16">
    <cacheField name="Employee ID" numFmtId="0">
      <sharedItems count="1000">
        <s v="E02002"/>
        <s v="E02003"/>
        <s v="E02004"/>
        <s v="E02005"/>
        <s v="E02006"/>
        <s v="E02007"/>
        <s v="E02008"/>
        <s v="E02009"/>
        <s v="E02010"/>
        <s v="E02011"/>
        <s v="E02012"/>
        <s v="E02013"/>
        <s v="E02014"/>
        <s v="E02015"/>
        <s v="E02016"/>
        <s v="E02017"/>
        <s v="E02018"/>
        <s v="E02019"/>
        <s v="E02020"/>
        <s v="E02021"/>
        <s v="E02022"/>
        <s v="E02023"/>
        <s v="E02024"/>
        <s v="E02025"/>
        <s v="E02026"/>
        <s v="E02027"/>
        <s v="E02028"/>
        <s v="E02029"/>
        <s v="E02030"/>
        <s v="E02031"/>
        <s v="E02032"/>
        <s v="E02033"/>
        <s v="E02034"/>
        <s v="E02035"/>
        <s v="E02036"/>
        <s v="E02037"/>
        <s v="E02038"/>
        <s v="E02039"/>
        <s v="E02040"/>
        <s v="E02041"/>
        <s v="E02042"/>
        <s v="E02043"/>
        <s v="E02044"/>
        <s v="E02045"/>
        <s v="E02046"/>
        <s v="E02047"/>
        <s v="E02048"/>
        <s v="E02049"/>
        <s v="E02050"/>
        <s v="E02051"/>
        <s v="E02052"/>
        <s v="E02053"/>
        <s v="E02054"/>
        <s v="E02055"/>
        <s v="E02056"/>
        <s v="E02057"/>
        <s v="E02058"/>
        <s v="E02059"/>
        <s v="E02060"/>
        <s v="E02061"/>
        <s v="E02062"/>
        <s v="E02063"/>
        <s v="E02064"/>
        <s v="E02065"/>
        <s v="E02066"/>
        <s v="E02067"/>
        <s v="E02068"/>
        <s v="E02069"/>
        <s v="E02070"/>
        <s v="E02071"/>
        <s v="E02072"/>
        <s v="E02073"/>
        <s v="E02074"/>
        <s v="E02075"/>
        <s v="E02076"/>
        <s v="E02077"/>
        <s v="E02078"/>
        <s v="E02079"/>
        <s v="E02080"/>
        <s v="E02081"/>
        <s v="E02082"/>
        <s v="E02083"/>
        <s v="E02084"/>
        <s v="E02085"/>
        <s v="E02086"/>
        <s v="E02087"/>
        <s v="E02088"/>
        <s v="E02089"/>
        <s v="E02090"/>
        <s v="E02091"/>
        <s v="E02092"/>
        <s v="E02093"/>
        <s v="E02094"/>
        <s v="E02095"/>
        <s v="E02096"/>
        <s v="E02097"/>
        <s v="E02098"/>
        <s v="E02099"/>
        <s v="E02100"/>
        <s v="E02101"/>
        <s v="E02102"/>
        <s v="E02103"/>
        <s v="E02104"/>
        <s v="E02105"/>
        <s v="E02106"/>
        <s v="E02107"/>
        <s v="E02108"/>
        <s v="E02109"/>
        <s v="E02110"/>
        <s v="E02111"/>
        <s v="E02112"/>
        <s v="E02113"/>
        <s v="E02114"/>
        <s v="E02115"/>
        <s v="E02116"/>
        <s v="E02117"/>
        <s v="E02118"/>
        <s v="E02119"/>
        <s v="E02120"/>
        <s v="E02121"/>
        <s v="E02122"/>
        <s v="E02123"/>
        <s v="E02124"/>
        <s v="E02125"/>
        <s v="E02126"/>
        <s v="E02127"/>
        <s v="E02128"/>
        <s v="E02129"/>
        <s v="E02130"/>
        <s v="E02131"/>
        <s v="E02132"/>
        <s v="E02133"/>
        <s v="E02134"/>
        <s v="E02135"/>
        <s v="E02136"/>
        <s v="E02137"/>
        <s v="E02138"/>
        <s v="E02139"/>
        <s v="E02140"/>
        <s v="E02141"/>
        <s v="E02142"/>
        <s v="E02143"/>
        <s v="E02144"/>
        <s v="E02145"/>
        <s v="E02146"/>
        <s v="E02147"/>
        <s v="E02148"/>
        <s v="E02149"/>
        <s v="E02150"/>
        <s v="E02151"/>
        <s v="E02152"/>
        <s v="E02153"/>
        <s v="E02154"/>
        <s v="E02155"/>
        <s v="E02156"/>
        <s v="E02157"/>
        <s v="E02158"/>
        <s v="E02159"/>
        <s v="E02160"/>
        <s v="E02161"/>
        <s v="E02162"/>
        <s v="E02163"/>
        <s v="E02164"/>
        <s v="E02165"/>
        <s v="E02166"/>
        <s v="E02167"/>
        <s v="E02168"/>
        <s v="E02169"/>
        <s v="E02170"/>
        <s v="E02171"/>
        <s v="E02172"/>
        <s v="E02173"/>
        <s v="E02174"/>
        <s v="E02175"/>
        <s v="E02176"/>
        <s v="E02177"/>
        <s v="E02178"/>
        <s v="E02179"/>
        <s v="E02180"/>
        <s v="E02181"/>
        <s v="E02182"/>
        <s v="E02183"/>
        <s v="E02184"/>
        <s v="E02185"/>
        <s v="E02186"/>
        <s v="E02187"/>
        <s v="E02188"/>
        <s v="E02189"/>
        <s v="E02190"/>
        <s v="E02191"/>
        <s v="E02192"/>
        <s v="E02193"/>
        <s v="E02194"/>
        <s v="E02195"/>
        <s v="E02196"/>
        <s v="E02197"/>
        <s v="E02198"/>
        <s v="E02199"/>
        <s v="E02200"/>
        <s v="E02201"/>
        <s v="E02202"/>
        <s v="E02203"/>
        <s v="E02204"/>
        <s v="E02205"/>
        <s v="E02206"/>
        <s v="E02207"/>
        <s v="E02208"/>
        <s v="E02209"/>
        <s v="E02210"/>
        <s v="E02211"/>
        <s v="E02212"/>
        <s v="E02213"/>
        <s v="E02214"/>
        <s v="E02215"/>
        <s v="E02216"/>
        <s v="E02217"/>
        <s v="E02218"/>
        <s v="E02219"/>
        <s v="E02220"/>
        <s v="E02221"/>
        <s v="E02222"/>
        <s v="E02223"/>
        <s v="E02224"/>
        <s v="E02225"/>
        <s v="E02226"/>
        <s v="E02227"/>
        <s v="E02228"/>
        <s v="E02229"/>
        <s v="E02230"/>
        <s v="E02231"/>
        <s v="E02232"/>
        <s v="E02233"/>
        <s v="E02234"/>
        <s v="E02235"/>
        <s v="E02236"/>
        <s v="E02237"/>
        <s v="E02238"/>
        <s v="E02239"/>
        <s v="E02240"/>
        <s v="E02241"/>
        <s v="E02242"/>
        <s v="E02243"/>
        <s v="E02244"/>
        <s v="E02245"/>
        <s v="E02246"/>
        <s v="E02247"/>
        <s v="E02248"/>
        <s v="E02249"/>
        <s v="E02250"/>
        <s v="E02251"/>
        <s v="E02252"/>
        <s v="E02253"/>
        <s v="E02254"/>
        <s v="E02255"/>
        <s v="E02256"/>
        <s v="E02257"/>
        <s v="E02258"/>
        <s v="E02259"/>
        <s v="E02260"/>
        <s v="E02261"/>
        <s v="E02262"/>
        <s v="E02263"/>
        <s v="E02264"/>
        <s v="E02265"/>
        <s v="E02266"/>
        <s v="E02267"/>
        <s v="E02268"/>
        <s v="E02269"/>
        <s v="E02270"/>
        <s v="E02271"/>
        <s v="E02272"/>
        <s v="E02273"/>
        <s v="E02274"/>
        <s v="E02275"/>
        <s v="E02276"/>
        <s v="E02277"/>
        <s v="E02278"/>
        <s v="E02279"/>
        <s v="E02280"/>
        <s v="E02281"/>
        <s v="E02282"/>
        <s v="E02283"/>
        <s v="E02284"/>
        <s v="E02285"/>
        <s v="E02286"/>
        <s v="E02287"/>
        <s v="E02288"/>
        <s v="E02289"/>
        <s v="E02290"/>
        <s v="E02291"/>
        <s v="E02292"/>
        <s v="E02293"/>
        <s v="E02294"/>
        <s v="E02295"/>
        <s v="E02296"/>
        <s v="E02297"/>
        <s v="E02298"/>
        <s v="E02299"/>
        <s v="E02300"/>
        <s v="E02301"/>
        <s v="E02302"/>
        <s v="E02303"/>
        <s v="E02304"/>
        <s v="E02305"/>
        <s v="E02306"/>
        <s v="E02307"/>
        <s v="E02308"/>
        <s v="E02309"/>
        <s v="E02310"/>
        <s v="E02311"/>
        <s v="E02312"/>
        <s v="E02313"/>
        <s v="E02314"/>
        <s v="E02315"/>
        <s v="E02316"/>
        <s v="E02317"/>
        <s v="E02318"/>
        <s v="E02319"/>
        <s v="E02320"/>
        <s v="E02321"/>
        <s v="E02322"/>
        <s v="E02323"/>
        <s v="E02324"/>
        <s v="E02325"/>
        <s v="E02326"/>
        <s v="E02327"/>
        <s v="E02328"/>
        <s v="E02329"/>
        <s v="E02330"/>
        <s v="E02331"/>
        <s v="E02332"/>
        <s v="E02333"/>
        <s v="E02334"/>
        <s v="E02335"/>
        <s v="E02336"/>
        <s v="E02337"/>
        <s v="E02338"/>
        <s v="E02339"/>
        <s v="E02340"/>
        <s v="E02341"/>
        <s v="E02342"/>
        <s v="E02343"/>
        <s v="E02344"/>
        <s v="E02345"/>
        <s v="E02346"/>
        <s v="E02347"/>
        <s v="E02348"/>
        <s v="E02349"/>
        <s v="E02350"/>
        <s v="E02351"/>
        <s v="E02352"/>
        <s v="E02353"/>
        <s v="E02354"/>
        <s v="E02355"/>
        <s v="E02356"/>
        <s v="E02357"/>
        <s v="E02358"/>
        <s v="E02359"/>
        <s v="E02360"/>
        <s v="E02361"/>
        <s v="E02362"/>
        <s v="E02363"/>
        <s v="E02364"/>
        <s v="E02365"/>
        <s v="E02366"/>
        <s v="E02367"/>
        <s v="E02368"/>
        <s v="E02369"/>
        <s v="E02370"/>
        <s v="E02371"/>
        <s v="E02372"/>
        <s v="E02373"/>
        <s v="E02374"/>
        <s v="E02375"/>
        <s v="E02376"/>
        <s v="E02377"/>
        <s v="E02378"/>
        <s v="E02379"/>
        <s v="E02380"/>
        <s v="E02381"/>
        <s v="E02382"/>
        <s v="E02383"/>
        <s v="E02384"/>
        <s v="E02385"/>
        <s v="E02386"/>
        <s v="E02387"/>
        <s v="E02388"/>
        <s v="E02389"/>
        <s v="E02390"/>
        <s v="E02391"/>
        <s v="E02392"/>
        <s v="E02393"/>
        <s v="E02394"/>
        <s v="E02395"/>
        <s v="E02396"/>
        <s v="E02397"/>
        <s v="E02398"/>
        <s v="E02399"/>
        <s v="E02400"/>
        <s v="E02401"/>
        <s v="E02402"/>
        <s v="E02403"/>
        <s v="E02404"/>
        <s v="E02405"/>
        <s v="E02406"/>
        <s v="E02407"/>
        <s v="E02408"/>
        <s v="E02409"/>
        <s v="E02410"/>
        <s v="E02411"/>
        <s v="E02412"/>
        <s v="E02413"/>
        <s v="E02414"/>
        <s v="E02415"/>
        <s v="E02416"/>
        <s v="E02417"/>
        <s v="E02418"/>
        <s v="E02419"/>
        <s v="E02420"/>
        <s v="E02421"/>
        <s v="E02422"/>
        <s v="E02423"/>
        <s v="E02424"/>
        <s v="E02425"/>
        <s v="E02426"/>
        <s v="E02427"/>
        <s v="E02428"/>
        <s v="E02429"/>
        <s v="E02430"/>
        <s v="E02431"/>
        <s v="E02432"/>
        <s v="E02433"/>
        <s v="E02434"/>
        <s v="E02435"/>
        <s v="E02436"/>
        <s v="E02437"/>
        <s v="E02438"/>
        <s v="E02439"/>
        <s v="E02440"/>
        <s v="E02441"/>
        <s v="E02442"/>
        <s v="E02443"/>
        <s v="E02444"/>
        <s v="E02445"/>
        <s v="E02446"/>
        <s v="E02447"/>
        <s v="E02448"/>
        <s v="E02449"/>
        <s v="E02450"/>
        <s v="E02451"/>
        <s v="E02452"/>
        <s v="E02453"/>
        <s v="E02454"/>
        <s v="E02455"/>
        <s v="E02456"/>
        <s v="E02457"/>
        <s v="E02458"/>
        <s v="E02459"/>
        <s v="E02460"/>
        <s v="E02461"/>
        <s v="E02462"/>
        <s v="E02463"/>
        <s v="E02464"/>
        <s v="E02465"/>
        <s v="E02466"/>
        <s v="E02467"/>
        <s v="E02468"/>
        <s v="E02469"/>
        <s v="E02470"/>
        <s v="E02471"/>
        <s v="E02472"/>
        <s v="E02473"/>
        <s v="E02474"/>
        <s v="E02475"/>
        <s v="E02476"/>
        <s v="E02477"/>
        <s v="E02478"/>
        <s v="E02479"/>
        <s v="E02480"/>
        <s v="E02481"/>
        <s v="E02482"/>
        <s v="E02483"/>
        <s v="E02484"/>
        <s v="E02485"/>
        <s v="E02486"/>
        <s v="E02487"/>
        <s v="E02488"/>
        <s v="E02489"/>
        <s v="E02490"/>
        <s v="E02491"/>
        <s v="E02492"/>
        <s v="E02493"/>
        <s v="E02494"/>
        <s v="E02495"/>
        <s v="E02496"/>
        <s v="E02497"/>
        <s v="E02498"/>
        <s v="E02499"/>
        <s v="E02500"/>
        <s v="E02501"/>
        <s v="E02502"/>
        <s v="E02503"/>
        <s v="E02504"/>
        <s v="E02505"/>
        <s v="E02506"/>
        <s v="E02507"/>
        <s v="E02508"/>
        <s v="E02509"/>
        <s v="E02510"/>
        <s v="E02511"/>
        <s v="E02512"/>
        <s v="E02513"/>
        <s v="E02514"/>
        <s v="E02515"/>
        <s v="E02516"/>
        <s v="E02517"/>
        <s v="E02518"/>
        <s v="E02519"/>
        <s v="E02520"/>
        <s v="E02521"/>
        <s v="E02522"/>
        <s v="E02523"/>
        <s v="E02524"/>
        <s v="E02525"/>
        <s v="E02526"/>
        <s v="E02527"/>
        <s v="E02528"/>
        <s v="E02529"/>
        <s v="E02530"/>
        <s v="E02531"/>
        <s v="E02532"/>
        <s v="E02533"/>
        <s v="E02534"/>
        <s v="E02535"/>
        <s v="E02536"/>
        <s v="E02537"/>
        <s v="E02538"/>
        <s v="E02539"/>
        <s v="E02540"/>
        <s v="E02541"/>
        <s v="E02542"/>
        <s v="E02543"/>
        <s v="E02544"/>
        <s v="E02545"/>
        <s v="E02546"/>
        <s v="E02547"/>
        <s v="E02548"/>
        <s v="E02549"/>
        <s v="E02550"/>
        <s v="E02551"/>
        <s v="E02552"/>
        <s v="E02553"/>
        <s v="E02554"/>
        <s v="E02555"/>
        <s v="E02556"/>
        <s v="E02557"/>
        <s v="E02558"/>
        <s v="E02559"/>
        <s v="E02560"/>
        <s v="E02561"/>
        <s v="E02562"/>
        <s v="E02563"/>
        <s v="E02564"/>
        <s v="E02565"/>
        <s v="E02566"/>
        <s v="E02567"/>
        <s v="E02568"/>
        <s v="E02569"/>
        <s v="E02570"/>
        <s v="E02571"/>
        <s v="E02572"/>
        <s v="E02573"/>
        <s v="E02574"/>
        <s v="E02575"/>
        <s v="E02576"/>
        <s v="E02577"/>
        <s v="E02578"/>
        <s v="E02579"/>
        <s v="E02580"/>
        <s v="E02581"/>
        <s v="E02582"/>
        <s v="E02583"/>
        <s v="E02584"/>
        <s v="E02585"/>
        <s v="E02586"/>
        <s v="E02587"/>
        <s v="E02588"/>
        <s v="E02589"/>
        <s v="E02590"/>
        <s v="E02591"/>
        <s v="E02592"/>
        <s v="E02593"/>
        <s v="E02594"/>
        <s v="E02595"/>
        <s v="E02596"/>
        <s v="E02597"/>
        <s v="E02598"/>
        <s v="E02599"/>
        <s v="E02600"/>
        <s v="E02601"/>
        <s v="E02602"/>
        <s v="E02603"/>
        <s v="E02604"/>
        <s v="E02605"/>
        <s v="E02606"/>
        <s v="E02607"/>
        <s v="E02608"/>
        <s v="E02609"/>
        <s v="E02610"/>
        <s v="E02611"/>
        <s v="E02612"/>
        <s v="E02613"/>
        <s v="E02614"/>
        <s v="E02615"/>
        <s v="E02616"/>
        <s v="E02617"/>
        <s v="E02618"/>
        <s v="E02619"/>
        <s v="E02620"/>
        <s v="E02621"/>
        <s v="E02622"/>
        <s v="E02623"/>
        <s v="E02624"/>
        <s v="E02625"/>
        <s v="E02626"/>
        <s v="E02627"/>
        <s v="E02628"/>
        <s v="E02629"/>
        <s v="E02630"/>
        <s v="E02631"/>
        <s v="E02632"/>
        <s v="E02633"/>
        <s v="E02634"/>
        <s v="E02635"/>
        <s v="E02636"/>
        <s v="E02637"/>
        <s v="E02638"/>
        <s v="E02639"/>
        <s v="E02640"/>
        <s v="E02641"/>
        <s v="E02642"/>
        <s v="E02643"/>
        <s v="E02644"/>
        <s v="E02645"/>
        <s v="E02646"/>
        <s v="E02647"/>
        <s v="E02648"/>
        <s v="E02649"/>
        <s v="E02650"/>
        <s v="E02651"/>
        <s v="E02652"/>
        <s v="E02653"/>
        <s v="E02654"/>
        <s v="E02655"/>
        <s v="E02656"/>
        <s v="E02657"/>
        <s v="E02658"/>
        <s v="E02659"/>
        <s v="E02660"/>
        <s v="E02661"/>
        <s v="E02662"/>
        <s v="E02663"/>
        <s v="E02664"/>
        <s v="E02665"/>
        <s v="E02666"/>
        <s v="E02667"/>
        <s v="E02668"/>
        <s v="E02669"/>
        <s v="E02670"/>
        <s v="E02671"/>
        <s v="E02672"/>
        <s v="E02673"/>
        <s v="E02674"/>
        <s v="E02675"/>
        <s v="E02676"/>
        <s v="E02677"/>
        <s v="E02678"/>
        <s v="E02679"/>
        <s v="E02680"/>
        <s v="E02681"/>
        <s v="E02682"/>
        <s v="E02683"/>
        <s v="E02684"/>
        <s v="E02685"/>
        <s v="E02686"/>
        <s v="E02687"/>
        <s v="E02688"/>
        <s v="E02689"/>
        <s v="E02690"/>
        <s v="E02691"/>
        <s v="E02692"/>
        <s v="E02693"/>
        <s v="E02694"/>
        <s v="E02695"/>
        <s v="E02696"/>
        <s v="E02697"/>
        <s v="E02698"/>
        <s v="E02699"/>
        <s v="E02700"/>
        <s v="E02701"/>
        <s v="E02702"/>
        <s v="E02703"/>
        <s v="E02704"/>
        <s v="E02705"/>
        <s v="E02706"/>
        <s v="E02707"/>
        <s v="E02708"/>
        <s v="E02709"/>
        <s v="E02710"/>
        <s v="E02711"/>
        <s v="E02712"/>
        <s v="E02713"/>
        <s v="E02714"/>
        <s v="E02715"/>
        <s v="E02716"/>
        <s v="E02717"/>
        <s v="E02718"/>
        <s v="E02719"/>
        <s v="E02720"/>
        <s v="E02721"/>
        <s v="E02722"/>
        <s v="E02723"/>
        <s v="E02724"/>
        <s v="E02725"/>
        <s v="E02726"/>
        <s v="E02727"/>
        <s v="E02728"/>
        <s v="E02729"/>
        <s v="E02730"/>
        <s v="E02731"/>
        <s v="E02732"/>
        <s v="E02733"/>
        <s v="E02734"/>
        <s v="E02735"/>
        <s v="E02736"/>
        <s v="E02737"/>
        <s v="E02738"/>
        <s v="E02739"/>
        <s v="E02740"/>
        <s v="E02741"/>
        <s v="E02742"/>
        <s v="E02743"/>
        <s v="E02744"/>
        <s v="E02745"/>
        <s v="E02746"/>
        <s v="E02747"/>
        <s v="E02748"/>
        <s v="E02749"/>
        <s v="E02750"/>
        <s v="E02751"/>
        <s v="E02752"/>
        <s v="E02753"/>
        <s v="E02754"/>
        <s v="E02755"/>
        <s v="E02756"/>
        <s v="E02757"/>
        <s v="E02758"/>
        <s v="E02759"/>
        <s v="E02760"/>
        <s v="E02761"/>
        <s v="E02762"/>
        <s v="E02763"/>
        <s v="E02764"/>
        <s v="E02765"/>
        <s v="E02766"/>
        <s v="E02767"/>
        <s v="E02768"/>
        <s v="E02769"/>
        <s v="E02770"/>
        <s v="E02771"/>
        <s v="E02772"/>
        <s v="E02773"/>
        <s v="E02774"/>
        <s v="E02775"/>
        <s v="E02776"/>
        <s v="E02777"/>
        <s v="E02778"/>
        <s v="E02779"/>
        <s v="E02780"/>
        <s v="E02781"/>
        <s v="E02782"/>
        <s v="E02783"/>
        <s v="E02784"/>
        <s v="E02785"/>
        <s v="E02786"/>
        <s v="E02787"/>
        <s v="E02788"/>
        <s v="E02789"/>
        <s v="E02790"/>
        <s v="E02791"/>
        <s v="E02792"/>
        <s v="E02793"/>
        <s v="E02794"/>
        <s v="E02795"/>
        <s v="E02796"/>
        <s v="E02797"/>
        <s v="E02798"/>
        <s v="E02799"/>
        <s v="E02800"/>
        <s v="E02801"/>
        <s v="E02802"/>
        <s v="E02803"/>
        <s v="E02804"/>
        <s v="E02805"/>
        <s v="E02806"/>
        <s v="E02807"/>
        <s v="E02808"/>
        <s v="E02809"/>
        <s v="E02810"/>
        <s v="E02811"/>
        <s v="E02812"/>
        <s v="E02813"/>
        <s v="E02814"/>
        <s v="E02815"/>
        <s v="E02816"/>
        <s v="E02817"/>
        <s v="E02818"/>
        <s v="E02819"/>
        <s v="E02820"/>
        <s v="E02821"/>
        <s v="E02822"/>
        <s v="E02823"/>
        <s v="E02824"/>
        <s v="E02825"/>
        <s v="E02826"/>
        <s v="E02827"/>
        <s v="E02828"/>
        <s v="E02829"/>
        <s v="E02830"/>
        <s v="E02831"/>
        <s v="E02832"/>
        <s v="E02833"/>
        <s v="E02834"/>
        <s v="E02835"/>
        <s v="E02836"/>
        <s v="E02837"/>
        <s v="E02838"/>
        <s v="E02839"/>
        <s v="E02840"/>
        <s v="E02841"/>
        <s v="E02842"/>
        <s v="E02843"/>
        <s v="E02844"/>
        <s v="E02845"/>
        <s v="E02846"/>
        <s v="E02847"/>
        <s v="E02848"/>
        <s v="E02849"/>
        <s v="E02850"/>
        <s v="E02851"/>
        <s v="E02852"/>
        <s v="E02853"/>
        <s v="E02854"/>
        <s v="E02855"/>
        <s v="E02856"/>
        <s v="E02857"/>
        <s v="E02858"/>
        <s v="E02859"/>
        <s v="E02860"/>
        <s v="E02861"/>
        <s v="E02862"/>
        <s v="E02863"/>
        <s v="E02864"/>
        <s v="E02865"/>
        <s v="E02866"/>
        <s v="E02867"/>
        <s v="E02868"/>
        <s v="E02869"/>
        <s v="E02870"/>
        <s v="E02871"/>
        <s v="E02872"/>
        <s v="E02873"/>
        <s v="E02874"/>
        <s v="E02875"/>
        <s v="E02876"/>
        <s v="E02877"/>
        <s v="E02878"/>
        <s v="E02879"/>
        <s v="E02880"/>
        <s v="E02881"/>
        <s v="E02882"/>
        <s v="E02883"/>
        <s v="E02884"/>
        <s v="E02885"/>
        <s v="E02886"/>
        <s v="E02887"/>
        <s v="E02888"/>
        <s v="E02889"/>
        <s v="E02890"/>
        <s v="E02891"/>
        <s v="E02892"/>
        <s v="E02893"/>
        <s v="E02894"/>
        <s v="E02895"/>
        <s v="E02896"/>
        <s v="E02897"/>
        <s v="E02898"/>
        <s v="E02899"/>
        <s v="E02900"/>
        <s v="E02901"/>
        <s v="E02902"/>
        <s v="E02903"/>
        <s v="E02904"/>
        <s v="E02905"/>
        <s v="E02906"/>
        <s v="E02907"/>
        <s v="E02908"/>
        <s v="E02909"/>
        <s v="E02910"/>
        <s v="E02911"/>
        <s v="E02912"/>
        <s v="E02913"/>
        <s v="E02914"/>
        <s v="E02915"/>
        <s v="E02916"/>
        <s v="E02917"/>
        <s v="E02918"/>
        <s v="E02919"/>
        <s v="E02920"/>
        <s v="E02921"/>
        <s v="E02922"/>
        <s v="E02923"/>
        <s v="E02924"/>
        <s v="E02925"/>
        <s v="E02926"/>
        <s v="E02927"/>
        <s v="E02928"/>
        <s v="E02929"/>
        <s v="E02930"/>
        <s v="E02931"/>
        <s v="E02932"/>
        <s v="E02933"/>
        <s v="E02934"/>
        <s v="E02935"/>
        <s v="E02936"/>
        <s v="E02937"/>
        <s v="E02938"/>
        <s v="E02939"/>
        <s v="E02940"/>
        <s v="E02941"/>
        <s v="E02942"/>
        <s v="E02943"/>
        <s v="E02944"/>
        <s v="E02945"/>
        <s v="E02946"/>
        <s v="E02947"/>
        <s v="E02948"/>
        <s v="E02949"/>
        <s v="E02950"/>
        <s v="E02951"/>
        <s v="E02952"/>
        <s v="E02953"/>
        <s v="E02954"/>
        <s v="E02955"/>
        <s v="E02956"/>
        <s v="E02957"/>
        <s v="E02958"/>
        <s v="E02959"/>
        <s v="E02960"/>
        <s v="E02961"/>
        <s v="E02962"/>
        <s v="E02963"/>
        <s v="E02964"/>
        <s v="E02965"/>
        <s v="E02966"/>
        <s v="E02967"/>
        <s v="E02968"/>
        <s v="E02969"/>
        <s v="E02970"/>
        <s v="E02971"/>
        <s v="E02972"/>
        <s v="E02973"/>
        <s v="E02974"/>
        <s v="E02975"/>
        <s v="E02976"/>
        <s v="E02977"/>
        <s v="E02978"/>
        <s v="E02979"/>
        <s v="E02980"/>
        <s v="E02981"/>
        <s v="E02982"/>
        <s v="E02983"/>
        <s v="E02984"/>
        <s v="E02985"/>
        <s v="E02986"/>
        <s v="E02987"/>
        <s v="E02988"/>
        <s v="E02989"/>
        <s v="E02990"/>
        <s v="E02991"/>
        <s v="E02992"/>
        <s v="E02993"/>
        <s v="E02994"/>
        <s v="E02995"/>
        <s v="E02996"/>
        <s v="E02997"/>
        <s v="E02998"/>
        <s v="E02999"/>
        <s v="E03000"/>
        <s v="E03001"/>
      </sharedItems>
    </cacheField>
    <cacheField name="Full Name" numFmtId="0">
      <sharedItems/>
    </cacheField>
    <cacheField name="Job Title" numFmtId="0">
      <sharedItems count="33">
        <s v="Controls Engineer"/>
        <s v="Analyst"/>
        <s v="Network Administrator"/>
        <s v="IT Systems Architect"/>
        <s v="Director"/>
        <s v="Sr. Analyst"/>
        <s v="Analyst II"/>
        <s v="System Administrator "/>
        <s v="Manager"/>
        <s v="Systems Analyst"/>
        <s v="Sr. Manager"/>
        <s v="Vice President"/>
        <s v="Service Desk Analyst"/>
        <s v="Technical Architect"/>
        <s v="Account Representative"/>
        <s v="Business Partner"/>
        <s v="Test Engineer"/>
        <s v="IT Coordinator"/>
        <s v="Cloud Infrastructure Architect"/>
        <s v="Enterprise Architect"/>
        <s v="Computer Systems Manager"/>
        <s v="Automation Engineer"/>
        <s v="Solutions Architect"/>
        <s v="Sr. Business Partner"/>
        <s v="HRIS Analyst"/>
        <s v="Engineering Manager"/>
        <s v="Field Engineer"/>
        <s v="Network Engineer"/>
        <s v="Network Architect"/>
        <s v="Sr. Account Representative"/>
        <s v="Development Engineer"/>
        <s v="Quality Engineer"/>
        <s v="Operations Engineer"/>
      </sharedItems>
    </cacheField>
    <cacheField name="Department" numFmtId="0">
      <sharedItems count="7">
        <s v="Engineering"/>
        <s v="Sales"/>
        <s v="IT"/>
        <s v="Accounting"/>
        <s v="Finance"/>
        <s v="Marketing"/>
        <s v="Human Resources"/>
      </sharedItems>
    </cacheField>
    <cacheField name="Business Unit" numFmtId="0">
      <sharedItems/>
    </cacheField>
    <cacheField name="Gender" numFmtId="0">
      <sharedItems count="2">
        <s v="Male"/>
        <s v="Female"/>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3-04-30T00:00:00" maxDate="2022-12-26T00:00:00" count="934">
        <d v="2022-02-05T00:00:00"/>
        <d v="2013-10-23T00:00:00"/>
        <d v="2019-03-24T00:00:00"/>
        <d v="2018-04-07T00:00:00"/>
        <d v="2005-06-18T00:00:00"/>
        <d v="2004-04-22T00:00:00"/>
        <d v="2009-06-27T00:00:00"/>
        <d v="1999-02-19T00:00:00"/>
        <d v="2011-09-09T00:00:00"/>
        <d v="2015-02-05T00:00:00"/>
        <d v="2003-10-12T00:00:00"/>
        <d v="2014-08-03T00:00:00"/>
        <d v="2017-11-15T00:00:00"/>
        <d v="2018-07-22T00:00:00"/>
        <d v="2021-03-24T00:00:00"/>
        <d v="1997-07-26T00:00:00"/>
        <d v="2010-08-05T00:00:00"/>
        <d v="2019-03-03T00:00:00"/>
        <d v="2017-11-11T00:00:00"/>
        <d v="2009-02-08T00:00:00"/>
        <d v="2015-11-16T00:00:00"/>
        <d v="2013-08-14T00:00:00"/>
        <d v="2018-10-21T00:00:00"/>
        <d v="2006-11-29T00:00:00"/>
        <d v="1997-10-27T00:00:00"/>
        <d v="2004-05-13T00:00:00"/>
        <d v="2020-11-24T00:00:00"/>
        <d v="2004-08-11T00:00:00"/>
        <d v="2017-05-13T00:00:00"/>
        <d v="2002-03-15T00:00:00"/>
        <d v="2001-08-13T00:00:00"/>
        <d v="2020-10-24T00:00:00"/>
        <d v="2017-12-04T00:00:00"/>
        <d v="2018-01-11T00:00:00"/>
        <d v="2022-09-07T00:00:00"/>
        <d v="2009-08-30T00:00:00"/>
        <d v="2015-09-23T00:00:00"/>
        <d v="2016-02-10T00:00:00"/>
        <d v="2021-11-13T00:00:00"/>
        <d v="2012-04-06T00:00:00"/>
        <d v="1998-09-26T00:00:00"/>
        <d v="2021-04-11T00:00:00"/>
        <d v="2005-11-10T00:00:00"/>
        <d v="2021-06-26T00:00:00"/>
        <d v="2005-01-26T00:00:00"/>
        <d v="2016-12-18T00:00:00"/>
        <d v="2011-05-08T00:00:00"/>
        <d v="2011-04-12T00:00:00"/>
        <d v="2022-01-01T00:00:00"/>
        <d v="2018-06-07T00:00:00"/>
        <d v="2021-05-18T00:00:00"/>
        <d v="2012-12-13T00:00:00"/>
        <d v="2001-07-26T00:00:00"/>
        <d v="2016-05-10T00:00:00"/>
        <d v="2002-01-27T00:00:00"/>
        <d v="2005-06-10T00:00:00"/>
        <d v="1993-11-24T00:00:00"/>
        <d v="1999-11-26T00:00:00"/>
        <d v="2019-10-02T00:00:00"/>
        <d v="2012-07-06T00:00:00"/>
        <d v="2010-08-18T00:00:00"/>
        <d v="2010-07-29T00:00:00"/>
        <d v="2008-08-25T00:00:00"/>
        <d v="2003-09-24T00:00:00"/>
        <d v="2021-05-16T00:00:00"/>
        <d v="2019-05-15T00:00:00"/>
        <d v="2009-07-05T00:00:00"/>
        <d v="2022-01-23T00:00:00"/>
        <d v="2015-06-17T00:00:00"/>
        <d v="2020-08-19T00:00:00"/>
        <d v="1993-07-17T00:00:00"/>
        <d v="2019-06-10T00:00:00"/>
        <d v="2020-07-11T00:00:00"/>
        <d v="2022-09-13T00:00:00"/>
        <d v="2004-01-17T00:00:00"/>
        <d v="2020-07-22T00:00:00"/>
        <d v="2007-02-16T00:00:00"/>
        <d v="2018-04-08T00:00:00"/>
        <d v="2020-12-02T00:00:00"/>
        <d v="2015-08-30T00:00:00"/>
        <d v="2012-05-20T00:00:00"/>
        <d v="1996-07-29T00:00:00"/>
        <d v="2021-06-03T00:00:00"/>
        <d v="2008-03-12T00:00:00"/>
        <d v="2021-11-16T00:00:00"/>
        <d v="2008-09-10T00:00:00"/>
        <d v="2016-08-05T00:00:00"/>
        <d v="2008-06-18T00:00:00"/>
        <d v="2015-03-16T00:00:00"/>
        <d v="2014-04-13T00:00:00"/>
        <d v="2011-10-30T00:00:00"/>
        <d v="2022-12-05T00:00:00"/>
        <d v="2003-06-17T00:00:00"/>
        <d v="2006-04-01T00:00:00"/>
        <d v="2015-08-20T00:00:00"/>
        <d v="2019-09-22T00:00:00"/>
        <d v="2020-02-07T00:00:00"/>
        <d v="2007-03-27T00:00:00"/>
        <d v="2016-06-18T00:00:00"/>
        <d v="2017-12-12T00:00:00"/>
        <d v="2012-05-13T00:00:00"/>
        <d v="2018-08-18T00:00:00"/>
        <d v="2022-03-14T00:00:00"/>
        <d v="2020-11-23T00:00:00"/>
        <d v="2000-01-21T00:00:00"/>
        <d v="2013-07-29T00:00:00"/>
        <d v="2022-12-12T00:00:00"/>
        <d v="2016-07-02T00:00:00"/>
        <d v="2013-10-03T00:00:00"/>
        <d v="2005-01-06T00:00:00"/>
        <d v="2021-03-04T00:00:00"/>
        <d v="2018-01-07T00:00:00"/>
        <d v="2003-08-28T00:00:00"/>
        <d v="2021-03-15T00:00:00"/>
        <d v="2002-02-25T00:00:00"/>
        <d v="2018-04-24T00:00:00"/>
        <d v="1993-10-01T00:00:00"/>
        <d v="2019-04-09T00:00:00"/>
        <d v="2022-03-16T00:00:00"/>
        <d v="2017-09-11T00:00:00"/>
        <d v="2011-07-24T00:00:00"/>
        <d v="2010-08-16T00:00:00"/>
        <d v="2013-07-25T00:00:00"/>
        <d v="2011-03-14T00:00:00"/>
        <d v="2021-01-09T00:00:00"/>
        <d v="2018-07-28T00:00:00"/>
        <d v="2019-08-04T00:00:00"/>
        <d v="2020-12-15T00:00:00"/>
        <d v="1996-08-20T00:00:00"/>
        <d v="2002-05-24T00:00:00"/>
        <d v="2007-01-28T00:00:00"/>
        <d v="2015-07-27T00:00:00"/>
        <d v="2013-08-28T00:00:00"/>
        <d v="2005-02-01T00:00:00"/>
        <d v="2008-02-29T00:00:00"/>
        <d v="2020-03-18T00:00:00"/>
        <d v="2021-08-13T00:00:00"/>
        <d v="2009-03-09T00:00:00"/>
        <d v="1998-09-25T00:00:00"/>
        <d v="2017-06-02T00:00:00"/>
        <d v="1995-10-31T00:00:00"/>
        <d v="2002-09-12T00:00:00"/>
        <d v="2019-11-14T00:00:00"/>
        <d v="2018-06-17T00:00:00"/>
        <d v="2013-08-10T00:00:00"/>
        <d v="2014-04-15T00:00:00"/>
        <d v="1996-07-10T00:00:00"/>
        <d v="2015-10-24T00:00:00"/>
        <d v="2007-06-22T00:00:00"/>
        <d v="2008-05-25T00:00:00"/>
        <d v="2007-05-05T00:00:00"/>
        <d v="2020-10-02T00:00:00"/>
        <d v="2021-11-22T00:00:00"/>
        <d v="2022-09-03T00:00:00"/>
        <d v="2004-01-18T00:00:00"/>
        <d v="2021-04-17T00:00:00"/>
        <d v="2021-01-02T00:00:00"/>
        <d v="1999-08-15T00:00:00"/>
        <d v="2022-08-12T00:00:00"/>
        <d v="2005-06-28T00:00:00"/>
        <d v="2018-03-06T00:00:00"/>
        <d v="2016-05-04T00:00:00"/>
        <d v="2022-02-27T00:00:00"/>
        <d v="2020-08-28T00:00:00"/>
        <d v="2022-04-18T00:00:00"/>
        <d v="2009-06-14T00:00:00"/>
        <d v="2012-09-05T00:00:00"/>
        <d v="2015-06-19T00:00:00"/>
        <d v="2018-08-05T00:00:00"/>
        <d v="2007-09-27T00:00:00"/>
        <d v="2003-05-27T00:00:00"/>
        <d v="2016-07-11T00:00:00"/>
        <d v="1994-06-27T00:00:00"/>
        <d v="2014-06-07T00:00:00"/>
        <d v="2015-12-30T00:00:00"/>
        <d v="2020-11-16T00:00:00"/>
        <d v="2021-01-11T00:00:00"/>
        <d v="2011-07-28T00:00:00"/>
        <d v="2006-10-22T00:00:00"/>
        <d v="2011-05-26T00:00:00"/>
        <d v="2014-01-24T00:00:00"/>
        <d v="2013-09-14T00:00:00"/>
        <d v="1995-04-10T00:00:00"/>
        <d v="2004-05-02T00:00:00"/>
        <d v="2019-10-28T00:00:00"/>
        <d v="2013-04-23T00:00:00"/>
        <d v="1999-12-22T00:00:00"/>
        <d v="2022-07-27T00:00:00"/>
        <d v="2015-09-13T00:00:00"/>
        <d v="2005-01-11T00:00:00"/>
        <d v="2021-05-23T00:00:00"/>
        <d v="2020-05-14T00:00:00"/>
        <d v="2015-11-13T00:00:00"/>
        <d v="2010-12-17T00:00:00"/>
        <d v="2008-12-27T00:00:00"/>
        <d v="2016-03-06T00:00:00"/>
        <d v="2014-01-08T00:00:00"/>
        <d v="2005-08-09T00:00:00"/>
        <d v="2010-04-04T00:00:00"/>
        <d v="1996-08-31T00:00:00"/>
        <d v="2003-02-16T00:00:00"/>
        <d v="2014-07-15T00:00:00"/>
        <d v="2001-04-19T00:00:00"/>
        <d v="2001-11-29T00:00:00"/>
        <d v="2021-11-28T00:00:00"/>
        <d v="2017-09-10T00:00:00"/>
        <d v="2013-01-18T00:00:00"/>
        <d v="2000-04-11T00:00:00"/>
        <d v="2020-08-23T00:00:00"/>
        <d v="2022-11-18T00:00:00"/>
        <d v="2003-11-07T00:00:00"/>
        <d v="2021-09-19T00:00:00"/>
        <d v="2011-07-30T00:00:00"/>
        <d v="2021-12-09T00:00:00"/>
        <d v="2004-08-12T00:00:00"/>
        <d v="2013-03-12T00:00:00"/>
        <d v="2019-10-09T00:00:00"/>
        <d v="2001-01-26T00:00:00"/>
        <d v="2021-03-21T00:00:00"/>
        <d v="2021-03-23T00:00:00"/>
        <d v="2022-12-07T00:00:00"/>
        <d v="2020-04-21T00:00:00"/>
        <d v="2006-12-26T00:00:00"/>
        <d v="1998-04-13T00:00:00"/>
        <d v="2010-07-09T00:00:00"/>
        <d v="2007-02-01T00:00:00"/>
        <d v="2014-11-08T00:00:00"/>
        <d v="2022-07-09T00:00:00"/>
        <d v="2020-03-13T00:00:00"/>
        <d v="2022-10-12T00:00:00"/>
        <d v="2021-08-12T00:00:00"/>
        <d v="2022-07-15T00:00:00"/>
        <d v="2017-01-09T00:00:00"/>
        <d v="2013-01-08T00:00:00"/>
        <d v="2014-05-11T00:00:00"/>
        <d v="2003-08-17T00:00:00"/>
        <d v="2012-05-30T00:00:00"/>
        <d v="2017-01-24T00:00:00"/>
        <d v="2020-10-04T00:00:00"/>
        <d v="1999-03-03T00:00:00"/>
        <d v="2014-08-23T00:00:00"/>
        <d v="2018-11-06T00:00:00"/>
        <d v="2013-09-20T00:00:00"/>
        <d v="1996-09-13T00:00:00"/>
        <d v="2009-11-14T00:00:00"/>
        <d v="2015-10-03T00:00:00"/>
        <d v="2020-04-13T00:00:00"/>
        <d v="2011-09-19T00:00:00"/>
        <d v="2017-05-07T00:00:00"/>
        <d v="1997-10-16T00:00:00"/>
        <d v="2019-02-12T00:00:00"/>
        <d v="2008-05-01T00:00:00"/>
        <d v="1999-02-21T00:00:00"/>
        <d v="2009-03-01T00:00:00"/>
        <d v="2014-10-28T00:00:00"/>
        <d v="2017-06-15T00:00:00"/>
        <d v="1996-04-15T00:00:00"/>
        <d v="2007-03-06T00:00:00"/>
        <d v="2015-01-11T00:00:00"/>
        <d v="1999-08-09T00:00:00"/>
        <d v="2010-12-20T00:00:00"/>
        <d v="2022-12-19T00:00:00"/>
        <d v="2012-07-16T00:00:00"/>
        <d v="2013-09-21T00:00:00"/>
        <d v="1999-01-01T00:00:00"/>
        <d v="2014-10-24T00:00:00"/>
        <d v="2004-11-14T00:00:00"/>
        <d v="2018-09-27T00:00:00"/>
        <d v="2015-05-10T00:00:00"/>
        <d v="2022-07-12T00:00:00"/>
        <d v="2005-09-05T00:00:00"/>
        <d v="2008-01-16T00:00:00"/>
        <d v="2022-04-21T00:00:00"/>
        <d v="2001-08-17T00:00:00"/>
        <d v="2013-07-17T00:00:00"/>
        <d v="2012-04-05T00:00:00"/>
        <d v="2022-04-14T00:00:00"/>
        <d v="2011-05-30T00:00:00"/>
        <d v="2021-06-06T00:00:00"/>
        <d v="2017-11-26T00:00:00"/>
        <d v="1999-02-08T00:00:00"/>
        <d v="2002-03-16T00:00:00"/>
        <d v="2005-06-16T00:00:00"/>
        <d v="1993-07-10T00:00:00"/>
        <d v="1997-01-10T00:00:00"/>
        <d v="2009-09-15T00:00:00"/>
        <d v="2020-02-10T00:00:00"/>
        <d v="2022-02-13T00:00:00"/>
        <d v="2020-12-19T00:00:00"/>
        <d v="2015-03-20T00:00:00"/>
        <d v="1996-10-01T00:00:00"/>
        <d v="2015-11-19T00:00:00"/>
        <d v="2005-12-05T00:00:00"/>
        <d v="2003-06-30T00:00:00"/>
        <d v="2006-06-27T00:00:00"/>
        <d v="2022-02-06T00:00:00"/>
        <d v="2021-01-22T00:00:00"/>
        <d v="2017-12-13T00:00:00"/>
        <d v="2015-12-17T00:00:00"/>
        <d v="1997-03-22T00:00:00"/>
        <d v="2018-10-29T00:00:00"/>
        <d v="2019-06-21T00:00:00"/>
        <d v="2020-01-27T00:00:00"/>
        <d v="2017-04-11T00:00:00"/>
        <d v="2011-08-14T00:00:00"/>
        <d v="2021-03-27T00:00:00"/>
        <d v="2013-04-18T00:00:00"/>
        <d v="2016-12-13T00:00:00"/>
        <d v="2015-07-11T00:00:00"/>
        <d v="2018-08-16T00:00:00"/>
        <d v="2022-10-20T00:00:00"/>
        <d v="2020-05-04T00:00:00"/>
        <d v="2017-06-05T00:00:00"/>
        <d v="2013-04-29T00:00:00"/>
        <d v="2016-02-07T00:00:00"/>
        <d v="2010-01-07T00:00:00"/>
        <d v="2018-12-15T00:00:00"/>
        <d v="2009-10-12T00:00:00"/>
        <d v="2021-10-09T00:00:00"/>
        <d v="2022-01-18T00:00:00"/>
        <d v="2022-06-27T00:00:00"/>
        <d v="1998-06-07T00:00:00"/>
        <d v="2022-06-13T00:00:00"/>
        <d v="2021-04-03T00:00:00"/>
        <d v="2005-10-27T00:00:00"/>
        <d v="2020-08-01T00:00:00"/>
        <d v="2012-03-02T00:00:00"/>
        <d v="2001-06-27T00:00:00"/>
        <d v="2015-04-20T00:00:00"/>
        <d v="2013-12-08T00:00:00"/>
        <d v="2010-06-26T00:00:00"/>
        <d v="2014-08-18T00:00:00"/>
        <d v="2019-01-14T00:00:00"/>
        <d v="2018-02-07T00:00:00"/>
        <d v="2021-05-11T00:00:00"/>
        <d v="2022-12-06T00:00:00"/>
        <d v="2016-12-14T00:00:00"/>
        <d v="2020-08-09T00:00:00"/>
        <d v="2022-01-19T00:00:00"/>
        <d v="2015-08-13T00:00:00"/>
        <d v="2020-12-17T00:00:00"/>
        <d v="2002-08-11T00:00:00"/>
        <d v="1993-05-29T00:00:00"/>
        <d v="2018-01-14T00:00:00"/>
        <d v="2009-07-10T00:00:00"/>
        <d v="2009-04-23T00:00:00"/>
        <d v="2014-06-19T00:00:00"/>
        <d v="2006-04-17T00:00:00"/>
        <d v="2019-07-21T00:00:00"/>
        <d v="2020-04-06T00:00:00"/>
        <d v="2004-06-12T00:00:00"/>
        <d v="2006-04-15T00:00:00"/>
        <d v="2022-04-11T00:00:00"/>
        <d v="2013-01-25T00:00:00"/>
        <d v="2021-09-07T00:00:00"/>
        <d v="2001-10-24T00:00:00"/>
        <d v="2010-05-26T00:00:00"/>
        <d v="2009-08-25T00:00:00"/>
        <d v="2012-02-22T00:00:00"/>
        <d v="1998-03-29T00:00:00"/>
        <d v="2012-09-15T00:00:00"/>
        <d v="2012-06-19T00:00:00"/>
        <d v="2012-09-28T00:00:00"/>
        <d v="2017-04-20T00:00:00"/>
        <d v="1997-12-24T00:00:00"/>
        <d v="2009-09-16T00:00:00"/>
        <d v="2020-09-22T00:00:00"/>
        <d v="2020-03-02T00:00:00"/>
        <d v="2022-01-09T00:00:00"/>
        <d v="2014-12-15T00:00:00"/>
        <d v="2013-09-08T00:00:00"/>
        <d v="2006-03-26T00:00:00"/>
        <d v="1997-01-22T00:00:00"/>
        <d v="2009-04-05T00:00:00"/>
        <d v="2020-05-26T00:00:00"/>
        <d v="2009-12-11T00:00:00"/>
        <d v="2022-06-16T00:00:00"/>
        <d v="2022-10-17T00:00:00"/>
        <d v="2021-10-28T00:00:00"/>
        <d v="2021-02-13T00:00:00"/>
        <d v="2020-05-28T00:00:00"/>
        <d v="2013-10-04T00:00:00"/>
        <d v="2010-02-05T00:00:00"/>
        <d v="2002-06-01T00:00:00"/>
        <d v="2011-01-26T00:00:00"/>
        <d v="2021-01-07T00:00:00"/>
        <d v="2005-12-26T00:00:00"/>
        <d v="2013-07-03T00:00:00"/>
        <d v="2019-12-02T00:00:00"/>
        <d v="2021-06-28T00:00:00"/>
        <d v="2009-10-24T00:00:00"/>
        <d v="2002-12-25T00:00:00"/>
        <d v="2019-12-29T00:00:00"/>
        <d v="2016-03-20T00:00:00"/>
        <d v="2019-07-15T00:00:00"/>
        <d v="1993-05-11T00:00:00"/>
        <d v="2013-04-13T00:00:00"/>
        <d v="2005-02-15T00:00:00"/>
        <d v="2020-11-28T00:00:00"/>
        <d v="2019-09-15T00:00:00"/>
        <d v="2019-09-28T00:00:00"/>
        <d v="2008-03-28T00:00:00"/>
        <d v="2002-07-29T00:00:00"/>
        <d v="2021-05-28T00:00:00"/>
        <d v="2002-04-01T00:00:00"/>
        <d v="2013-02-12T00:00:00"/>
        <d v="1993-05-13T00:00:00"/>
        <d v="1997-12-17T00:00:00"/>
        <d v="2016-12-23T00:00:00"/>
        <d v="2018-10-05T00:00:00"/>
        <d v="2018-04-17T00:00:00"/>
        <d v="1993-07-25T00:00:00"/>
        <d v="1999-04-02T00:00:00"/>
        <d v="2019-10-07T00:00:00"/>
        <d v="2020-11-10T00:00:00"/>
        <d v="2013-08-21T00:00:00"/>
        <d v="2007-06-15T00:00:00"/>
        <d v="2007-01-25T00:00:00"/>
        <d v="2017-02-22T00:00:00"/>
        <d v="2007-08-20T00:00:00"/>
        <d v="2017-05-23T00:00:00"/>
        <d v="2016-07-29T00:00:00"/>
        <d v="2018-11-29T00:00:00"/>
        <d v="2004-02-06T00:00:00"/>
        <d v="2020-07-12T00:00:00"/>
        <d v="2015-03-18T00:00:00"/>
        <d v="2018-08-25T00:00:00"/>
        <d v="2022-06-24T00:00:00"/>
        <d v="2015-05-14T00:00:00"/>
        <d v="2020-03-27T00:00:00"/>
        <d v="2011-02-27T00:00:00"/>
        <d v="2021-01-21T00:00:00"/>
        <d v="2011-11-23T00:00:00"/>
        <d v="2009-08-18T00:00:00"/>
        <d v="2009-11-08T00:00:00"/>
        <d v="2000-06-30T00:00:00"/>
        <d v="2019-04-10T00:00:00"/>
        <d v="2022-03-08T00:00:00"/>
        <d v="2006-08-27T00:00:00"/>
        <d v="2004-04-16T00:00:00"/>
        <d v="2012-03-28T00:00:00"/>
        <d v="2006-09-17T00:00:00"/>
        <d v="2015-01-18T00:00:00"/>
        <d v="2014-11-20T00:00:00"/>
        <d v="2008-07-30T00:00:00"/>
        <d v="2007-11-27T00:00:00"/>
        <d v="2012-11-16T00:00:00"/>
        <d v="2018-07-27T00:00:00"/>
        <d v="2000-05-20T00:00:00"/>
        <d v="2017-07-23T00:00:00"/>
        <d v="2004-10-26T00:00:00"/>
        <d v="2011-08-29T00:00:00"/>
        <d v="2018-05-09T00:00:00"/>
        <d v="2020-10-20T00:00:00"/>
        <d v="1998-02-07T00:00:00"/>
        <d v="2006-03-28T00:00:00"/>
        <d v="2017-10-23T00:00:00"/>
        <d v="2017-04-12T00:00:00"/>
        <d v="2019-12-18T00:00:00"/>
        <d v="2017-07-16T00:00:00"/>
        <d v="2022-05-05T00:00:00"/>
        <d v="2004-07-22T00:00:00"/>
        <d v="2020-08-05T00:00:00"/>
        <d v="2019-08-16T00:00:00"/>
        <d v="2017-03-08T00:00:00"/>
        <d v="2002-07-20T00:00:00"/>
        <d v="2002-12-20T00:00:00"/>
        <d v="2007-11-05T00:00:00"/>
        <d v="2002-02-18T00:00:00"/>
        <d v="1994-11-08T00:00:00"/>
        <d v="2013-12-18T00:00:00"/>
        <d v="2022-01-17T00:00:00"/>
        <d v="2020-02-13T00:00:00"/>
        <d v="2008-08-10T00:00:00"/>
        <d v="1997-03-01T00:00:00"/>
        <d v="1998-07-21T00:00:00"/>
        <d v="2020-01-14T00:00:00"/>
        <d v="2018-10-09T00:00:00"/>
        <d v="2008-04-12T00:00:00"/>
        <d v="1997-05-12T00:00:00"/>
        <d v="2021-09-05T00:00:00"/>
        <d v="2013-12-20T00:00:00"/>
        <d v="2016-11-03T00:00:00"/>
        <d v="2012-08-12T00:00:00"/>
        <d v="2017-12-18T00:00:00"/>
        <d v="2022-05-15T00:00:00"/>
        <d v="2001-05-11T00:00:00"/>
        <d v="2009-08-22T00:00:00"/>
        <d v="2006-07-11T00:00:00"/>
        <d v="1998-02-28T00:00:00"/>
        <d v="2009-07-11T00:00:00"/>
        <d v="2016-08-23T00:00:00"/>
        <d v="2011-04-11T00:00:00"/>
        <d v="2012-12-16T00:00:00"/>
        <d v="2009-01-23T00:00:00"/>
        <d v="2022-10-13T00:00:00"/>
        <d v="2003-06-24T00:00:00"/>
        <d v="2003-10-28T00:00:00"/>
        <d v="2021-04-15T00:00:00"/>
        <d v="2014-11-05T00:00:00"/>
        <d v="2018-05-21T00:00:00"/>
        <d v="2021-02-23T00:00:00"/>
        <d v="2016-06-11T00:00:00"/>
        <d v="2022-05-06T00:00:00"/>
        <d v="2017-11-19T00:00:00"/>
        <d v="2018-10-28T00:00:00"/>
        <d v="1997-09-28T00:00:00"/>
        <d v="2020-11-15T00:00:00"/>
        <d v="2022-08-05T00:00:00"/>
        <d v="2019-07-02T00:00:00"/>
        <d v="1997-07-15T00:00:00"/>
        <d v="2001-08-10T00:00:00"/>
        <d v="2018-12-24T00:00:00"/>
        <d v="2021-09-13T00:00:00"/>
        <d v="2005-04-01T00:00:00"/>
        <d v="1995-11-13T00:00:00"/>
        <d v="2016-09-19T00:00:00"/>
        <d v="2018-05-23T00:00:00"/>
        <d v="2016-02-15T00:00:00"/>
        <d v="2016-01-30T00:00:00"/>
        <d v="2007-08-08T00:00:00"/>
        <d v="2001-03-01T00:00:00"/>
        <d v="2009-03-03T00:00:00"/>
        <d v="2008-05-19T00:00:00"/>
        <d v="2014-09-24T00:00:00"/>
        <d v="2015-01-29T00:00:00"/>
        <d v="2012-12-03T00:00:00"/>
        <d v="2018-11-16T00:00:00"/>
        <d v="2017-02-15T00:00:00"/>
        <d v="2017-12-28T00:00:00"/>
        <d v="2010-02-21T00:00:00"/>
        <d v="2008-10-04T00:00:00"/>
        <d v="2011-08-26T00:00:00"/>
        <d v="2021-09-23T00:00:00"/>
        <d v="1993-06-27T00:00:00"/>
        <d v="2007-10-31T00:00:00"/>
        <d v="2011-05-13T00:00:00"/>
        <d v="2015-08-23T00:00:00"/>
        <d v="2019-08-07T00:00:00"/>
        <d v="2010-03-04T00:00:00"/>
        <d v="2022-02-07T00:00:00"/>
        <d v="2021-12-04T00:00:00"/>
        <d v="1993-09-10T00:00:00"/>
        <d v="1997-09-15T00:00:00"/>
        <d v="2004-02-22T00:00:00"/>
        <d v="2012-02-06T00:00:00"/>
        <d v="2010-10-25T00:00:00"/>
        <d v="2022-04-10T00:00:00"/>
        <d v="1999-03-01T00:00:00"/>
        <d v="2008-09-17T00:00:00"/>
        <d v="2022-09-01T00:00:00"/>
        <d v="1999-06-24T00:00:00"/>
        <d v="2005-03-19T00:00:00"/>
        <d v="2021-09-09T00:00:00"/>
        <d v="2021-04-13T00:00:00"/>
        <d v="2014-11-27T00:00:00"/>
        <d v="2022-03-21T00:00:00"/>
        <d v="2010-05-07T00:00:00"/>
        <d v="2010-01-13T00:00:00"/>
        <d v="2020-01-26T00:00:00"/>
        <d v="2000-03-29T00:00:00"/>
        <d v="2021-06-13T00:00:00"/>
        <d v="2019-04-28T00:00:00"/>
        <d v="2001-01-06T00:00:00"/>
        <d v="2001-10-27T00:00:00"/>
        <d v="2017-07-07T00:00:00"/>
        <d v="2021-07-12T00:00:00"/>
        <d v="2012-09-08T00:00:00"/>
        <d v="2022-08-07T00:00:00"/>
        <d v="2019-06-11T00:00:00"/>
        <d v="2018-12-16T00:00:00"/>
        <d v="2008-04-11T00:00:00"/>
        <d v="2019-08-22T00:00:00"/>
        <d v="2012-05-23T00:00:00"/>
        <d v="1999-08-20T00:00:00"/>
        <d v="2020-09-13T00:00:00"/>
        <d v="2018-09-28T00:00:00"/>
        <d v="2004-05-17T00:00:00"/>
        <d v="2009-10-04T00:00:00"/>
        <d v="2019-09-06T00:00:00"/>
        <d v="2018-05-18T00:00:00"/>
        <d v="2015-04-28T00:00:00"/>
        <d v="2006-07-12T00:00:00"/>
        <d v="2017-03-16T00:00:00"/>
        <d v="2021-12-03T00:00:00"/>
        <d v="2011-04-18T00:00:00"/>
        <d v="2022-11-11T00:00:00"/>
        <d v="2016-04-12T00:00:00"/>
        <d v="2003-03-15T00:00:00"/>
        <d v="1996-08-26T00:00:00"/>
        <d v="2010-03-15T00:00:00"/>
        <d v="2018-12-29T00:00:00"/>
        <d v="2002-04-24T00:00:00"/>
        <d v="2014-04-24T00:00:00"/>
        <d v="2016-08-10T00:00:00"/>
        <d v="2003-07-13T00:00:00"/>
        <d v="2022-07-20T00:00:00"/>
        <d v="2018-06-29T00:00:00"/>
        <d v="2003-09-30T00:00:00"/>
        <d v="2006-01-30T00:00:00"/>
        <d v="2022-03-02T00:00:00"/>
        <d v="2011-11-17T00:00:00"/>
        <d v="2005-02-09T00:00:00"/>
        <d v="2018-02-24T00:00:00"/>
        <d v="2009-01-11T00:00:00"/>
        <d v="2011-06-19T00:00:00"/>
        <d v="2019-04-15T00:00:00"/>
        <d v="1998-01-29T00:00:00"/>
        <d v="2021-01-10T00:00:00"/>
        <d v="2022-11-03T00:00:00"/>
        <d v="2021-12-17T00:00:00"/>
        <d v="2011-12-15T00:00:00"/>
        <d v="2020-05-22T00:00:00"/>
        <d v="2017-01-07T00:00:00"/>
        <d v="2018-07-18T00:00:00"/>
        <d v="2019-09-21T00:00:00"/>
        <d v="2002-04-12T00:00:00"/>
        <d v="2019-09-20T00:00:00"/>
        <d v="2005-11-26T00:00:00"/>
        <d v="2007-07-19T00:00:00"/>
        <d v="2003-05-10T00:00:00"/>
        <d v="2013-06-29T00:00:00"/>
        <d v="2014-08-09T00:00:00"/>
        <d v="2021-12-28T00:00:00"/>
        <d v="2020-08-16T00:00:00"/>
        <d v="2021-11-01T00:00:00"/>
        <d v="2013-05-17T00:00:00"/>
        <d v="2003-01-06T00:00:00"/>
        <d v="2010-05-16T00:00:00"/>
        <d v="1995-03-21T00:00:00"/>
        <d v="2020-08-03T00:00:00"/>
        <d v="1997-08-22T00:00:00"/>
        <d v="2004-06-06T00:00:00"/>
        <d v="2015-09-17T00:00:00"/>
        <d v="1999-03-29T00:00:00"/>
        <d v="2012-12-17T00:00:00"/>
        <d v="2020-08-21T00:00:00"/>
        <d v="2000-07-26T00:00:00"/>
        <d v="2014-01-07T00:00:00"/>
        <d v="2022-02-15T00:00:00"/>
        <d v="2020-11-22T00:00:00"/>
        <d v="2018-11-08T00:00:00"/>
        <d v="2012-04-25T00:00:00"/>
        <d v="2003-02-24T00:00:00"/>
        <d v="2001-03-19T00:00:00"/>
        <d v="2021-05-14T00:00:00"/>
        <d v="1999-02-23T00:00:00"/>
        <d v="2018-04-09T00:00:00"/>
        <d v="2015-12-20T00:00:00"/>
        <d v="2001-11-21T00:00:00"/>
        <d v="2011-08-30T00:00:00"/>
        <d v="2021-03-05T00:00:00"/>
        <d v="2017-01-03T00:00:00"/>
        <d v="2018-11-10T00:00:00"/>
        <d v="2019-05-26T00:00:00"/>
        <d v="2021-03-10T00:00:00"/>
        <d v="2008-06-25T00:00:00"/>
        <d v="1994-07-05T00:00:00"/>
        <d v="2008-09-26T00:00:00"/>
        <d v="2013-09-17T00:00:00"/>
        <d v="2021-07-04T00:00:00"/>
        <d v="2014-12-29T00:00:00"/>
        <d v="2017-04-18T00:00:00"/>
        <d v="2017-01-06T00:00:00"/>
        <d v="2005-12-22T00:00:00"/>
        <d v="2002-05-06T00:00:00"/>
        <d v="2006-12-20T00:00:00"/>
        <d v="2020-03-06T00:00:00"/>
        <d v="1998-03-06T00:00:00"/>
        <d v="2021-06-17T00:00:00"/>
        <d v="2015-05-06T00:00:00"/>
        <d v="2011-09-16T00:00:00"/>
        <d v="2020-01-22T00:00:00"/>
        <d v="1995-05-16T00:00:00"/>
        <d v="2019-10-15T00:00:00"/>
        <d v="2005-03-28T00:00:00"/>
        <d v="2018-08-28T00:00:00"/>
        <d v="2019-04-26T00:00:00"/>
        <d v="2018-06-23T00:00:00"/>
        <d v="2021-09-02T00:00:00"/>
        <d v="2022-09-12T00:00:00"/>
        <d v="1994-04-20T00:00:00"/>
        <d v="2012-01-15T00:00:00"/>
        <d v="2018-06-21T00:00:00"/>
        <d v="2021-11-19T00:00:00"/>
        <d v="2019-03-27T00:00:00"/>
        <d v="2012-01-20T00:00:00"/>
        <d v="2005-10-17T00:00:00"/>
        <d v="2018-10-06T00:00:00"/>
        <d v="2014-11-23T00:00:00"/>
        <d v="2011-07-13T00:00:00"/>
        <d v="2010-02-20T00:00:00"/>
        <d v="2018-09-13T00:00:00"/>
        <d v="2020-05-07T00:00:00"/>
        <d v="2016-08-06T00:00:00"/>
        <d v="2020-10-09T00:00:00"/>
        <d v="2008-12-19T00:00:00"/>
        <d v="2018-09-21T00:00:00"/>
        <d v="2012-03-30T00:00:00"/>
        <d v="2015-11-08T00:00:00"/>
        <d v="2019-01-08T00:00:00"/>
        <d v="2020-06-28T00:00:00"/>
        <d v="2003-12-13T00:00:00"/>
        <d v="2018-10-13T00:00:00"/>
        <d v="2022-01-08T00:00:00"/>
        <d v="2013-02-24T00:00:00"/>
        <d v="2002-12-23T00:00:00"/>
        <d v="1993-04-30T00:00:00"/>
        <d v="2016-11-29T00:00:00"/>
        <d v="2015-06-15T00:00:00"/>
        <d v="2021-11-18T00:00:00"/>
        <d v="1994-09-04T00:00:00"/>
        <d v="2009-01-30T00:00:00"/>
        <d v="2022-12-25T00:00:00"/>
        <d v="2021-02-10T00:00:00"/>
        <d v="2015-02-10T00:00:00"/>
        <d v="2011-05-01T00:00:00"/>
        <d v="2000-06-23T00:00:00"/>
        <d v="1998-11-30T00:00:00"/>
        <d v="2004-12-08T00:00:00"/>
        <d v="2021-03-11T00:00:00"/>
        <d v="2010-11-17T00:00:00"/>
        <d v="2003-02-25T00:00:00"/>
        <d v="2020-02-18T00:00:00"/>
        <d v="2022-05-07T00:00:00"/>
        <d v="2012-04-08T00:00:00"/>
        <d v="2009-04-09T00:00:00"/>
        <d v="2018-09-20T00:00:00"/>
        <d v="2004-04-07T00:00:00"/>
        <d v="2012-09-10T00:00:00"/>
        <d v="2006-09-30T00:00:00"/>
        <d v="2004-02-12T00:00:00"/>
        <d v="2018-12-12T00:00:00"/>
        <d v="2022-10-07T00:00:00"/>
        <d v="1998-02-16T00:00:00"/>
        <d v="2014-07-11T00:00:00"/>
        <d v="2015-04-12T00:00:00"/>
        <d v="2005-07-17T00:00:00"/>
        <d v="2021-09-15T00:00:00"/>
        <d v="2021-12-08T00:00:00"/>
        <d v="1999-05-24T00:00:00"/>
        <d v="2013-02-08T00:00:00"/>
        <d v="2022-10-27T00:00:00"/>
        <d v="2020-11-04T00:00:00"/>
        <d v="2021-12-01T00:00:00"/>
        <d v="2020-08-26T00:00:00"/>
        <d v="2004-07-20T00:00:00"/>
        <d v="2009-03-25T00:00:00"/>
        <d v="2022-05-24T00:00:00"/>
        <d v="2022-02-01T00:00:00"/>
        <d v="2021-02-11T00:00:00"/>
        <d v="2003-03-12T00:00:00"/>
        <d v="2007-05-21T00:00:00"/>
        <d v="2019-11-29T00:00:00"/>
        <d v="2021-08-24T00:00:00"/>
        <d v="1994-12-26T00:00:00"/>
        <d v="2016-11-21T00:00:00"/>
        <d v="2015-12-26T00:00:00"/>
        <d v="2010-09-29T00:00:00"/>
        <d v="2019-03-18T00:00:00"/>
        <d v="2001-12-15T00:00:00"/>
        <d v="2016-12-03T00:00:00"/>
        <d v="2011-03-25T00:00:00"/>
        <d v="2015-02-07T00:00:00"/>
        <d v="2013-03-22T00:00:00"/>
        <d v="2013-07-26T00:00:00"/>
        <d v="2007-05-10T00:00:00"/>
        <d v="2022-09-11T00:00:00"/>
        <d v="2003-09-28T00:00:00"/>
        <d v="2021-05-04T00:00:00"/>
        <d v="2000-01-29T00:00:00"/>
        <d v="2015-01-12T00:00:00"/>
        <d v="2013-10-26T00:00:00"/>
        <d v="2006-01-07T00:00:00"/>
        <d v="2016-08-24T00:00:00"/>
        <d v="1997-10-14T00:00:00"/>
        <d v="2008-02-09T00:00:00"/>
        <d v="1997-07-10T00:00:00"/>
        <d v="2005-01-17T00:00:00"/>
        <d v="1999-05-22T00:00:00"/>
        <d v="2014-08-10T00:00:00"/>
        <d v="2000-01-27T00:00:00"/>
        <d v="1993-12-08T00:00:00"/>
        <d v="2010-01-12T00:00:00"/>
        <d v="2021-01-15T00:00:00"/>
        <d v="2014-09-08T00:00:00"/>
        <d v="2022-10-23T00:00:00"/>
        <d v="2003-05-13T00:00:00"/>
        <d v="2007-03-03T00:00:00"/>
        <d v="2014-04-19T00:00:00"/>
        <d v="2020-02-16T00:00:00"/>
        <d v="2010-03-05T00:00:00"/>
        <d v="2015-03-12T00:00:00"/>
        <d v="2010-06-04T00:00:00"/>
        <d v="2000-12-29T00:00:00"/>
        <d v="2008-05-21T00:00:00"/>
        <d v="2008-03-03T00:00:00"/>
        <d v="2009-04-17T00:00:00"/>
        <d v="2011-04-22T00:00:00"/>
        <d v="2014-01-28T00:00:00"/>
        <d v="2011-04-09T00:00:00"/>
        <d v="2021-10-05T00:00:00"/>
        <d v="2015-01-21T00:00:00"/>
        <d v="2007-09-22T00:00:00"/>
        <d v="2019-11-28T00:00:00"/>
        <d v="2006-09-11T00:00:00"/>
        <d v="2020-04-27T00:00:00"/>
        <d v="2005-09-12T00:00:00"/>
        <d v="2012-11-24T00:00:00"/>
        <d v="2012-01-10T00:00:00"/>
        <d v="2009-10-11T00:00:00"/>
        <d v="2010-03-24T00:00:00"/>
        <d v="2020-09-02T00:00:00"/>
        <d v="2014-10-15T00:00:00"/>
        <d v="2008-06-27T00:00:00"/>
        <d v="2010-06-05T00:00:00"/>
        <d v="2001-06-17T00:00:00"/>
        <d v="2016-10-23T00:00:00"/>
        <d v="2000-10-15T00:00:00"/>
        <d v="2009-01-27T00:00:00"/>
        <d v="2021-11-10T00:00:00"/>
        <d v="2006-06-30T00:00:00"/>
        <d v="2022-07-02T00:00:00"/>
        <d v="2012-06-07T00:00:00"/>
        <d v="2020-05-19T00:00:00"/>
        <d v="1994-07-12T00:00:00"/>
        <d v="2012-04-27T00:00:00"/>
        <d v="2021-08-09T00:00:00"/>
        <d v="2016-12-04T00:00:00"/>
        <d v="2022-01-06T00:00:00"/>
        <d v="2022-11-19T00:00:00"/>
        <d v="2014-12-07T00:00:00"/>
        <d v="1997-11-19T00:00:00"/>
        <d v="2012-03-11T00:00:00"/>
        <d v="2010-01-09T00:00:00"/>
        <d v="2016-12-20T00:00:00"/>
        <d v="2018-12-25T00:00:00"/>
        <d v="2014-02-21T00:00:00"/>
        <d v="2003-12-15T00:00:00"/>
        <d v="2019-03-28T00:00:00"/>
        <d v="2011-12-07T00:00:00"/>
        <d v="2018-07-19T00:00:00"/>
        <d v="2019-10-13T00:00:00"/>
        <d v="1997-12-12T00:00:00"/>
        <d v="2017-04-21T00:00:00"/>
        <d v="1993-06-25T00:00:00"/>
        <d v="2001-06-29T00:00:00"/>
        <d v="2017-04-24T00:00:00"/>
        <d v="2002-05-23T00:00:00"/>
        <d v="2010-10-10T00:00:00"/>
        <d v="2015-03-04T00:00:00"/>
        <d v="2018-03-12T00:00:00"/>
        <d v="2011-01-07T00:00:00"/>
        <d v="2005-11-18T00:00:00"/>
        <d v="1995-05-01T00:00:00"/>
        <d v="2004-08-30T00:00:00"/>
        <d v="2000-04-28T00:00:00"/>
        <d v="1994-08-15T00:00:00"/>
        <d v="2018-10-07T00:00:00"/>
        <d v="2009-05-16T00:00:00"/>
        <d v="2022-04-09T00:00:00"/>
        <d v="2021-02-18T00:00:00"/>
        <d v="1996-09-08T00:00:00"/>
        <d v="2010-12-27T00:00:00"/>
        <d v="2018-03-03T00:00:00"/>
        <d v="2021-07-18T00:00:00"/>
        <d v="1996-07-09T00:00:00"/>
        <d v="2011-03-11T00:00:00"/>
        <d v="2015-10-19T00:00:00"/>
        <d v="2015-03-09T00:00:00"/>
        <d v="2021-05-13T00:00:00"/>
        <d v="2019-07-12T00:00:00"/>
        <d v="2014-04-20T00:00:00"/>
        <d v="2011-07-09T00:00:00"/>
        <d v="2013-12-16T00:00:00"/>
        <d v="2012-03-20T00:00:00"/>
        <d v="2007-11-12T00:00:00"/>
        <d v="2012-01-23T00:00:00"/>
        <d v="2019-03-14T00:00:00"/>
        <d v="2012-02-07T00:00:00"/>
        <d v="2012-05-22T00:00:00"/>
        <d v="2006-08-19T00:00:00"/>
        <d v="1993-07-05T00:00:00"/>
        <d v="2020-05-23T00:00:00"/>
        <d v="2006-06-28T00:00:00"/>
        <d v="2021-06-09T00:00:00"/>
        <d v="2019-01-13T00:00:00"/>
        <d v="2000-05-19T00:00:00"/>
        <d v="2007-05-08T00:00:00"/>
        <d v="2009-04-22T00:00:00"/>
        <d v="2003-02-21T00:00:00"/>
        <d v="2005-08-13T00:00:00"/>
        <d v="2002-07-14T00:00:00"/>
        <d v="2004-03-08T00:00:00"/>
        <d v="1999-10-15T00:00:00"/>
        <d v="2011-11-11T00:00:00"/>
        <d v="2014-04-05T00:00:00"/>
        <d v="2011-05-19T00:00:00"/>
        <d v="1996-01-23T00:00:00"/>
        <d v="2018-02-20T00:00:00"/>
        <d v="2017-05-04T00:00:00"/>
        <d v="2005-06-01T00:00:00"/>
        <d v="2015-11-26T00:00:00"/>
        <d v="2022-07-08T00:00:00"/>
        <d v="2021-10-03T00:00:00"/>
        <d v="2020-10-25T00:00:00"/>
        <d v="2008-08-13T00:00:00"/>
        <d v="2006-03-17T00:00:00"/>
        <d v="2008-08-20T00:00:00"/>
        <d v="2000-01-22T00:00:00"/>
        <d v="2019-06-07T00:00:00"/>
        <d v="2011-09-13T00:00:00"/>
        <d v="2012-05-05T00:00:00"/>
        <d v="2020-08-13T00:00:00"/>
        <d v="2016-09-07T00:00:00"/>
        <d v="2015-10-17T00:00:00"/>
        <d v="2018-12-20T00:00:00"/>
        <d v="2014-10-04T00:00:00"/>
        <d v="1999-01-08T00:00:00"/>
        <d v="2008-07-27T00:00:00"/>
        <d v="2021-05-05T00:00:00"/>
        <d v="2015-03-15T00:00:00"/>
        <d v="1997-04-17T00:00:00"/>
        <d v="2007-08-24T00:00:00"/>
        <d v="1993-11-19T00:00:00"/>
        <d v="2021-02-25T00:00:00"/>
        <d v="2021-05-25T00:00:00"/>
        <d v="2014-09-22T00:00:00"/>
        <d v="2012-10-28T00:00:00"/>
        <d v="2007-08-28T00:00:00"/>
        <d v="2012-11-28T00:00:00"/>
        <d v="2010-06-13T00:00:00"/>
        <d v="2018-08-27T00:00:00"/>
        <d v="2021-02-08T00:00:00"/>
      </sharedItems>
      <fieldGroup par="15"/>
    </cacheField>
    <cacheField name="Annual Salary" numFmtId="164">
      <sharedItems containsSemiMixedTypes="0" containsString="0" containsNumber="1" containsInteger="1" minValue="500" maxValue="1000"/>
    </cacheField>
    <cacheField name="Bonus %" numFmtId="165">
      <sharedItems containsSemiMixedTypes="0" containsString="0" containsNumber="1" minValue="0" maxValue="0.4"/>
    </cacheField>
    <cacheField name="Country" numFmtId="0">
      <sharedItems count="3">
        <s v="United States"/>
        <s v="China"/>
        <s v="Brazil"/>
      </sharedItems>
    </cacheField>
    <cacheField name="City" numFmtId="0">
      <sharedItems count="13">
        <s v="Columbus"/>
        <s v="Chicago"/>
        <s v="Shanghai"/>
        <s v="Seattle"/>
        <s v="Austin"/>
        <s v="Phoenix"/>
        <s v="Chongqing"/>
        <s v="Chengdu"/>
        <s v="Miami"/>
        <s v="Beijing"/>
        <s v="Rio de Janeiro"/>
        <s v="Sao Paulo"/>
        <s v="Manaus"/>
      </sharedItems>
    </cacheField>
    <cacheField name="Months (Hire Date)" numFmtId="0" databaseField="0">
      <fieldGroup base="8">
        <rangePr groupBy="months" startDate="1993-04-30T00:00:00" endDate="2022-12-26T00:00:00"/>
        <groupItems count="14">
          <s v="&lt;30-04-1993"/>
          <s v="Jan"/>
          <s v="Feb"/>
          <s v="Mar"/>
          <s v="Apr"/>
          <s v="May"/>
          <s v="Jun"/>
          <s v="Jul"/>
          <s v="Aug"/>
          <s v="Sep"/>
          <s v="Oct"/>
          <s v="Nov"/>
          <s v="Dec"/>
          <s v="&gt;26-12-2022"/>
        </groupItems>
      </fieldGroup>
    </cacheField>
    <cacheField name="Quarters (Hire Date)" numFmtId="0" databaseField="0">
      <fieldGroup base="8">
        <rangePr groupBy="quarters" startDate="1993-04-30T00:00:00" endDate="2022-12-26T00:00:00"/>
        <groupItems count="6">
          <s v="&lt;30-04-1993"/>
          <s v="Qtr1"/>
          <s v="Qtr2"/>
          <s v="Qtr3"/>
          <s v="Qtr4"/>
          <s v="&gt;26-12-2022"/>
        </groupItems>
      </fieldGroup>
    </cacheField>
    <cacheField name="Years (Hire Date)" numFmtId="0" databaseField="0">
      <fieldGroup base="8">
        <rangePr groupBy="years" startDate="1993-04-30T00:00:00" endDate="2022-12-26T00:00:00"/>
        <groupItems count="32">
          <s v="&lt;30-04-1993"/>
          <s v="1993"/>
          <s v="1994"/>
          <s v="1995"/>
          <s v="1996"/>
          <s v="1997"/>
          <s v="1998"/>
          <s v="1999"/>
          <s v="2000"/>
          <s v="2001"/>
          <s v="2002"/>
          <s v="2003"/>
          <s v="2004"/>
          <s v="2005"/>
          <s v="2006"/>
          <s v="2007"/>
          <s v="2008"/>
          <s v="2009"/>
          <s v="2010"/>
          <s v="2011"/>
          <s v="2012"/>
          <s v="2013"/>
          <s v="2014"/>
          <s v="2015"/>
          <s v="2016"/>
          <s v="2017"/>
          <s v="2018"/>
          <s v="2019"/>
          <s v="2020"/>
          <s v="2021"/>
          <s v="2022"/>
          <s v="&gt;26-12-2022"/>
        </groupItems>
      </fieldGroup>
    </cacheField>
  </cacheFields>
  <extLst>
    <ext xmlns:x14="http://schemas.microsoft.com/office/spreadsheetml/2009/9/main" uri="{725AE2AE-9491-48be-B2B4-4EB974FC3084}">
      <x14:pivotCacheDefinition pivotCacheId="708481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2002"/>
    <x v="0"/>
    <s v="Controls Engineer"/>
    <x v="0"/>
    <x v="0"/>
    <x v="0"/>
    <x v="0"/>
    <x v="0"/>
    <d v="2022-02-05T00:00:00"/>
    <n v="92368"/>
    <n v="0"/>
    <x v="0"/>
    <x v="0"/>
  </r>
  <r>
    <s v="E02003"/>
    <x v="1"/>
    <s v="Analyst"/>
    <x v="1"/>
    <x v="1"/>
    <x v="0"/>
    <x v="0"/>
    <x v="1"/>
    <d v="2013-10-23T00:00:00"/>
    <n v="45703"/>
    <n v="0"/>
    <x v="0"/>
    <x v="1"/>
  </r>
  <r>
    <s v="E02004"/>
    <x v="2"/>
    <s v="Network Administrator"/>
    <x v="2"/>
    <x v="2"/>
    <x v="0"/>
    <x v="0"/>
    <x v="2"/>
    <d v="2019-03-24T00:00:00"/>
    <n v="83576"/>
    <n v="0"/>
    <x v="1"/>
    <x v="2"/>
  </r>
  <r>
    <s v="E02005"/>
    <x v="3"/>
    <s v="IT Systems Architect"/>
    <x v="2"/>
    <x v="1"/>
    <x v="1"/>
    <x v="1"/>
    <x v="3"/>
    <d v="2018-04-07T00:00:00"/>
    <n v="98062"/>
    <n v="0"/>
    <x v="0"/>
    <x v="3"/>
  </r>
  <r>
    <s v="E02006"/>
    <x v="4"/>
    <s v="Director"/>
    <x v="0"/>
    <x v="1"/>
    <x v="1"/>
    <x v="1"/>
    <x v="4"/>
    <d v="2005-06-18T00:00:00"/>
    <n v="175391"/>
    <n v="0.24"/>
    <x v="0"/>
    <x v="4"/>
  </r>
  <r>
    <s v="E02007"/>
    <x v="5"/>
    <s v="Network Administrator"/>
    <x v="2"/>
    <x v="0"/>
    <x v="0"/>
    <x v="0"/>
    <x v="5"/>
    <d v="2004-04-22T00:00:00"/>
    <n v="66227"/>
    <n v="0"/>
    <x v="0"/>
    <x v="5"/>
  </r>
  <r>
    <s v="E02008"/>
    <x v="6"/>
    <s v="Sr. Analyst"/>
    <x v="3"/>
    <x v="3"/>
    <x v="1"/>
    <x v="0"/>
    <x v="1"/>
    <d v="2009-06-27T00:00:00"/>
    <n v="89744"/>
    <n v="0"/>
    <x v="1"/>
    <x v="6"/>
  </r>
  <r>
    <s v="E02009"/>
    <x v="7"/>
    <s v="Analyst II"/>
    <x v="4"/>
    <x v="1"/>
    <x v="0"/>
    <x v="0"/>
    <x v="5"/>
    <d v="1999-02-19T00:00:00"/>
    <n v="69674"/>
    <n v="0"/>
    <x v="1"/>
    <x v="7"/>
  </r>
  <r>
    <s v="E02010"/>
    <x v="8"/>
    <s v="System Administrator "/>
    <x v="2"/>
    <x v="0"/>
    <x v="1"/>
    <x v="2"/>
    <x v="6"/>
    <d v="2011-09-09T00:00:00"/>
    <n v="97630"/>
    <n v="0"/>
    <x v="0"/>
    <x v="3"/>
  </r>
  <r>
    <s v="E02011"/>
    <x v="9"/>
    <s v="Manager"/>
    <x v="4"/>
    <x v="3"/>
    <x v="0"/>
    <x v="2"/>
    <x v="7"/>
    <d v="2015-02-05T00:00:00"/>
    <n v="105879"/>
    <n v="0.1"/>
    <x v="0"/>
    <x v="8"/>
  </r>
  <r>
    <s v="E02012"/>
    <x v="10"/>
    <s v="Systems Analyst"/>
    <x v="2"/>
    <x v="0"/>
    <x v="0"/>
    <x v="1"/>
    <x v="8"/>
    <d v="2003-10-12T00:00:00"/>
    <n v="40499"/>
    <n v="0"/>
    <x v="0"/>
    <x v="8"/>
  </r>
  <r>
    <s v="E02013"/>
    <x v="11"/>
    <s v="Sr. Analyst"/>
    <x v="4"/>
    <x v="3"/>
    <x v="1"/>
    <x v="0"/>
    <x v="9"/>
    <d v="2014-08-03T00:00:00"/>
    <n v="71418"/>
    <n v="0"/>
    <x v="0"/>
    <x v="5"/>
  </r>
  <r>
    <s v="E02014"/>
    <x v="12"/>
    <s v="Director"/>
    <x v="2"/>
    <x v="0"/>
    <x v="0"/>
    <x v="0"/>
    <x v="10"/>
    <d v="2017-11-15T00:00:00"/>
    <n v="150558"/>
    <n v="0.23"/>
    <x v="1"/>
    <x v="6"/>
  </r>
  <r>
    <s v="E02015"/>
    <x v="13"/>
    <s v="Manager"/>
    <x v="5"/>
    <x v="1"/>
    <x v="0"/>
    <x v="2"/>
    <x v="11"/>
    <d v="2018-07-22T00:00:00"/>
    <n v="118912"/>
    <n v="0.08"/>
    <x v="0"/>
    <x v="8"/>
  </r>
  <r>
    <s v="E02016"/>
    <x v="14"/>
    <s v="Sr. Manager"/>
    <x v="5"/>
    <x v="1"/>
    <x v="0"/>
    <x v="3"/>
    <x v="4"/>
    <d v="2021-03-24T00:00:00"/>
    <n v="131422"/>
    <n v="0.15"/>
    <x v="0"/>
    <x v="5"/>
  </r>
  <r>
    <s v="E02017"/>
    <x v="15"/>
    <s v="IT Systems Architect"/>
    <x v="2"/>
    <x v="1"/>
    <x v="1"/>
    <x v="0"/>
    <x v="5"/>
    <d v="1997-07-26T00:00:00"/>
    <n v="64208"/>
    <n v="0"/>
    <x v="0"/>
    <x v="8"/>
  </r>
  <r>
    <s v="E02018"/>
    <x v="16"/>
    <s v="Vice President"/>
    <x v="0"/>
    <x v="3"/>
    <x v="1"/>
    <x v="0"/>
    <x v="10"/>
    <d v="2010-08-05T00:00:00"/>
    <n v="254486"/>
    <n v="0.33"/>
    <x v="1"/>
    <x v="7"/>
  </r>
  <r>
    <s v="E02019"/>
    <x v="17"/>
    <s v="Analyst"/>
    <x v="1"/>
    <x v="3"/>
    <x v="1"/>
    <x v="0"/>
    <x v="12"/>
    <d v="2019-03-03T00:00:00"/>
    <n v="54811"/>
    <n v="0"/>
    <x v="1"/>
    <x v="6"/>
  </r>
  <r>
    <s v="E02020"/>
    <x v="18"/>
    <s v="Service Desk Analyst"/>
    <x v="2"/>
    <x v="3"/>
    <x v="0"/>
    <x v="0"/>
    <x v="13"/>
    <d v="2017-11-11T00:00:00"/>
    <n v="95729"/>
    <n v="0"/>
    <x v="0"/>
    <x v="3"/>
  </r>
  <r>
    <s v="E02021"/>
    <x v="19"/>
    <s v="Manager"/>
    <x v="3"/>
    <x v="3"/>
    <x v="1"/>
    <x v="1"/>
    <x v="9"/>
    <d v="2009-02-08T00:00:00"/>
    <n v="102649"/>
    <n v="0.06"/>
    <x v="0"/>
    <x v="4"/>
  </r>
  <r>
    <s v="E02022"/>
    <x v="20"/>
    <s v="Sr. Manager"/>
    <x v="3"/>
    <x v="3"/>
    <x v="0"/>
    <x v="0"/>
    <x v="10"/>
    <d v="2015-11-16T00:00:00"/>
    <n v="122875"/>
    <n v="0.12"/>
    <x v="0"/>
    <x v="1"/>
  </r>
  <r>
    <s v="E02023"/>
    <x v="21"/>
    <s v="Technical Architect"/>
    <x v="2"/>
    <x v="2"/>
    <x v="1"/>
    <x v="3"/>
    <x v="14"/>
    <d v="2013-08-14T00:00:00"/>
    <n v="83323"/>
    <n v="0"/>
    <x v="0"/>
    <x v="5"/>
  </r>
  <r>
    <s v="E02024"/>
    <x v="22"/>
    <s v="Account Representative"/>
    <x v="1"/>
    <x v="0"/>
    <x v="1"/>
    <x v="0"/>
    <x v="15"/>
    <d v="2018-10-21T00:00:00"/>
    <n v="66721"/>
    <n v="0"/>
    <x v="1"/>
    <x v="2"/>
  </r>
  <r>
    <s v="E02025"/>
    <x v="23"/>
    <s v="Vice President"/>
    <x v="3"/>
    <x v="3"/>
    <x v="0"/>
    <x v="0"/>
    <x v="16"/>
    <d v="2006-11-29T00:00:00"/>
    <n v="246400"/>
    <n v="0.36"/>
    <x v="1"/>
    <x v="6"/>
  </r>
  <r>
    <s v="E02026"/>
    <x v="24"/>
    <s v="Manager"/>
    <x v="1"/>
    <x v="3"/>
    <x v="0"/>
    <x v="2"/>
    <x v="17"/>
    <d v="1997-10-27T00:00:00"/>
    <n v="113525"/>
    <n v="0.06"/>
    <x v="0"/>
    <x v="8"/>
  </r>
  <r>
    <s v="E02027"/>
    <x v="25"/>
    <s v="Director"/>
    <x v="3"/>
    <x v="0"/>
    <x v="0"/>
    <x v="0"/>
    <x v="18"/>
    <d v="2004-05-13T00:00:00"/>
    <n v="184342"/>
    <n v="0.22"/>
    <x v="1"/>
    <x v="9"/>
  </r>
  <r>
    <s v="E02028"/>
    <x v="26"/>
    <s v="Director"/>
    <x v="5"/>
    <x v="3"/>
    <x v="0"/>
    <x v="2"/>
    <x v="1"/>
    <d v="2020-11-24T00:00:00"/>
    <n v="151341"/>
    <n v="0.22"/>
    <x v="0"/>
    <x v="3"/>
  </r>
  <r>
    <s v="E02029"/>
    <x v="27"/>
    <s v="Manager"/>
    <x v="5"/>
    <x v="0"/>
    <x v="1"/>
    <x v="2"/>
    <x v="19"/>
    <d v="2004-08-11T00:00:00"/>
    <n v="118900"/>
    <n v="0.05"/>
    <x v="0"/>
    <x v="3"/>
  </r>
  <r>
    <s v="E02030"/>
    <x v="28"/>
    <s v="Sr. Manager"/>
    <x v="5"/>
    <x v="1"/>
    <x v="1"/>
    <x v="3"/>
    <x v="20"/>
    <d v="2017-05-13T00:00:00"/>
    <n v="153370"/>
    <n v="0.1"/>
    <x v="0"/>
    <x v="1"/>
  </r>
  <r>
    <s v="E02031"/>
    <x v="29"/>
    <s v="System Administrator "/>
    <x v="2"/>
    <x v="3"/>
    <x v="0"/>
    <x v="0"/>
    <x v="19"/>
    <d v="2002-03-15T00:00:00"/>
    <n v="72860"/>
    <n v="0"/>
    <x v="1"/>
    <x v="2"/>
  </r>
  <r>
    <s v="E02032"/>
    <x v="30"/>
    <s v="Vice President"/>
    <x v="4"/>
    <x v="2"/>
    <x v="1"/>
    <x v="2"/>
    <x v="21"/>
    <d v="2001-08-13T00:00:00"/>
    <n v="255610"/>
    <n v="0.36"/>
    <x v="0"/>
    <x v="5"/>
  </r>
  <r>
    <s v="E02033"/>
    <x v="31"/>
    <s v="Sr. Analyst"/>
    <x v="1"/>
    <x v="1"/>
    <x v="0"/>
    <x v="0"/>
    <x v="22"/>
    <d v="2020-10-24T00:00:00"/>
    <n v="84962"/>
    <n v="0"/>
    <x v="1"/>
    <x v="7"/>
  </r>
  <r>
    <s v="E02034"/>
    <x v="32"/>
    <s v="Manager"/>
    <x v="6"/>
    <x v="3"/>
    <x v="0"/>
    <x v="1"/>
    <x v="17"/>
    <d v="2017-12-04T00:00:00"/>
    <n v="103795"/>
    <n v="7.0000000000000007E-2"/>
    <x v="0"/>
    <x v="3"/>
  </r>
  <r>
    <s v="E02035"/>
    <x v="33"/>
    <s v="Service Desk Analyst"/>
    <x v="2"/>
    <x v="1"/>
    <x v="1"/>
    <x v="0"/>
    <x v="23"/>
    <d v="2018-01-11T00:00:00"/>
    <n v="97509"/>
    <n v="0"/>
    <x v="1"/>
    <x v="2"/>
  </r>
  <r>
    <s v="E02036"/>
    <x v="34"/>
    <s v="Business Partner"/>
    <x v="6"/>
    <x v="3"/>
    <x v="0"/>
    <x v="2"/>
    <x v="19"/>
    <d v="2022-09-07T00:00:00"/>
    <n v="54931"/>
    <n v="0"/>
    <x v="0"/>
    <x v="4"/>
  </r>
  <r>
    <s v="E02037"/>
    <x v="35"/>
    <s v="Test Engineer"/>
    <x v="0"/>
    <x v="3"/>
    <x v="0"/>
    <x v="1"/>
    <x v="24"/>
    <d v="2009-08-30T00:00:00"/>
    <n v="88689"/>
    <n v="0"/>
    <x v="0"/>
    <x v="5"/>
  </r>
  <r>
    <s v="E02038"/>
    <x v="36"/>
    <s v="Sr. Manager"/>
    <x v="3"/>
    <x v="1"/>
    <x v="1"/>
    <x v="1"/>
    <x v="15"/>
    <d v="2015-09-23T00:00:00"/>
    <n v="158184"/>
    <n v="0.15"/>
    <x v="2"/>
    <x v="10"/>
  </r>
  <r>
    <s v="E02039"/>
    <x v="37"/>
    <s v="Analyst"/>
    <x v="5"/>
    <x v="2"/>
    <x v="0"/>
    <x v="2"/>
    <x v="0"/>
    <d v="2016-02-10T00:00:00"/>
    <n v="48523"/>
    <n v="0"/>
    <x v="0"/>
    <x v="4"/>
  </r>
  <r>
    <s v="E02040"/>
    <x v="38"/>
    <s v="Sr. Analyst"/>
    <x v="5"/>
    <x v="3"/>
    <x v="0"/>
    <x v="0"/>
    <x v="22"/>
    <d v="2022-02-05T00:00:00"/>
    <n v="70946"/>
    <n v="0"/>
    <x v="1"/>
    <x v="2"/>
  </r>
  <r>
    <s v="E02041"/>
    <x v="39"/>
    <s v="Sr. Manager"/>
    <x v="4"/>
    <x v="3"/>
    <x v="1"/>
    <x v="0"/>
    <x v="5"/>
    <d v="2021-11-13T00:00:00"/>
    <n v="134487"/>
    <n v="0.1"/>
    <x v="0"/>
    <x v="3"/>
  </r>
  <r>
    <s v="E02042"/>
    <x v="40"/>
    <s v="Sr. Analyst"/>
    <x v="4"/>
    <x v="2"/>
    <x v="1"/>
    <x v="1"/>
    <x v="25"/>
    <d v="2012-04-06T00:00:00"/>
    <n v="76111"/>
    <n v="0"/>
    <x v="0"/>
    <x v="1"/>
  </r>
  <r>
    <s v="E02043"/>
    <x v="41"/>
    <s v="Manager"/>
    <x v="3"/>
    <x v="2"/>
    <x v="1"/>
    <x v="2"/>
    <x v="16"/>
    <d v="1998-09-26T00:00:00"/>
    <n v="119220"/>
    <n v="0.09"/>
    <x v="0"/>
    <x v="0"/>
  </r>
  <r>
    <s v="E02044"/>
    <x v="42"/>
    <s v="Vice President"/>
    <x v="3"/>
    <x v="0"/>
    <x v="0"/>
    <x v="0"/>
    <x v="25"/>
    <d v="2021-04-11T00:00:00"/>
    <n v="180858"/>
    <n v="0.32"/>
    <x v="1"/>
    <x v="6"/>
  </r>
  <r>
    <s v="E02045"/>
    <x v="43"/>
    <s v="Manager"/>
    <x v="3"/>
    <x v="3"/>
    <x v="1"/>
    <x v="0"/>
    <x v="10"/>
    <d v="2005-11-10T00:00:00"/>
    <n v="114072"/>
    <n v="0.08"/>
    <x v="0"/>
    <x v="5"/>
  </r>
  <r>
    <s v="E02046"/>
    <x v="44"/>
    <s v="Test Engineer"/>
    <x v="0"/>
    <x v="2"/>
    <x v="1"/>
    <x v="0"/>
    <x v="22"/>
    <d v="2021-06-26T00:00:00"/>
    <n v="91672"/>
    <n v="0"/>
    <x v="1"/>
    <x v="9"/>
  </r>
  <r>
    <s v="E02047"/>
    <x v="45"/>
    <s v="Analyst II"/>
    <x v="5"/>
    <x v="1"/>
    <x v="1"/>
    <x v="1"/>
    <x v="16"/>
    <d v="2005-01-26T00:00:00"/>
    <n v="71542"/>
    <n v="0"/>
    <x v="0"/>
    <x v="1"/>
  </r>
  <r>
    <s v="E02048"/>
    <x v="46"/>
    <s v="IT Coordinator"/>
    <x v="2"/>
    <x v="3"/>
    <x v="0"/>
    <x v="2"/>
    <x v="26"/>
    <d v="2016-12-18T00:00:00"/>
    <n v="54700"/>
    <n v="0"/>
    <x v="0"/>
    <x v="8"/>
  </r>
  <r>
    <s v="E02049"/>
    <x v="47"/>
    <s v="Analyst II"/>
    <x v="1"/>
    <x v="1"/>
    <x v="0"/>
    <x v="0"/>
    <x v="17"/>
    <d v="2011-05-08T00:00:00"/>
    <n v="65022"/>
    <n v="0"/>
    <x v="1"/>
    <x v="6"/>
  </r>
  <r>
    <s v="E02050"/>
    <x v="48"/>
    <s v="Cloud Infrastructure Architect"/>
    <x v="2"/>
    <x v="2"/>
    <x v="0"/>
    <x v="0"/>
    <x v="6"/>
    <d v="2011-04-12T00:00:00"/>
    <n v="65109"/>
    <n v="0"/>
    <x v="0"/>
    <x v="5"/>
  </r>
  <r>
    <s v="E02051"/>
    <x v="49"/>
    <s v="Manager"/>
    <x v="3"/>
    <x v="3"/>
    <x v="1"/>
    <x v="0"/>
    <x v="8"/>
    <d v="2022-01-01T00:00:00"/>
    <n v="126598"/>
    <n v="0.09"/>
    <x v="0"/>
    <x v="8"/>
  </r>
  <r>
    <s v="E02052"/>
    <x v="50"/>
    <s v="Cloud Infrastructure Architect"/>
    <x v="2"/>
    <x v="1"/>
    <x v="1"/>
    <x v="1"/>
    <x v="7"/>
    <d v="2018-06-07T00:00:00"/>
    <n v="72388"/>
    <n v="0"/>
    <x v="0"/>
    <x v="8"/>
  </r>
  <r>
    <s v="E02053"/>
    <x v="51"/>
    <s v="Vice President"/>
    <x v="4"/>
    <x v="1"/>
    <x v="0"/>
    <x v="0"/>
    <x v="27"/>
    <d v="2021-05-18T00:00:00"/>
    <n v="205216"/>
    <n v="0.36"/>
    <x v="0"/>
    <x v="1"/>
  </r>
  <r>
    <s v="E02054"/>
    <x v="52"/>
    <s v="Enterprise Architect"/>
    <x v="2"/>
    <x v="3"/>
    <x v="0"/>
    <x v="2"/>
    <x v="2"/>
    <d v="2012-12-13T00:00:00"/>
    <n v="74004"/>
    <n v="0"/>
    <x v="0"/>
    <x v="0"/>
  </r>
  <r>
    <s v="E02055"/>
    <x v="53"/>
    <s v="Vice President"/>
    <x v="0"/>
    <x v="1"/>
    <x v="1"/>
    <x v="2"/>
    <x v="28"/>
    <d v="2001-07-26T00:00:00"/>
    <n v="203030"/>
    <n v="0.31"/>
    <x v="0"/>
    <x v="1"/>
  </r>
  <r>
    <s v="E02056"/>
    <x v="54"/>
    <s v="Director"/>
    <x v="1"/>
    <x v="3"/>
    <x v="1"/>
    <x v="1"/>
    <x v="6"/>
    <d v="2016-05-10T00:00:00"/>
    <n v="194864"/>
    <n v="0.24"/>
    <x v="0"/>
    <x v="4"/>
  </r>
  <r>
    <s v="E02057"/>
    <x v="55"/>
    <s v="Computer Systems Manager"/>
    <x v="2"/>
    <x v="0"/>
    <x v="1"/>
    <x v="0"/>
    <x v="9"/>
    <d v="2002-01-27T00:00:00"/>
    <n v="76659"/>
    <n v="0.05"/>
    <x v="0"/>
    <x v="5"/>
  </r>
  <r>
    <s v="E02058"/>
    <x v="56"/>
    <s v="Manager"/>
    <x v="1"/>
    <x v="1"/>
    <x v="0"/>
    <x v="1"/>
    <x v="4"/>
    <d v="2005-06-10T00:00:00"/>
    <n v="101630"/>
    <n v="0.08"/>
    <x v="2"/>
    <x v="11"/>
  </r>
  <r>
    <s v="E02059"/>
    <x v="57"/>
    <s v="Sr. Manager"/>
    <x v="1"/>
    <x v="2"/>
    <x v="1"/>
    <x v="1"/>
    <x v="29"/>
    <d v="1993-11-24T00:00:00"/>
    <n v="126929"/>
    <n v="0.12"/>
    <x v="2"/>
    <x v="11"/>
  </r>
  <r>
    <s v="E02060"/>
    <x v="58"/>
    <s v="Director"/>
    <x v="1"/>
    <x v="0"/>
    <x v="0"/>
    <x v="0"/>
    <x v="0"/>
    <d v="1999-11-26T00:00:00"/>
    <n v="155890"/>
    <n v="0.17"/>
    <x v="0"/>
    <x v="0"/>
  </r>
  <r>
    <s v="E02061"/>
    <x v="59"/>
    <s v="Director"/>
    <x v="4"/>
    <x v="1"/>
    <x v="0"/>
    <x v="0"/>
    <x v="19"/>
    <d v="2019-10-02T00:00:00"/>
    <n v="150631"/>
    <n v="0.17"/>
    <x v="0"/>
    <x v="5"/>
  </r>
  <r>
    <s v="E02062"/>
    <x v="60"/>
    <s v="Sr. Analyst"/>
    <x v="1"/>
    <x v="3"/>
    <x v="1"/>
    <x v="0"/>
    <x v="3"/>
    <d v="2012-07-06T00:00:00"/>
    <n v="72850"/>
    <n v="0"/>
    <x v="0"/>
    <x v="8"/>
  </r>
  <r>
    <s v="E02063"/>
    <x v="61"/>
    <s v="Account Representative"/>
    <x v="1"/>
    <x v="1"/>
    <x v="0"/>
    <x v="1"/>
    <x v="30"/>
    <d v="2010-08-18T00:00:00"/>
    <n v="57951"/>
    <n v="0"/>
    <x v="0"/>
    <x v="5"/>
  </r>
  <r>
    <s v="E02064"/>
    <x v="62"/>
    <s v="Analyst II"/>
    <x v="1"/>
    <x v="0"/>
    <x v="0"/>
    <x v="2"/>
    <x v="19"/>
    <d v="2010-07-29T00:00:00"/>
    <n v="70340"/>
    <n v="0"/>
    <x v="0"/>
    <x v="8"/>
  </r>
  <r>
    <s v="E02065"/>
    <x v="63"/>
    <s v="Automation Engineer"/>
    <x v="0"/>
    <x v="0"/>
    <x v="1"/>
    <x v="0"/>
    <x v="17"/>
    <d v="2008-08-25T00:00:00"/>
    <n v="98221"/>
    <n v="0"/>
    <x v="1"/>
    <x v="2"/>
  </r>
  <r>
    <s v="E02066"/>
    <x v="64"/>
    <s v="Sr. Manager"/>
    <x v="1"/>
    <x v="3"/>
    <x v="0"/>
    <x v="0"/>
    <x v="14"/>
    <d v="2003-09-24T00:00:00"/>
    <n v="127175"/>
    <n v="0.12"/>
    <x v="0"/>
    <x v="3"/>
  </r>
  <r>
    <s v="E02067"/>
    <x v="65"/>
    <s v="Sr. Analyst"/>
    <x v="4"/>
    <x v="0"/>
    <x v="1"/>
    <x v="3"/>
    <x v="22"/>
    <d v="2021-05-16T00:00:00"/>
    <n v="97542"/>
    <n v="0"/>
    <x v="0"/>
    <x v="5"/>
  </r>
  <r>
    <s v="E02068"/>
    <x v="66"/>
    <s v="Sr. Analyst"/>
    <x v="5"/>
    <x v="2"/>
    <x v="0"/>
    <x v="1"/>
    <x v="2"/>
    <d v="2019-05-15T00:00:00"/>
    <n v="81646"/>
    <n v="0"/>
    <x v="0"/>
    <x v="5"/>
  </r>
  <r>
    <s v="E02069"/>
    <x v="67"/>
    <s v="Director"/>
    <x v="1"/>
    <x v="3"/>
    <x v="0"/>
    <x v="1"/>
    <x v="6"/>
    <d v="2009-07-05T00:00:00"/>
    <n v="182055"/>
    <n v="0.27"/>
    <x v="2"/>
    <x v="10"/>
  </r>
  <r>
    <s v="E02070"/>
    <x v="68"/>
    <s v="Sr. Analyst"/>
    <x v="5"/>
    <x v="3"/>
    <x v="0"/>
    <x v="0"/>
    <x v="25"/>
    <d v="2022-01-23T00:00:00"/>
    <n v="86777"/>
    <n v="0"/>
    <x v="1"/>
    <x v="7"/>
  </r>
  <r>
    <s v="E02071"/>
    <x v="69"/>
    <s v="Manager"/>
    <x v="5"/>
    <x v="1"/>
    <x v="0"/>
    <x v="0"/>
    <x v="3"/>
    <d v="2015-06-17T00:00:00"/>
    <n v="129949"/>
    <n v="0.09"/>
    <x v="1"/>
    <x v="9"/>
  </r>
  <r>
    <s v="E02072"/>
    <x v="70"/>
    <s v="Manager"/>
    <x v="1"/>
    <x v="3"/>
    <x v="1"/>
    <x v="0"/>
    <x v="22"/>
    <d v="2020-08-19T00:00:00"/>
    <n v="124535"/>
    <n v="0.06"/>
    <x v="0"/>
    <x v="1"/>
  </r>
  <r>
    <s v="E02073"/>
    <x v="71"/>
    <s v="System Administrator "/>
    <x v="2"/>
    <x v="2"/>
    <x v="1"/>
    <x v="0"/>
    <x v="29"/>
    <d v="1993-07-17T00:00:00"/>
    <n v="81083"/>
    <n v="0"/>
    <x v="0"/>
    <x v="0"/>
  </r>
  <r>
    <s v="E02074"/>
    <x v="72"/>
    <s v="Analyst"/>
    <x v="5"/>
    <x v="1"/>
    <x v="0"/>
    <x v="0"/>
    <x v="23"/>
    <d v="2019-06-10T00:00:00"/>
    <n v="57727"/>
    <n v="0"/>
    <x v="1"/>
    <x v="7"/>
  </r>
  <r>
    <s v="E02075"/>
    <x v="73"/>
    <s v="Analyst II"/>
    <x v="4"/>
    <x v="0"/>
    <x v="1"/>
    <x v="2"/>
    <x v="28"/>
    <d v="2020-07-11T00:00:00"/>
    <n v="59344"/>
    <n v="0"/>
    <x v="0"/>
    <x v="0"/>
  </r>
  <r>
    <s v="E02076"/>
    <x v="74"/>
    <s v="Sr. Analyst"/>
    <x v="1"/>
    <x v="2"/>
    <x v="0"/>
    <x v="0"/>
    <x v="27"/>
    <d v="2022-09-13T00:00:00"/>
    <n v="73203"/>
    <n v="0"/>
    <x v="0"/>
    <x v="8"/>
  </r>
  <r>
    <s v="E02077"/>
    <x v="75"/>
    <s v="IT Systems Architect"/>
    <x v="2"/>
    <x v="3"/>
    <x v="1"/>
    <x v="1"/>
    <x v="9"/>
    <d v="2004-01-17T00:00:00"/>
    <n v="83070"/>
    <n v="0"/>
    <x v="2"/>
    <x v="11"/>
  </r>
  <r>
    <s v="E02078"/>
    <x v="76"/>
    <s v="Manager"/>
    <x v="6"/>
    <x v="2"/>
    <x v="1"/>
    <x v="0"/>
    <x v="31"/>
    <d v="2020-07-22T00:00:00"/>
    <n v="104008"/>
    <n v="0.1"/>
    <x v="1"/>
    <x v="9"/>
  </r>
  <r>
    <s v="E02079"/>
    <x v="77"/>
    <s v="Solutions Architect"/>
    <x v="2"/>
    <x v="1"/>
    <x v="1"/>
    <x v="2"/>
    <x v="14"/>
    <d v="2007-02-16T00:00:00"/>
    <n v="70923"/>
    <n v="0"/>
    <x v="0"/>
    <x v="0"/>
  </r>
  <r>
    <s v="E02080"/>
    <x v="78"/>
    <s v="Sr. Manager"/>
    <x v="5"/>
    <x v="3"/>
    <x v="0"/>
    <x v="3"/>
    <x v="15"/>
    <d v="2018-04-08T00:00:00"/>
    <n v="159121"/>
    <n v="0.14000000000000001"/>
    <x v="0"/>
    <x v="5"/>
  </r>
  <r>
    <s v="E02081"/>
    <x v="79"/>
    <s v="Sr. Business Partner"/>
    <x v="6"/>
    <x v="2"/>
    <x v="1"/>
    <x v="2"/>
    <x v="22"/>
    <d v="2020-12-02T00:00:00"/>
    <n v="88921"/>
    <n v="0"/>
    <x v="0"/>
    <x v="1"/>
  </r>
  <r>
    <s v="E02082"/>
    <x v="80"/>
    <s v="Sr. Manager"/>
    <x v="1"/>
    <x v="3"/>
    <x v="0"/>
    <x v="0"/>
    <x v="30"/>
    <d v="2015-08-30T00:00:00"/>
    <n v="126704"/>
    <n v="0.14000000000000001"/>
    <x v="0"/>
    <x v="5"/>
  </r>
  <r>
    <s v="E02083"/>
    <x v="81"/>
    <s v="Analyst II"/>
    <x v="3"/>
    <x v="0"/>
    <x v="1"/>
    <x v="0"/>
    <x v="21"/>
    <d v="2012-05-20T00:00:00"/>
    <n v="57704"/>
    <n v="0"/>
    <x v="1"/>
    <x v="2"/>
  </r>
  <r>
    <s v="E02084"/>
    <x v="82"/>
    <s v="Director"/>
    <x v="1"/>
    <x v="2"/>
    <x v="1"/>
    <x v="1"/>
    <x v="7"/>
    <d v="1996-07-29T00:00:00"/>
    <n v="191455"/>
    <n v="0.24"/>
    <x v="2"/>
    <x v="11"/>
  </r>
  <r>
    <s v="E02085"/>
    <x v="83"/>
    <s v="Solutions Architect"/>
    <x v="2"/>
    <x v="0"/>
    <x v="0"/>
    <x v="2"/>
    <x v="15"/>
    <d v="2021-06-03T00:00:00"/>
    <n v="99937"/>
    <n v="0"/>
    <x v="0"/>
    <x v="5"/>
  </r>
  <r>
    <s v="E02086"/>
    <x v="84"/>
    <s v="Analyst"/>
    <x v="5"/>
    <x v="3"/>
    <x v="0"/>
    <x v="0"/>
    <x v="4"/>
    <d v="2008-03-12T00:00:00"/>
    <n v="40778"/>
    <n v="0"/>
    <x v="1"/>
    <x v="7"/>
  </r>
  <r>
    <s v="E02087"/>
    <x v="85"/>
    <s v="Director"/>
    <x v="5"/>
    <x v="3"/>
    <x v="0"/>
    <x v="0"/>
    <x v="32"/>
    <d v="2021-11-16T00:00:00"/>
    <n v="187740"/>
    <n v="0.16"/>
    <x v="0"/>
    <x v="0"/>
  </r>
  <r>
    <s v="E02088"/>
    <x v="86"/>
    <s v="HRIS Analyst"/>
    <x v="6"/>
    <x v="2"/>
    <x v="0"/>
    <x v="1"/>
    <x v="0"/>
    <d v="2008-09-10T00:00:00"/>
    <n v="72384"/>
    <n v="0"/>
    <x v="2"/>
    <x v="10"/>
  </r>
  <r>
    <s v="E02089"/>
    <x v="87"/>
    <s v="Sr. Manager"/>
    <x v="5"/>
    <x v="1"/>
    <x v="1"/>
    <x v="0"/>
    <x v="10"/>
    <d v="2016-08-05T00:00:00"/>
    <n v="143318"/>
    <n v="0.12"/>
    <x v="1"/>
    <x v="7"/>
  </r>
  <r>
    <s v="E02090"/>
    <x v="88"/>
    <s v="Director"/>
    <x v="6"/>
    <x v="3"/>
    <x v="1"/>
    <x v="1"/>
    <x v="10"/>
    <d v="2008-06-18T00:00:00"/>
    <n v="191304"/>
    <n v="0.17"/>
    <x v="0"/>
    <x v="5"/>
  </r>
  <r>
    <s v="E02091"/>
    <x v="89"/>
    <s v="Director"/>
    <x v="6"/>
    <x v="3"/>
    <x v="1"/>
    <x v="3"/>
    <x v="26"/>
    <d v="2015-03-16T00:00:00"/>
    <n v="175875"/>
    <n v="0.21"/>
    <x v="0"/>
    <x v="0"/>
  </r>
  <r>
    <s v="E02092"/>
    <x v="90"/>
    <s v="Manager"/>
    <x v="1"/>
    <x v="4"/>
    <x v="1"/>
    <x v="3"/>
    <x v="4"/>
    <d v="2014-04-13T00:00:00"/>
    <n v="106726"/>
    <n v="0.09"/>
    <x v="0"/>
    <x v="3"/>
  </r>
  <r>
    <s v="E02093"/>
    <x v="91"/>
    <s v="Cloud Infrastructure Architect"/>
    <x v="2"/>
    <x v="0"/>
    <x v="1"/>
    <x v="3"/>
    <x v="33"/>
    <d v="2011-10-30T00:00:00"/>
    <n v="72637"/>
    <n v="0"/>
    <x v="0"/>
    <x v="0"/>
  </r>
  <r>
    <s v="E02094"/>
    <x v="92"/>
    <s v="Manager"/>
    <x v="5"/>
    <x v="1"/>
    <x v="1"/>
    <x v="0"/>
    <x v="27"/>
    <d v="2022-12-05T00:00:00"/>
    <n v="118304"/>
    <n v="7.0000000000000007E-2"/>
    <x v="1"/>
    <x v="2"/>
  </r>
  <r>
    <s v="E02095"/>
    <x v="93"/>
    <s v="Computer Systems Manager"/>
    <x v="2"/>
    <x v="0"/>
    <x v="0"/>
    <x v="1"/>
    <x v="17"/>
    <d v="2003-06-17T00:00:00"/>
    <n v="68592"/>
    <n v="0.08"/>
    <x v="2"/>
    <x v="11"/>
  </r>
  <r>
    <s v="E02096"/>
    <x v="94"/>
    <s v="Analyst"/>
    <x v="3"/>
    <x v="2"/>
    <x v="1"/>
    <x v="0"/>
    <x v="30"/>
    <d v="2006-04-01T00:00:00"/>
    <n v="42532"/>
    <n v="0"/>
    <x v="1"/>
    <x v="6"/>
  </r>
  <r>
    <s v="E02097"/>
    <x v="95"/>
    <s v="Technical Architect"/>
    <x v="2"/>
    <x v="2"/>
    <x v="0"/>
    <x v="0"/>
    <x v="33"/>
    <d v="2015-08-20T00:00:00"/>
    <n v="65073"/>
    <n v="0"/>
    <x v="1"/>
    <x v="2"/>
  </r>
  <r>
    <s v="E02098"/>
    <x v="96"/>
    <s v="Engineering Manager"/>
    <x v="0"/>
    <x v="1"/>
    <x v="0"/>
    <x v="0"/>
    <x v="23"/>
    <d v="2019-09-22T00:00:00"/>
    <n v="111035"/>
    <n v="0.12"/>
    <x v="0"/>
    <x v="1"/>
  </r>
  <r>
    <s v="E02099"/>
    <x v="97"/>
    <s v="Analyst II"/>
    <x v="4"/>
    <x v="3"/>
    <x v="1"/>
    <x v="2"/>
    <x v="34"/>
    <d v="2020-02-07T00:00:00"/>
    <n v="63066"/>
    <n v="0"/>
    <x v="0"/>
    <x v="3"/>
  </r>
  <r>
    <s v="E02100"/>
    <x v="98"/>
    <s v="Director"/>
    <x v="0"/>
    <x v="1"/>
    <x v="0"/>
    <x v="1"/>
    <x v="8"/>
    <d v="2007-03-27T00:00:00"/>
    <n v="186192"/>
    <n v="0.27"/>
    <x v="2"/>
    <x v="11"/>
  </r>
  <r>
    <s v="E02101"/>
    <x v="99"/>
    <s v="Director"/>
    <x v="0"/>
    <x v="1"/>
    <x v="1"/>
    <x v="0"/>
    <x v="7"/>
    <d v="2016-06-18T00:00:00"/>
    <n v="182938"/>
    <n v="0.23"/>
    <x v="1"/>
    <x v="7"/>
  </r>
  <r>
    <s v="E02102"/>
    <x v="100"/>
    <s v="Analyst"/>
    <x v="3"/>
    <x v="0"/>
    <x v="1"/>
    <x v="0"/>
    <x v="12"/>
    <d v="2017-12-12T00:00:00"/>
    <n v="53931"/>
    <n v="0"/>
    <x v="1"/>
    <x v="2"/>
  </r>
  <r>
    <s v="E02103"/>
    <x v="101"/>
    <s v="Vice President"/>
    <x v="1"/>
    <x v="3"/>
    <x v="0"/>
    <x v="0"/>
    <x v="32"/>
    <d v="2012-05-13T00:00:00"/>
    <n v="252140"/>
    <n v="0.38"/>
    <x v="1"/>
    <x v="9"/>
  </r>
  <r>
    <s v="E02104"/>
    <x v="102"/>
    <s v="Sr. Business Partner"/>
    <x v="6"/>
    <x v="1"/>
    <x v="0"/>
    <x v="0"/>
    <x v="35"/>
    <d v="2018-08-18T00:00:00"/>
    <n v="73041"/>
    <n v="0"/>
    <x v="1"/>
    <x v="2"/>
  </r>
  <r>
    <s v="E02105"/>
    <x v="103"/>
    <s v="Manager"/>
    <x v="4"/>
    <x v="1"/>
    <x v="0"/>
    <x v="2"/>
    <x v="27"/>
    <d v="2022-03-14T00:00:00"/>
    <n v="120315"/>
    <n v="0.08"/>
    <x v="0"/>
    <x v="8"/>
  </r>
  <r>
    <s v="E02106"/>
    <x v="104"/>
    <s v="Manager"/>
    <x v="5"/>
    <x v="3"/>
    <x v="1"/>
    <x v="2"/>
    <x v="22"/>
    <d v="2020-11-23T00:00:00"/>
    <n v="112264"/>
    <n v="0.05"/>
    <x v="0"/>
    <x v="1"/>
  </r>
  <r>
    <s v="E02107"/>
    <x v="105"/>
    <s v="Systems Analyst"/>
    <x v="2"/>
    <x v="3"/>
    <x v="0"/>
    <x v="2"/>
    <x v="32"/>
    <d v="2000-01-21T00:00:00"/>
    <n v="55039"/>
    <n v="0"/>
    <x v="0"/>
    <x v="3"/>
  </r>
  <r>
    <s v="E02108"/>
    <x v="106"/>
    <s v="Sr. Manager"/>
    <x v="3"/>
    <x v="3"/>
    <x v="0"/>
    <x v="1"/>
    <x v="26"/>
    <d v="2013-07-29T00:00:00"/>
    <n v="134782"/>
    <n v="0.15"/>
    <x v="2"/>
    <x v="12"/>
  </r>
  <r>
    <s v="E02109"/>
    <x v="107"/>
    <s v="Field Engineer"/>
    <x v="0"/>
    <x v="0"/>
    <x v="1"/>
    <x v="0"/>
    <x v="27"/>
    <d v="2022-12-12T00:00:00"/>
    <n v="92806"/>
    <n v="0"/>
    <x v="1"/>
    <x v="7"/>
  </r>
  <r>
    <s v="E02110"/>
    <x v="108"/>
    <s v="Vice President"/>
    <x v="5"/>
    <x v="1"/>
    <x v="1"/>
    <x v="1"/>
    <x v="36"/>
    <d v="2016-07-02T00:00:00"/>
    <n v="181028"/>
    <n v="0.38"/>
    <x v="0"/>
    <x v="5"/>
  </r>
  <r>
    <s v="E02111"/>
    <x v="109"/>
    <s v="Analyst"/>
    <x v="1"/>
    <x v="1"/>
    <x v="1"/>
    <x v="1"/>
    <x v="11"/>
    <d v="2013-10-03T00:00:00"/>
    <n v="48117"/>
    <n v="0"/>
    <x v="2"/>
    <x v="11"/>
  </r>
  <r>
    <s v="E02112"/>
    <x v="110"/>
    <s v="Director"/>
    <x v="5"/>
    <x v="1"/>
    <x v="1"/>
    <x v="0"/>
    <x v="0"/>
    <d v="2005-01-06T00:00:00"/>
    <n v="192753"/>
    <n v="0.17"/>
    <x v="1"/>
    <x v="6"/>
  </r>
  <r>
    <s v="E02113"/>
    <x v="111"/>
    <s v="Sr. Analyst"/>
    <x v="1"/>
    <x v="0"/>
    <x v="0"/>
    <x v="0"/>
    <x v="34"/>
    <d v="2021-03-04T00:00:00"/>
    <n v="85206"/>
    <n v="0"/>
    <x v="1"/>
    <x v="6"/>
  </r>
  <r>
    <s v="E02114"/>
    <x v="112"/>
    <s v="Account Representative"/>
    <x v="1"/>
    <x v="0"/>
    <x v="0"/>
    <x v="1"/>
    <x v="37"/>
    <d v="2018-01-07T00:00:00"/>
    <n v="58290"/>
    <n v="0"/>
    <x v="0"/>
    <x v="1"/>
  </r>
  <r>
    <s v="E02115"/>
    <x v="113"/>
    <s v="Systems Analyst"/>
    <x v="2"/>
    <x v="2"/>
    <x v="1"/>
    <x v="0"/>
    <x v="1"/>
    <d v="2003-08-28T00:00:00"/>
    <n v="41946"/>
    <n v="0"/>
    <x v="0"/>
    <x v="5"/>
  </r>
  <r>
    <s v="E02116"/>
    <x v="114"/>
    <s v="Service Desk Analyst"/>
    <x v="2"/>
    <x v="1"/>
    <x v="1"/>
    <x v="0"/>
    <x v="36"/>
    <d v="2021-03-15T00:00:00"/>
    <n v="79388"/>
    <n v="0"/>
    <x v="1"/>
    <x v="9"/>
  </r>
  <r>
    <s v="E02117"/>
    <x v="115"/>
    <s v="Network Administrator"/>
    <x v="2"/>
    <x v="1"/>
    <x v="1"/>
    <x v="0"/>
    <x v="28"/>
    <d v="2002-02-25T00:00:00"/>
    <n v="83854"/>
    <n v="0"/>
    <x v="0"/>
    <x v="3"/>
  </r>
  <r>
    <s v="E02118"/>
    <x v="116"/>
    <s v="Sr. Manager"/>
    <x v="2"/>
    <x v="3"/>
    <x v="1"/>
    <x v="2"/>
    <x v="13"/>
    <d v="2018-04-24T00:00:00"/>
    <n v="126550"/>
    <n v="0.15"/>
    <x v="0"/>
    <x v="8"/>
  </r>
  <r>
    <s v="E02119"/>
    <x v="117"/>
    <s v="Director"/>
    <x v="6"/>
    <x v="2"/>
    <x v="1"/>
    <x v="1"/>
    <x v="29"/>
    <d v="1993-10-01T00:00:00"/>
    <n v="199705"/>
    <n v="0.26"/>
    <x v="2"/>
    <x v="10"/>
  </r>
  <r>
    <s v="E02120"/>
    <x v="118"/>
    <s v="Vice President"/>
    <x v="1"/>
    <x v="3"/>
    <x v="1"/>
    <x v="0"/>
    <x v="15"/>
    <d v="2019-04-09T00:00:00"/>
    <n v="201235"/>
    <n v="0.32"/>
    <x v="0"/>
    <x v="4"/>
  </r>
  <r>
    <s v="E02121"/>
    <x v="119"/>
    <s v="Director"/>
    <x v="0"/>
    <x v="3"/>
    <x v="1"/>
    <x v="0"/>
    <x v="10"/>
    <d v="2022-03-16T00:00:00"/>
    <n v="182717"/>
    <n v="0.26"/>
    <x v="0"/>
    <x v="0"/>
  </r>
  <r>
    <s v="E02122"/>
    <x v="120"/>
    <s v="Enterprise Architect"/>
    <x v="2"/>
    <x v="2"/>
    <x v="0"/>
    <x v="3"/>
    <x v="37"/>
    <d v="2017-09-11T00:00:00"/>
    <n v="79975"/>
    <n v="0"/>
    <x v="0"/>
    <x v="1"/>
  </r>
  <r>
    <s v="E02123"/>
    <x v="121"/>
    <s v="Director"/>
    <x v="6"/>
    <x v="3"/>
    <x v="0"/>
    <x v="1"/>
    <x v="11"/>
    <d v="2011-07-24T00:00:00"/>
    <n v="196554"/>
    <n v="0.2"/>
    <x v="2"/>
    <x v="10"/>
  </r>
  <r>
    <s v="E02124"/>
    <x v="122"/>
    <s v="Vice President"/>
    <x v="2"/>
    <x v="1"/>
    <x v="0"/>
    <x v="3"/>
    <x v="3"/>
    <d v="2010-08-16T00:00:00"/>
    <n v="239395"/>
    <n v="0.33"/>
    <x v="0"/>
    <x v="3"/>
  </r>
  <r>
    <s v="E02125"/>
    <x v="123"/>
    <s v="Analyst II"/>
    <x v="1"/>
    <x v="3"/>
    <x v="0"/>
    <x v="0"/>
    <x v="38"/>
    <d v="2013-07-25T00:00:00"/>
    <n v="53703"/>
    <n v="0"/>
    <x v="1"/>
    <x v="9"/>
  </r>
  <r>
    <s v="E02126"/>
    <x v="124"/>
    <s v="Manager"/>
    <x v="2"/>
    <x v="0"/>
    <x v="0"/>
    <x v="0"/>
    <x v="32"/>
    <d v="2011-03-14T00:00:00"/>
    <n v="123480"/>
    <n v="0.08"/>
    <x v="1"/>
    <x v="9"/>
  </r>
  <r>
    <s v="E02127"/>
    <x v="125"/>
    <s v="IT Coordinator"/>
    <x v="2"/>
    <x v="3"/>
    <x v="1"/>
    <x v="0"/>
    <x v="30"/>
    <d v="2021-01-09T00:00:00"/>
    <n v="41197"/>
    <n v="0"/>
    <x v="1"/>
    <x v="9"/>
  </r>
  <r>
    <s v="E02128"/>
    <x v="126"/>
    <s v="Account Representative"/>
    <x v="1"/>
    <x v="1"/>
    <x v="0"/>
    <x v="1"/>
    <x v="37"/>
    <d v="2018-07-28T00:00:00"/>
    <n v="72463"/>
    <n v="0"/>
    <x v="2"/>
    <x v="12"/>
  </r>
  <r>
    <s v="E02129"/>
    <x v="127"/>
    <s v="Field Engineer"/>
    <x v="0"/>
    <x v="1"/>
    <x v="1"/>
    <x v="0"/>
    <x v="34"/>
    <d v="2019-08-04T00:00:00"/>
    <n v="87675"/>
    <n v="0"/>
    <x v="1"/>
    <x v="9"/>
  </r>
  <r>
    <s v="E02130"/>
    <x v="128"/>
    <s v="Analyst"/>
    <x v="3"/>
    <x v="3"/>
    <x v="1"/>
    <x v="0"/>
    <x v="25"/>
    <d v="2020-12-15T00:00:00"/>
    <n v="55833"/>
    <n v="0"/>
    <x v="1"/>
    <x v="7"/>
  </r>
  <r>
    <s v="E02131"/>
    <x v="129"/>
    <s v="Analyst II"/>
    <x v="4"/>
    <x v="2"/>
    <x v="1"/>
    <x v="0"/>
    <x v="1"/>
    <d v="1996-08-20T00:00:00"/>
    <n v="58208"/>
    <n v="0"/>
    <x v="1"/>
    <x v="7"/>
  </r>
  <r>
    <s v="E02132"/>
    <x v="130"/>
    <s v="Sr. Analyst"/>
    <x v="1"/>
    <x v="3"/>
    <x v="0"/>
    <x v="1"/>
    <x v="0"/>
    <d v="2002-05-24T00:00:00"/>
    <n v="75633"/>
    <n v="0"/>
    <x v="0"/>
    <x v="1"/>
  </r>
  <r>
    <s v="E02133"/>
    <x v="131"/>
    <s v="Sr. Analyst"/>
    <x v="5"/>
    <x v="3"/>
    <x v="0"/>
    <x v="0"/>
    <x v="14"/>
    <d v="2007-01-28T00:00:00"/>
    <n v="79090"/>
    <n v="0"/>
    <x v="1"/>
    <x v="7"/>
  </r>
  <r>
    <s v="E02134"/>
    <x v="132"/>
    <s v="Analyst II"/>
    <x v="4"/>
    <x v="0"/>
    <x v="0"/>
    <x v="3"/>
    <x v="0"/>
    <d v="2015-07-27T00:00:00"/>
    <n v="66138"/>
    <n v="0"/>
    <x v="0"/>
    <x v="5"/>
  </r>
  <r>
    <s v="E02135"/>
    <x v="133"/>
    <s v="Cloud Infrastructure Architect"/>
    <x v="2"/>
    <x v="2"/>
    <x v="1"/>
    <x v="1"/>
    <x v="39"/>
    <d v="2013-08-28T00:00:00"/>
    <n v="80728"/>
    <n v="0"/>
    <x v="2"/>
    <x v="10"/>
  </r>
  <r>
    <s v="E02136"/>
    <x v="134"/>
    <s v="Systems Analyst"/>
    <x v="2"/>
    <x v="1"/>
    <x v="0"/>
    <x v="3"/>
    <x v="0"/>
    <d v="2005-02-01T00:00:00"/>
    <n v="46202"/>
    <n v="0"/>
    <x v="0"/>
    <x v="5"/>
  </r>
  <r>
    <s v="E02137"/>
    <x v="135"/>
    <s v="Manager"/>
    <x v="1"/>
    <x v="2"/>
    <x v="1"/>
    <x v="0"/>
    <x v="19"/>
    <d v="2008-02-29T00:00:00"/>
    <n v="123096"/>
    <n v="0.1"/>
    <x v="1"/>
    <x v="2"/>
  </r>
  <r>
    <s v="E02138"/>
    <x v="136"/>
    <s v="Analyst"/>
    <x v="5"/>
    <x v="2"/>
    <x v="1"/>
    <x v="0"/>
    <x v="27"/>
    <d v="2020-03-18T00:00:00"/>
    <n v="45989"/>
    <n v="0"/>
    <x v="0"/>
    <x v="1"/>
  </r>
  <r>
    <s v="E02139"/>
    <x v="137"/>
    <s v="Sr. Manager"/>
    <x v="3"/>
    <x v="1"/>
    <x v="1"/>
    <x v="1"/>
    <x v="22"/>
    <d v="2021-08-13T00:00:00"/>
    <n v="140756"/>
    <n v="0.13"/>
    <x v="2"/>
    <x v="11"/>
  </r>
  <r>
    <s v="E02140"/>
    <x v="138"/>
    <s v="Network Engineer"/>
    <x v="2"/>
    <x v="1"/>
    <x v="0"/>
    <x v="0"/>
    <x v="14"/>
    <d v="2009-03-09T00:00:00"/>
    <n v="85261"/>
    <n v="0"/>
    <x v="1"/>
    <x v="7"/>
  </r>
  <r>
    <s v="E02141"/>
    <x v="139"/>
    <s v="Vice President"/>
    <x v="3"/>
    <x v="1"/>
    <x v="1"/>
    <x v="1"/>
    <x v="8"/>
    <d v="1998-09-25T00:00:00"/>
    <n v="198222"/>
    <n v="0.34"/>
    <x v="2"/>
    <x v="11"/>
  </r>
  <r>
    <s v="E02142"/>
    <x v="140"/>
    <s v="Sr. Manager"/>
    <x v="1"/>
    <x v="2"/>
    <x v="1"/>
    <x v="2"/>
    <x v="11"/>
    <d v="2017-06-02T00:00:00"/>
    <n v="150825"/>
    <n v="0.1"/>
    <x v="0"/>
    <x v="0"/>
  </r>
  <r>
    <s v="E02143"/>
    <x v="141"/>
    <s v="Analyst"/>
    <x v="3"/>
    <x v="1"/>
    <x v="1"/>
    <x v="1"/>
    <x v="31"/>
    <d v="1995-10-31T00:00:00"/>
    <n v="59311"/>
    <n v="0"/>
    <x v="2"/>
    <x v="11"/>
  </r>
  <r>
    <s v="E02144"/>
    <x v="142"/>
    <s v="Analyst"/>
    <x v="3"/>
    <x v="1"/>
    <x v="1"/>
    <x v="1"/>
    <x v="30"/>
    <d v="2002-09-12T00:00:00"/>
    <n v="44411"/>
    <n v="0"/>
    <x v="2"/>
    <x v="12"/>
  </r>
  <r>
    <s v="E02145"/>
    <x v="143"/>
    <s v="Analyst II"/>
    <x v="4"/>
    <x v="0"/>
    <x v="0"/>
    <x v="1"/>
    <x v="33"/>
    <d v="2019-11-14T00:00:00"/>
    <n v="69408"/>
    <n v="0"/>
    <x v="0"/>
    <x v="1"/>
  </r>
  <r>
    <s v="E02146"/>
    <x v="144"/>
    <s v="Sr. Analyst"/>
    <x v="4"/>
    <x v="0"/>
    <x v="0"/>
    <x v="1"/>
    <x v="14"/>
    <d v="2018-06-17T00:00:00"/>
    <n v="96759"/>
    <n v="0"/>
    <x v="2"/>
    <x v="12"/>
  </r>
  <r>
    <s v="E02147"/>
    <x v="145"/>
    <s v="Director"/>
    <x v="5"/>
    <x v="3"/>
    <x v="1"/>
    <x v="3"/>
    <x v="32"/>
    <d v="2013-08-10T00:00:00"/>
    <n v="163480"/>
    <n v="0.15"/>
    <x v="0"/>
    <x v="0"/>
  </r>
  <r>
    <s v="E02148"/>
    <x v="146"/>
    <s v="System Administrator "/>
    <x v="2"/>
    <x v="2"/>
    <x v="1"/>
    <x v="0"/>
    <x v="1"/>
    <d v="2014-04-15T00:00:00"/>
    <n v="91132"/>
    <n v="0"/>
    <x v="1"/>
    <x v="9"/>
  </r>
  <r>
    <s v="E02149"/>
    <x v="147"/>
    <s v="Manager"/>
    <x v="5"/>
    <x v="1"/>
    <x v="0"/>
    <x v="2"/>
    <x v="39"/>
    <d v="1996-07-10T00:00:00"/>
    <n v="122825"/>
    <n v="0.08"/>
    <x v="0"/>
    <x v="8"/>
  </r>
  <r>
    <s v="E02150"/>
    <x v="148"/>
    <s v="Service Desk Analyst"/>
    <x v="2"/>
    <x v="0"/>
    <x v="1"/>
    <x v="1"/>
    <x v="15"/>
    <d v="2015-10-24T00:00:00"/>
    <n v="73612"/>
    <n v="0"/>
    <x v="2"/>
    <x v="10"/>
  </r>
  <r>
    <s v="E02151"/>
    <x v="149"/>
    <s v="Account Representative"/>
    <x v="1"/>
    <x v="0"/>
    <x v="0"/>
    <x v="0"/>
    <x v="35"/>
    <d v="2007-06-22T00:00:00"/>
    <n v="70561"/>
    <n v="0"/>
    <x v="1"/>
    <x v="6"/>
  </r>
  <r>
    <s v="E02152"/>
    <x v="150"/>
    <s v="Network Architect"/>
    <x v="2"/>
    <x v="2"/>
    <x v="0"/>
    <x v="3"/>
    <x v="0"/>
    <d v="2008-05-25T00:00:00"/>
    <n v="60331"/>
    <n v="0"/>
    <x v="0"/>
    <x v="8"/>
  </r>
  <r>
    <s v="E02153"/>
    <x v="151"/>
    <s v="Systems Analyst"/>
    <x v="2"/>
    <x v="0"/>
    <x v="1"/>
    <x v="1"/>
    <x v="31"/>
    <d v="2007-05-05T00:00:00"/>
    <n v="48772"/>
    <n v="0"/>
    <x v="2"/>
    <x v="10"/>
  </r>
  <r>
    <s v="E02154"/>
    <x v="152"/>
    <s v="Network Administrator"/>
    <x v="2"/>
    <x v="2"/>
    <x v="0"/>
    <x v="0"/>
    <x v="39"/>
    <d v="2020-10-02T00:00:00"/>
    <n v="90599"/>
    <n v="0"/>
    <x v="1"/>
    <x v="6"/>
  </r>
  <r>
    <s v="E02155"/>
    <x v="153"/>
    <s v="IT Coordinator"/>
    <x v="2"/>
    <x v="1"/>
    <x v="0"/>
    <x v="2"/>
    <x v="30"/>
    <d v="2021-11-22T00:00:00"/>
    <n v="55643"/>
    <n v="0"/>
    <x v="0"/>
    <x v="0"/>
  </r>
  <r>
    <s v="E02156"/>
    <x v="154"/>
    <s v="Field Engineer"/>
    <x v="0"/>
    <x v="1"/>
    <x v="0"/>
    <x v="1"/>
    <x v="35"/>
    <d v="2022-09-03T00:00:00"/>
    <n v="97938"/>
    <n v="0"/>
    <x v="0"/>
    <x v="1"/>
  </r>
  <r>
    <s v="E02157"/>
    <x v="155"/>
    <s v="Analyst"/>
    <x v="3"/>
    <x v="2"/>
    <x v="0"/>
    <x v="0"/>
    <x v="14"/>
    <d v="2004-01-18T00:00:00"/>
    <n v="49627"/>
    <n v="0"/>
    <x v="1"/>
    <x v="9"/>
  </r>
  <r>
    <s v="E02158"/>
    <x v="156"/>
    <s v="IT Coordinator"/>
    <x v="2"/>
    <x v="2"/>
    <x v="0"/>
    <x v="2"/>
    <x v="24"/>
    <d v="2021-04-17T00:00:00"/>
    <n v="58137"/>
    <n v="0"/>
    <x v="0"/>
    <x v="0"/>
  </r>
  <r>
    <s v="E02159"/>
    <x v="157"/>
    <s v="Sr. Manager"/>
    <x v="1"/>
    <x v="2"/>
    <x v="1"/>
    <x v="3"/>
    <x v="27"/>
    <d v="2021-01-02T00:00:00"/>
    <n v="120586"/>
    <n v="0.15"/>
    <x v="0"/>
    <x v="3"/>
  </r>
  <r>
    <s v="E02160"/>
    <x v="158"/>
    <s v="Analyst II"/>
    <x v="3"/>
    <x v="0"/>
    <x v="1"/>
    <x v="0"/>
    <x v="36"/>
    <d v="1999-08-15T00:00:00"/>
    <n v="72925"/>
    <n v="0"/>
    <x v="0"/>
    <x v="3"/>
  </r>
  <r>
    <s v="E02161"/>
    <x v="159"/>
    <s v="Network Administrator"/>
    <x v="2"/>
    <x v="3"/>
    <x v="1"/>
    <x v="1"/>
    <x v="11"/>
    <d v="2022-08-12T00:00:00"/>
    <n v="83548"/>
    <n v="0"/>
    <x v="0"/>
    <x v="8"/>
  </r>
  <r>
    <s v="E02162"/>
    <x v="160"/>
    <s v="Manager"/>
    <x v="4"/>
    <x v="0"/>
    <x v="0"/>
    <x v="0"/>
    <x v="32"/>
    <d v="2005-06-28T00:00:00"/>
    <n v="128226"/>
    <n v="0.08"/>
    <x v="1"/>
    <x v="2"/>
  </r>
  <r>
    <s v="E02163"/>
    <x v="161"/>
    <s v="Director"/>
    <x v="0"/>
    <x v="2"/>
    <x v="1"/>
    <x v="2"/>
    <x v="15"/>
    <d v="2018-03-06T00:00:00"/>
    <n v="150653"/>
    <n v="0.24"/>
    <x v="0"/>
    <x v="4"/>
  </r>
  <r>
    <s v="E02164"/>
    <x v="162"/>
    <s v="Sr. Account Representative"/>
    <x v="1"/>
    <x v="3"/>
    <x v="0"/>
    <x v="2"/>
    <x v="10"/>
    <d v="2016-05-04T00:00:00"/>
    <n v="80989"/>
    <n v="0"/>
    <x v="0"/>
    <x v="0"/>
  </r>
  <r>
    <s v="E02165"/>
    <x v="163"/>
    <s v="Development Engineer"/>
    <x v="0"/>
    <x v="1"/>
    <x v="0"/>
    <x v="2"/>
    <x v="13"/>
    <d v="2022-02-27T00:00:00"/>
    <n v="74901"/>
    <n v="0"/>
    <x v="0"/>
    <x v="4"/>
  </r>
  <r>
    <s v="E02166"/>
    <x v="164"/>
    <s v="Cloud Infrastructure Architect"/>
    <x v="2"/>
    <x v="2"/>
    <x v="1"/>
    <x v="0"/>
    <x v="27"/>
    <d v="2020-08-28T00:00:00"/>
    <n v="68712"/>
    <n v="0"/>
    <x v="0"/>
    <x v="0"/>
  </r>
  <r>
    <s v="E02167"/>
    <x v="165"/>
    <s v="Quality Engineer"/>
    <x v="0"/>
    <x v="2"/>
    <x v="0"/>
    <x v="2"/>
    <x v="22"/>
    <d v="2022-04-18T00:00:00"/>
    <n v="82963"/>
    <n v="0"/>
    <x v="0"/>
    <x v="4"/>
  </r>
  <r>
    <s v="E02168"/>
    <x v="166"/>
    <s v="Engineering Manager"/>
    <x v="0"/>
    <x v="2"/>
    <x v="1"/>
    <x v="1"/>
    <x v="32"/>
    <d v="2009-06-14T00:00:00"/>
    <n v="123203"/>
    <n v="0.1"/>
    <x v="0"/>
    <x v="4"/>
  </r>
  <r>
    <s v="E02169"/>
    <x v="167"/>
    <s v="Director"/>
    <x v="3"/>
    <x v="1"/>
    <x v="1"/>
    <x v="0"/>
    <x v="18"/>
    <d v="2012-09-05T00:00:00"/>
    <n v="195416"/>
    <n v="0.22"/>
    <x v="1"/>
    <x v="7"/>
  </r>
  <r>
    <s v="E02170"/>
    <x v="168"/>
    <s v="Director"/>
    <x v="5"/>
    <x v="0"/>
    <x v="0"/>
    <x v="3"/>
    <x v="23"/>
    <d v="2018-06-07T00:00:00"/>
    <n v="156418"/>
    <n v="0.23"/>
    <x v="0"/>
    <x v="0"/>
  </r>
  <r>
    <s v="E02171"/>
    <x v="169"/>
    <s v="Vice President"/>
    <x v="3"/>
    <x v="0"/>
    <x v="1"/>
    <x v="0"/>
    <x v="4"/>
    <d v="2015-06-19T00:00:00"/>
    <n v="255892"/>
    <n v="0.38"/>
    <x v="0"/>
    <x v="8"/>
  </r>
  <r>
    <s v="E02172"/>
    <x v="170"/>
    <s v="Technical Architect"/>
    <x v="2"/>
    <x v="1"/>
    <x v="1"/>
    <x v="2"/>
    <x v="15"/>
    <d v="2018-08-05T00:00:00"/>
    <n v="96195"/>
    <n v="0"/>
    <x v="0"/>
    <x v="5"/>
  </r>
  <r>
    <s v="E02173"/>
    <x v="171"/>
    <s v="Network Administrator"/>
    <x v="2"/>
    <x v="2"/>
    <x v="1"/>
    <x v="0"/>
    <x v="35"/>
    <d v="2007-09-27T00:00:00"/>
    <n v="77637"/>
    <n v="0"/>
    <x v="1"/>
    <x v="6"/>
  </r>
  <r>
    <s v="E02174"/>
    <x v="172"/>
    <s v="Test Engineer"/>
    <x v="0"/>
    <x v="2"/>
    <x v="0"/>
    <x v="0"/>
    <x v="30"/>
    <d v="2003-05-27T00:00:00"/>
    <n v="79294"/>
    <n v="0"/>
    <x v="1"/>
    <x v="7"/>
  </r>
  <r>
    <s v="E02175"/>
    <x v="173"/>
    <s v="Vice President"/>
    <x v="4"/>
    <x v="3"/>
    <x v="0"/>
    <x v="2"/>
    <x v="25"/>
    <d v="2016-07-11T00:00:00"/>
    <n v="254287"/>
    <n v="0.31"/>
    <x v="0"/>
    <x v="4"/>
  </r>
  <r>
    <s v="E02176"/>
    <x v="174"/>
    <s v="Enterprise Architect"/>
    <x v="2"/>
    <x v="3"/>
    <x v="0"/>
    <x v="0"/>
    <x v="18"/>
    <d v="1994-06-27T00:00:00"/>
    <n v="70516"/>
    <n v="0"/>
    <x v="1"/>
    <x v="7"/>
  </r>
  <r>
    <s v="E02177"/>
    <x v="175"/>
    <s v="Sr. Analyst"/>
    <x v="3"/>
    <x v="2"/>
    <x v="1"/>
    <x v="1"/>
    <x v="1"/>
    <d v="2014-06-07T00:00:00"/>
    <n v="98296"/>
    <n v="0"/>
    <x v="2"/>
    <x v="12"/>
  </r>
  <r>
    <s v="E02178"/>
    <x v="176"/>
    <s v="Operations Engineer"/>
    <x v="0"/>
    <x v="0"/>
    <x v="0"/>
    <x v="2"/>
    <x v="12"/>
    <d v="2015-12-30T00:00:00"/>
    <n v="98565"/>
    <n v="0"/>
    <x v="0"/>
    <x v="5"/>
  </r>
  <r>
    <s v="E02179"/>
    <x v="177"/>
    <s v="Analyst II"/>
    <x v="4"/>
    <x v="0"/>
    <x v="0"/>
    <x v="1"/>
    <x v="20"/>
    <d v="2020-11-16T00:00:00"/>
    <n v="59149"/>
    <n v="0"/>
    <x v="2"/>
    <x v="10"/>
  </r>
  <r>
    <s v="E02180"/>
    <x v="178"/>
    <s v="Analyst II"/>
    <x v="5"/>
    <x v="3"/>
    <x v="1"/>
    <x v="1"/>
    <x v="40"/>
    <d v="2021-01-11T00:00:00"/>
    <n v="70126"/>
    <n v="0"/>
    <x v="2"/>
    <x v="11"/>
  </r>
  <r>
    <s v="E02181"/>
    <x v="179"/>
    <s v="Vice President"/>
    <x v="6"/>
    <x v="0"/>
    <x v="1"/>
    <x v="0"/>
    <x v="19"/>
    <d v="2011-07-28T00:00:00"/>
    <n v="216787"/>
    <n v="0.33"/>
    <x v="1"/>
    <x v="9"/>
  </r>
  <r>
    <s v="E02182"/>
    <x v="180"/>
    <s v="Sr. Manager"/>
    <x v="3"/>
    <x v="2"/>
    <x v="0"/>
    <x v="1"/>
    <x v="12"/>
    <d v="2006-10-22T00:00:00"/>
    <n v="156512"/>
    <n v="0.13"/>
    <x v="2"/>
    <x v="10"/>
  </r>
  <r>
    <s v="E02183"/>
    <x v="181"/>
    <s v="Analyst"/>
    <x v="4"/>
    <x v="2"/>
    <x v="1"/>
    <x v="0"/>
    <x v="9"/>
    <d v="2011-05-26T00:00:00"/>
    <n v="44444"/>
    <n v="0"/>
    <x v="0"/>
    <x v="8"/>
  </r>
  <r>
    <s v="E02184"/>
    <x v="182"/>
    <s v="Vice President"/>
    <x v="1"/>
    <x v="2"/>
    <x v="1"/>
    <x v="0"/>
    <x v="10"/>
    <d v="2014-01-24T00:00:00"/>
    <n v="257725"/>
    <n v="0.34"/>
    <x v="0"/>
    <x v="3"/>
  </r>
  <r>
    <s v="E02185"/>
    <x v="183"/>
    <s v="Sr. Manager"/>
    <x v="3"/>
    <x v="3"/>
    <x v="0"/>
    <x v="1"/>
    <x v="26"/>
    <d v="2013-09-14T00:00:00"/>
    <n v="122408"/>
    <n v="0.11"/>
    <x v="2"/>
    <x v="10"/>
  </r>
  <r>
    <s v="E02186"/>
    <x v="184"/>
    <s v="Quality Engineer"/>
    <x v="0"/>
    <x v="1"/>
    <x v="0"/>
    <x v="1"/>
    <x v="5"/>
    <d v="1995-04-10T00:00:00"/>
    <n v="78251"/>
    <n v="0"/>
    <x v="2"/>
    <x v="11"/>
  </r>
  <r>
    <s v="E02187"/>
    <x v="185"/>
    <s v="Vice President"/>
    <x v="1"/>
    <x v="1"/>
    <x v="1"/>
    <x v="0"/>
    <x v="14"/>
    <d v="2004-05-02T00:00:00"/>
    <n v="252938"/>
    <n v="0.35"/>
    <x v="0"/>
    <x v="4"/>
  </r>
  <r>
    <s v="E02188"/>
    <x v="186"/>
    <s v="Sr. Analyst"/>
    <x v="1"/>
    <x v="0"/>
    <x v="0"/>
    <x v="3"/>
    <x v="16"/>
    <d v="2019-10-28T00:00:00"/>
    <n v="90296"/>
    <n v="0"/>
    <x v="0"/>
    <x v="4"/>
  </r>
  <r>
    <s v="E02189"/>
    <x v="187"/>
    <s v="Sr. Analyst"/>
    <x v="4"/>
    <x v="1"/>
    <x v="0"/>
    <x v="0"/>
    <x v="4"/>
    <d v="2013-04-23T00:00:00"/>
    <n v="91689"/>
    <n v="0"/>
    <x v="1"/>
    <x v="6"/>
  </r>
  <r>
    <s v="E02190"/>
    <x v="188"/>
    <s v="Sr. Manager"/>
    <x v="4"/>
    <x v="1"/>
    <x v="0"/>
    <x v="0"/>
    <x v="8"/>
    <d v="1999-12-22T00:00:00"/>
    <n v="158028"/>
    <n v="0.12"/>
    <x v="1"/>
    <x v="7"/>
  </r>
  <r>
    <s v="E02191"/>
    <x v="189"/>
    <s v="Sr. Account Representative"/>
    <x v="1"/>
    <x v="1"/>
    <x v="0"/>
    <x v="0"/>
    <x v="26"/>
    <d v="2022-07-27T00:00:00"/>
    <n v="89759"/>
    <n v="0"/>
    <x v="1"/>
    <x v="6"/>
  </r>
  <r>
    <s v="E02192"/>
    <x v="190"/>
    <s v="Technical Architect"/>
    <x v="2"/>
    <x v="2"/>
    <x v="1"/>
    <x v="0"/>
    <x v="3"/>
    <d v="2015-09-13T00:00:00"/>
    <n v="78640"/>
    <n v="0"/>
    <x v="1"/>
    <x v="6"/>
  </r>
  <r>
    <s v="E02193"/>
    <x v="191"/>
    <s v="Analyst"/>
    <x v="4"/>
    <x v="3"/>
    <x v="1"/>
    <x v="0"/>
    <x v="31"/>
    <d v="2005-01-11T00:00:00"/>
    <n v="55368"/>
    <n v="0"/>
    <x v="0"/>
    <x v="1"/>
  </r>
  <r>
    <s v="E02194"/>
    <x v="192"/>
    <s v="Network Administrator"/>
    <x v="2"/>
    <x v="3"/>
    <x v="1"/>
    <x v="2"/>
    <x v="8"/>
    <d v="2021-05-23T00:00:00"/>
    <n v="78164"/>
    <n v="0"/>
    <x v="0"/>
    <x v="3"/>
  </r>
  <r>
    <s v="E02195"/>
    <x v="193"/>
    <s v="Sr. Analyst"/>
    <x v="5"/>
    <x v="2"/>
    <x v="0"/>
    <x v="0"/>
    <x v="37"/>
    <d v="2020-05-14T00:00:00"/>
    <n v="76014"/>
    <n v="0"/>
    <x v="1"/>
    <x v="7"/>
  </r>
  <r>
    <s v="E02196"/>
    <x v="194"/>
    <s v="Account Representative"/>
    <x v="1"/>
    <x v="0"/>
    <x v="1"/>
    <x v="1"/>
    <x v="20"/>
    <d v="2015-11-13T00:00:00"/>
    <n v="61403"/>
    <n v="0"/>
    <x v="0"/>
    <x v="8"/>
  </r>
  <r>
    <s v="E02197"/>
    <x v="195"/>
    <s v="Technical Architect"/>
    <x v="2"/>
    <x v="2"/>
    <x v="0"/>
    <x v="3"/>
    <x v="1"/>
    <d v="2010-12-17T00:00:00"/>
    <n v="80720"/>
    <n v="0"/>
    <x v="0"/>
    <x v="0"/>
  </r>
  <r>
    <s v="E02198"/>
    <x v="196"/>
    <s v="System Administrator "/>
    <x v="2"/>
    <x v="3"/>
    <x v="0"/>
    <x v="0"/>
    <x v="17"/>
    <d v="2008-12-27T00:00:00"/>
    <n v="94026"/>
    <n v="0"/>
    <x v="1"/>
    <x v="2"/>
  </r>
  <r>
    <s v="E02199"/>
    <x v="197"/>
    <s v="Analyst"/>
    <x v="5"/>
    <x v="2"/>
    <x v="1"/>
    <x v="0"/>
    <x v="35"/>
    <d v="2016-03-06T00:00:00"/>
    <n v="56963"/>
    <n v="0"/>
    <x v="0"/>
    <x v="1"/>
  </r>
  <r>
    <s v="E02200"/>
    <x v="198"/>
    <s v="Manager"/>
    <x v="4"/>
    <x v="3"/>
    <x v="0"/>
    <x v="1"/>
    <x v="20"/>
    <d v="2014-01-08T00:00:00"/>
    <n v="113246"/>
    <n v="0.06"/>
    <x v="0"/>
    <x v="1"/>
  </r>
  <r>
    <s v="E02201"/>
    <x v="199"/>
    <s v="Field Engineer"/>
    <x v="0"/>
    <x v="2"/>
    <x v="0"/>
    <x v="2"/>
    <x v="10"/>
    <d v="2005-08-09T00:00:00"/>
    <n v="76416"/>
    <n v="0"/>
    <x v="0"/>
    <x v="5"/>
  </r>
  <r>
    <s v="E02202"/>
    <x v="200"/>
    <s v="Sr. Analyst"/>
    <x v="3"/>
    <x v="1"/>
    <x v="0"/>
    <x v="1"/>
    <x v="39"/>
    <d v="2010-04-04T00:00:00"/>
    <n v="74597"/>
    <n v="0"/>
    <x v="0"/>
    <x v="4"/>
  </r>
  <r>
    <s v="E02203"/>
    <x v="201"/>
    <s v="Director"/>
    <x v="2"/>
    <x v="0"/>
    <x v="1"/>
    <x v="2"/>
    <x v="28"/>
    <d v="1996-08-31T00:00:00"/>
    <n v="164102"/>
    <n v="0.3"/>
    <x v="0"/>
    <x v="0"/>
  </r>
  <r>
    <s v="E02204"/>
    <x v="202"/>
    <s v="System Administrator "/>
    <x v="2"/>
    <x v="2"/>
    <x v="1"/>
    <x v="2"/>
    <x v="38"/>
    <d v="2003-02-16T00:00:00"/>
    <n v="74431"/>
    <n v="0"/>
    <x v="0"/>
    <x v="5"/>
  </r>
  <r>
    <s v="E02205"/>
    <x v="203"/>
    <s v="Analyst"/>
    <x v="4"/>
    <x v="3"/>
    <x v="1"/>
    <x v="1"/>
    <x v="7"/>
    <d v="2014-07-15T00:00:00"/>
    <n v="43378"/>
    <n v="0"/>
    <x v="0"/>
    <x v="8"/>
  </r>
  <r>
    <s v="E02206"/>
    <x v="204"/>
    <s v="Analyst"/>
    <x v="4"/>
    <x v="1"/>
    <x v="0"/>
    <x v="0"/>
    <x v="7"/>
    <d v="2001-04-19T00:00:00"/>
    <n v="47587"/>
    <n v="0"/>
    <x v="0"/>
    <x v="1"/>
  </r>
  <r>
    <s v="E02207"/>
    <x v="205"/>
    <s v="Director"/>
    <x v="6"/>
    <x v="3"/>
    <x v="0"/>
    <x v="1"/>
    <x v="32"/>
    <d v="2001-11-29T00:00:00"/>
    <n v="179983"/>
    <n v="0.16"/>
    <x v="0"/>
    <x v="5"/>
  </r>
  <r>
    <s v="E02208"/>
    <x v="206"/>
    <s v="Manager"/>
    <x v="5"/>
    <x v="2"/>
    <x v="0"/>
    <x v="0"/>
    <x v="15"/>
    <d v="2021-11-28T00:00:00"/>
    <n v="115565"/>
    <n v="0.06"/>
    <x v="0"/>
    <x v="5"/>
  </r>
  <r>
    <s v="E02209"/>
    <x v="207"/>
    <s v="Manager"/>
    <x v="4"/>
    <x v="0"/>
    <x v="1"/>
    <x v="1"/>
    <x v="9"/>
    <d v="2017-09-10T00:00:00"/>
    <n v="126064"/>
    <n v="0.05"/>
    <x v="0"/>
    <x v="8"/>
  </r>
  <r>
    <s v="E02210"/>
    <x v="208"/>
    <s v="Sr. Manager"/>
    <x v="6"/>
    <x v="3"/>
    <x v="1"/>
    <x v="3"/>
    <x v="3"/>
    <d v="2013-01-18T00:00:00"/>
    <n v="151666"/>
    <n v="0.13"/>
    <x v="0"/>
    <x v="1"/>
  </r>
  <r>
    <s v="E02211"/>
    <x v="209"/>
    <s v="Service Desk Analyst"/>
    <x v="2"/>
    <x v="3"/>
    <x v="0"/>
    <x v="2"/>
    <x v="9"/>
    <d v="2000-04-11T00:00:00"/>
    <n v="99215"/>
    <n v="0"/>
    <x v="0"/>
    <x v="3"/>
  </r>
  <r>
    <s v="E02212"/>
    <x v="210"/>
    <s v="Cloud Infrastructure Architect"/>
    <x v="2"/>
    <x v="0"/>
    <x v="0"/>
    <x v="0"/>
    <x v="27"/>
    <d v="2020-08-23T00:00:00"/>
    <n v="71502"/>
    <n v="0"/>
    <x v="1"/>
    <x v="6"/>
  </r>
  <r>
    <s v="E02213"/>
    <x v="211"/>
    <s v="Director"/>
    <x v="1"/>
    <x v="1"/>
    <x v="1"/>
    <x v="1"/>
    <x v="37"/>
    <d v="2022-11-18T00:00:00"/>
    <n v="168050"/>
    <n v="0.24"/>
    <x v="2"/>
    <x v="12"/>
  </r>
  <r>
    <s v="E02214"/>
    <x v="212"/>
    <s v="Sr. Manager"/>
    <x v="1"/>
    <x v="3"/>
    <x v="1"/>
    <x v="2"/>
    <x v="31"/>
    <d v="2003-11-07T00:00:00"/>
    <n v="130862"/>
    <n v="0.12"/>
    <x v="0"/>
    <x v="3"/>
  </r>
  <r>
    <s v="E02215"/>
    <x v="213"/>
    <s v="Enterprise Architect"/>
    <x v="2"/>
    <x v="2"/>
    <x v="0"/>
    <x v="0"/>
    <x v="1"/>
    <d v="2021-09-19T00:00:00"/>
    <n v="85716"/>
    <n v="0"/>
    <x v="1"/>
    <x v="6"/>
  </r>
  <r>
    <s v="E02216"/>
    <x v="214"/>
    <s v="Director"/>
    <x v="4"/>
    <x v="1"/>
    <x v="1"/>
    <x v="1"/>
    <x v="5"/>
    <d v="2011-07-30T00:00:00"/>
    <n v="185026"/>
    <n v="0.24"/>
    <x v="2"/>
    <x v="12"/>
  </r>
  <r>
    <s v="E02217"/>
    <x v="215"/>
    <s v="Vice President"/>
    <x v="1"/>
    <x v="0"/>
    <x v="1"/>
    <x v="1"/>
    <x v="27"/>
    <d v="2021-12-09T00:00:00"/>
    <n v="182403"/>
    <n v="0.3"/>
    <x v="2"/>
    <x v="11"/>
  </r>
  <r>
    <s v="E02218"/>
    <x v="216"/>
    <s v="Vice President"/>
    <x v="3"/>
    <x v="1"/>
    <x v="1"/>
    <x v="0"/>
    <x v="9"/>
    <d v="2004-08-12T00:00:00"/>
    <n v="193531"/>
    <n v="0.4"/>
    <x v="1"/>
    <x v="2"/>
  </r>
  <r>
    <s v="E02219"/>
    <x v="217"/>
    <s v="Manager"/>
    <x v="2"/>
    <x v="2"/>
    <x v="1"/>
    <x v="0"/>
    <x v="7"/>
    <d v="2013-03-12T00:00:00"/>
    <n v="128301"/>
    <n v="0.06"/>
    <x v="1"/>
    <x v="9"/>
  </r>
  <r>
    <s v="E02220"/>
    <x v="218"/>
    <s v="Analyst"/>
    <x v="4"/>
    <x v="0"/>
    <x v="0"/>
    <x v="1"/>
    <x v="11"/>
    <d v="2019-10-09T00:00:00"/>
    <n v="51669"/>
    <n v="0"/>
    <x v="2"/>
    <x v="10"/>
  </r>
  <r>
    <s v="E02221"/>
    <x v="219"/>
    <s v="Automation Engineer"/>
    <x v="0"/>
    <x v="2"/>
    <x v="1"/>
    <x v="0"/>
    <x v="0"/>
    <d v="2001-01-26T00:00:00"/>
    <n v="104289"/>
    <n v="0"/>
    <x v="0"/>
    <x v="3"/>
  </r>
  <r>
    <s v="E02222"/>
    <x v="220"/>
    <s v="Cloud Infrastructure Architect"/>
    <x v="2"/>
    <x v="3"/>
    <x v="0"/>
    <x v="2"/>
    <x v="27"/>
    <d v="2021-03-21T00:00:00"/>
    <n v="70181"/>
    <n v="0"/>
    <x v="0"/>
    <x v="5"/>
  </r>
  <r>
    <s v="E02223"/>
    <x v="221"/>
    <s v="Computer Systems Manager"/>
    <x v="2"/>
    <x v="1"/>
    <x v="1"/>
    <x v="2"/>
    <x v="10"/>
    <d v="2021-03-23T00:00:00"/>
    <n v="92317"/>
    <n v="0.06"/>
    <x v="0"/>
    <x v="4"/>
  </r>
  <r>
    <s v="E02224"/>
    <x v="222"/>
    <s v="Sr. Analyst"/>
    <x v="5"/>
    <x v="1"/>
    <x v="0"/>
    <x v="3"/>
    <x v="0"/>
    <d v="2022-12-07T00:00:00"/>
    <n v="99382"/>
    <n v="0"/>
    <x v="0"/>
    <x v="1"/>
  </r>
  <r>
    <s v="E02225"/>
    <x v="223"/>
    <s v="Network Engineer"/>
    <x v="2"/>
    <x v="3"/>
    <x v="1"/>
    <x v="2"/>
    <x v="22"/>
    <d v="2020-04-21T00:00:00"/>
    <n v="67702"/>
    <n v="0"/>
    <x v="0"/>
    <x v="3"/>
  </r>
  <r>
    <s v="E02226"/>
    <x v="224"/>
    <s v="Analyst II"/>
    <x v="4"/>
    <x v="2"/>
    <x v="0"/>
    <x v="0"/>
    <x v="1"/>
    <d v="2006-12-26T00:00:00"/>
    <n v="53133"/>
    <n v="0"/>
    <x v="1"/>
    <x v="7"/>
  </r>
  <r>
    <s v="E02227"/>
    <x v="225"/>
    <s v="Operations Engineer"/>
    <x v="0"/>
    <x v="1"/>
    <x v="1"/>
    <x v="1"/>
    <x v="29"/>
    <d v="1998-04-13T00:00:00"/>
    <n v="110554"/>
    <n v="0"/>
    <x v="2"/>
    <x v="11"/>
  </r>
  <r>
    <s v="E02228"/>
    <x v="226"/>
    <s v="Manager"/>
    <x v="4"/>
    <x v="1"/>
    <x v="0"/>
    <x v="0"/>
    <x v="10"/>
    <d v="2010-07-09T00:00:00"/>
    <n v="109221"/>
    <n v="0.09"/>
    <x v="0"/>
    <x v="4"/>
  </r>
  <r>
    <s v="E02229"/>
    <x v="227"/>
    <s v="IT Systems Architect"/>
    <x v="2"/>
    <x v="3"/>
    <x v="1"/>
    <x v="1"/>
    <x v="10"/>
    <d v="2007-02-01T00:00:00"/>
    <n v="88933"/>
    <n v="0"/>
    <x v="0"/>
    <x v="0"/>
  </r>
  <r>
    <s v="E02230"/>
    <x v="228"/>
    <s v="Business Partner"/>
    <x v="6"/>
    <x v="0"/>
    <x v="0"/>
    <x v="2"/>
    <x v="35"/>
    <d v="2014-11-08T00:00:00"/>
    <n v="49342"/>
    <n v="0"/>
    <x v="0"/>
    <x v="3"/>
  </r>
  <r>
    <s v="E02231"/>
    <x v="229"/>
    <s v="Cloud Infrastructure Architect"/>
    <x v="2"/>
    <x v="0"/>
    <x v="0"/>
    <x v="2"/>
    <x v="27"/>
    <d v="2022-07-09T00:00:00"/>
    <n v="74587"/>
    <n v="0"/>
    <x v="0"/>
    <x v="4"/>
  </r>
  <r>
    <s v="E02232"/>
    <x v="230"/>
    <s v="Sr. Analyst"/>
    <x v="3"/>
    <x v="0"/>
    <x v="0"/>
    <x v="0"/>
    <x v="11"/>
    <d v="2020-03-13T00:00:00"/>
    <n v="80757"/>
    <n v="0"/>
    <x v="1"/>
    <x v="6"/>
  </r>
  <r>
    <s v="E02233"/>
    <x v="231"/>
    <s v="Director"/>
    <x v="4"/>
    <x v="1"/>
    <x v="0"/>
    <x v="0"/>
    <x v="34"/>
    <d v="2022-10-12T00:00:00"/>
    <n v="198662"/>
    <n v="0.25"/>
    <x v="1"/>
    <x v="9"/>
  </r>
  <r>
    <s v="E02234"/>
    <x v="232"/>
    <s v="Sr. Manager"/>
    <x v="5"/>
    <x v="0"/>
    <x v="1"/>
    <x v="3"/>
    <x v="39"/>
    <d v="2021-08-12T00:00:00"/>
    <n v="142506"/>
    <n v="0.11"/>
    <x v="0"/>
    <x v="4"/>
  </r>
  <r>
    <s v="E02235"/>
    <x v="233"/>
    <s v="Network Architect"/>
    <x v="2"/>
    <x v="0"/>
    <x v="0"/>
    <x v="3"/>
    <x v="39"/>
    <d v="2022-07-15T00:00:00"/>
    <n v="77028"/>
    <n v="0"/>
    <x v="0"/>
    <x v="3"/>
  </r>
  <r>
    <s v="E02236"/>
    <x v="234"/>
    <s v="Cloud Infrastructure Architect"/>
    <x v="2"/>
    <x v="2"/>
    <x v="0"/>
    <x v="1"/>
    <x v="37"/>
    <d v="2017-01-09T00:00:00"/>
    <n v="80389"/>
    <n v="0"/>
    <x v="2"/>
    <x v="12"/>
  </r>
  <r>
    <s v="E02237"/>
    <x v="235"/>
    <s v="Vice President"/>
    <x v="0"/>
    <x v="3"/>
    <x v="1"/>
    <x v="2"/>
    <x v="22"/>
    <d v="2022-01-23T00:00:00"/>
    <n v="249062"/>
    <n v="0.39"/>
    <x v="0"/>
    <x v="8"/>
  </r>
  <r>
    <s v="E02238"/>
    <x v="236"/>
    <s v="IT Coordinator"/>
    <x v="2"/>
    <x v="1"/>
    <x v="1"/>
    <x v="1"/>
    <x v="32"/>
    <d v="2013-01-08T00:00:00"/>
    <n v="52675"/>
    <n v="0"/>
    <x v="2"/>
    <x v="12"/>
  </r>
  <r>
    <s v="E02239"/>
    <x v="237"/>
    <s v="Sr. Account Representative"/>
    <x v="1"/>
    <x v="0"/>
    <x v="0"/>
    <x v="0"/>
    <x v="21"/>
    <d v="2014-05-11T00:00:00"/>
    <n v="83365"/>
    <n v="0"/>
    <x v="1"/>
    <x v="6"/>
  </r>
  <r>
    <s v="E02240"/>
    <x v="238"/>
    <s v="Solutions Architect"/>
    <x v="2"/>
    <x v="3"/>
    <x v="0"/>
    <x v="0"/>
    <x v="36"/>
    <d v="2003-08-17T00:00:00"/>
    <n v="82758"/>
    <n v="0"/>
    <x v="0"/>
    <x v="3"/>
  </r>
  <r>
    <s v="E02241"/>
    <x v="239"/>
    <s v="Manager"/>
    <x v="2"/>
    <x v="1"/>
    <x v="0"/>
    <x v="2"/>
    <x v="20"/>
    <d v="2012-05-30T00:00:00"/>
    <n v="126406"/>
    <n v="0.1"/>
    <x v="0"/>
    <x v="1"/>
  </r>
  <r>
    <s v="E02242"/>
    <x v="240"/>
    <s v="Manager"/>
    <x v="5"/>
    <x v="1"/>
    <x v="1"/>
    <x v="0"/>
    <x v="30"/>
    <d v="2017-01-24T00:00:00"/>
    <n v="103147"/>
    <n v="0.06"/>
    <x v="0"/>
    <x v="8"/>
  </r>
  <r>
    <s v="E02243"/>
    <x v="241"/>
    <s v="IT Systems Architect"/>
    <x v="2"/>
    <x v="0"/>
    <x v="0"/>
    <x v="1"/>
    <x v="8"/>
    <d v="2020-10-04T00:00:00"/>
    <n v="81622"/>
    <n v="0"/>
    <x v="0"/>
    <x v="1"/>
  </r>
  <r>
    <s v="E02244"/>
    <x v="242"/>
    <s v="Systems Analyst"/>
    <x v="2"/>
    <x v="3"/>
    <x v="0"/>
    <x v="2"/>
    <x v="4"/>
    <d v="2021-03-15T00:00:00"/>
    <n v="44265"/>
    <n v="0"/>
    <x v="0"/>
    <x v="4"/>
  </r>
  <r>
    <s v="E02245"/>
    <x v="243"/>
    <s v="Vice President"/>
    <x v="1"/>
    <x v="3"/>
    <x v="1"/>
    <x v="0"/>
    <x v="17"/>
    <d v="1999-03-03T00:00:00"/>
    <n v="213998"/>
    <n v="0.34"/>
    <x v="0"/>
    <x v="8"/>
  </r>
  <r>
    <s v="E02246"/>
    <x v="244"/>
    <s v="Director"/>
    <x v="2"/>
    <x v="2"/>
    <x v="0"/>
    <x v="1"/>
    <x v="38"/>
    <d v="2014-08-23T00:00:00"/>
    <n v="171823"/>
    <n v="0.27"/>
    <x v="0"/>
    <x v="0"/>
  </r>
  <r>
    <s v="E02247"/>
    <x v="245"/>
    <s v="Vice President"/>
    <x v="3"/>
    <x v="0"/>
    <x v="0"/>
    <x v="0"/>
    <x v="34"/>
    <d v="2018-11-06T00:00:00"/>
    <n v="201013"/>
    <n v="0.31"/>
    <x v="0"/>
    <x v="5"/>
  </r>
  <r>
    <s v="E02248"/>
    <x v="246"/>
    <s v="Director"/>
    <x v="2"/>
    <x v="0"/>
    <x v="0"/>
    <x v="3"/>
    <x v="20"/>
    <d v="2013-09-20T00:00:00"/>
    <n v="192944"/>
    <n v="0.22"/>
    <x v="0"/>
    <x v="8"/>
  </r>
  <r>
    <s v="E02249"/>
    <x v="247"/>
    <s v="Controls Engineer"/>
    <x v="0"/>
    <x v="0"/>
    <x v="0"/>
    <x v="0"/>
    <x v="29"/>
    <d v="1996-09-13T00:00:00"/>
    <n v="81699"/>
    <n v="0"/>
    <x v="1"/>
    <x v="9"/>
  </r>
  <r>
    <s v="E02250"/>
    <x v="248"/>
    <s v="Manager"/>
    <x v="1"/>
    <x v="0"/>
    <x v="1"/>
    <x v="0"/>
    <x v="24"/>
    <d v="2009-11-14T00:00:00"/>
    <n v="128791"/>
    <n v="0.06"/>
    <x v="0"/>
    <x v="8"/>
  </r>
  <r>
    <s v="E02251"/>
    <x v="249"/>
    <s v="Manager"/>
    <x v="2"/>
    <x v="2"/>
    <x v="1"/>
    <x v="1"/>
    <x v="2"/>
    <d v="2015-10-03T00:00:00"/>
    <n v="126898"/>
    <n v="0.1"/>
    <x v="2"/>
    <x v="12"/>
  </r>
  <r>
    <s v="E02252"/>
    <x v="250"/>
    <s v="Network Engineer"/>
    <x v="2"/>
    <x v="3"/>
    <x v="1"/>
    <x v="1"/>
    <x v="32"/>
    <d v="2020-04-13T00:00:00"/>
    <n v="93053"/>
    <n v="0"/>
    <x v="2"/>
    <x v="11"/>
  </r>
  <r>
    <s v="E02253"/>
    <x v="251"/>
    <s v="Systems Analyst"/>
    <x v="2"/>
    <x v="1"/>
    <x v="1"/>
    <x v="0"/>
    <x v="16"/>
    <d v="2011-09-19T00:00:00"/>
    <n v="50513"/>
    <n v="0"/>
    <x v="0"/>
    <x v="3"/>
  </r>
  <r>
    <s v="E02254"/>
    <x v="252"/>
    <s v="Sr. Account Representative"/>
    <x v="1"/>
    <x v="1"/>
    <x v="1"/>
    <x v="1"/>
    <x v="14"/>
    <d v="2017-05-07T00:00:00"/>
    <n v="86533"/>
    <n v="0"/>
    <x v="0"/>
    <x v="0"/>
  </r>
  <r>
    <s v="E02255"/>
    <x v="253"/>
    <s v="Test Engineer"/>
    <x v="0"/>
    <x v="2"/>
    <x v="1"/>
    <x v="0"/>
    <x v="29"/>
    <d v="1997-10-16T00:00:00"/>
    <n v="72806"/>
    <n v="0"/>
    <x v="1"/>
    <x v="6"/>
  </r>
  <r>
    <s v="E02256"/>
    <x v="254"/>
    <s v="Vice President"/>
    <x v="1"/>
    <x v="3"/>
    <x v="1"/>
    <x v="3"/>
    <x v="4"/>
    <d v="2019-02-12T00:00:00"/>
    <n v="258115"/>
    <n v="0.36"/>
    <x v="0"/>
    <x v="4"/>
  </r>
  <r>
    <s v="E02257"/>
    <x v="255"/>
    <s v="Cloud Infrastructure Architect"/>
    <x v="2"/>
    <x v="0"/>
    <x v="0"/>
    <x v="1"/>
    <x v="7"/>
    <d v="2008-05-01T00:00:00"/>
    <n v="63444"/>
    <n v="0"/>
    <x v="0"/>
    <x v="8"/>
  </r>
  <r>
    <s v="E02258"/>
    <x v="256"/>
    <s v="Engineering Manager"/>
    <x v="0"/>
    <x v="3"/>
    <x v="0"/>
    <x v="2"/>
    <x v="19"/>
    <d v="1999-02-21T00:00:00"/>
    <n v="96099"/>
    <n v="0.11"/>
    <x v="0"/>
    <x v="1"/>
  </r>
  <r>
    <s v="E02259"/>
    <x v="257"/>
    <s v="IT Systems Architect"/>
    <x v="2"/>
    <x v="0"/>
    <x v="1"/>
    <x v="1"/>
    <x v="33"/>
    <d v="2009-03-01T00:00:00"/>
    <n v="92849"/>
    <n v="0"/>
    <x v="0"/>
    <x v="1"/>
  </r>
  <r>
    <s v="E02260"/>
    <x v="258"/>
    <s v="Sr. Account Representative"/>
    <x v="1"/>
    <x v="0"/>
    <x v="0"/>
    <x v="0"/>
    <x v="1"/>
    <d v="2014-10-28T00:00:00"/>
    <n v="85094"/>
    <n v="0"/>
    <x v="1"/>
    <x v="7"/>
  </r>
  <r>
    <s v="E02261"/>
    <x v="259"/>
    <s v="Sr. Manager"/>
    <x v="5"/>
    <x v="1"/>
    <x v="1"/>
    <x v="1"/>
    <x v="3"/>
    <d v="2017-06-15T00:00:00"/>
    <n v="156224"/>
    <n v="0.14000000000000001"/>
    <x v="2"/>
    <x v="12"/>
  </r>
  <r>
    <s v="E02262"/>
    <x v="260"/>
    <s v="Vice President"/>
    <x v="3"/>
    <x v="1"/>
    <x v="0"/>
    <x v="0"/>
    <x v="19"/>
    <d v="1996-04-15T00:00:00"/>
    <n v="245920"/>
    <n v="0.36"/>
    <x v="0"/>
    <x v="0"/>
  </r>
  <r>
    <s v="E02263"/>
    <x v="15"/>
    <s v="Analyst II"/>
    <x v="5"/>
    <x v="2"/>
    <x v="1"/>
    <x v="0"/>
    <x v="31"/>
    <d v="2007-03-06T00:00:00"/>
    <n v="50214"/>
    <n v="0"/>
    <x v="1"/>
    <x v="9"/>
  </r>
  <r>
    <s v="E02264"/>
    <x v="261"/>
    <s v="Sr. Analyst"/>
    <x v="5"/>
    <x v="3"/>
    <x v="0"/>
    <x v="0"/>
    <x v="15"/>
    <d v="2015-01-11T00:00:00"/>
    <n v="79713"/>
    <n v="0"/>
    <x v="1"/>
    <x v="9"/>
  </r>
  <r>
    <s v="E02265"/>
    <x v="262"/>
    <s v="Director"/>
    <x v="2"/>
    <x v="2"/>
    <x v="1"/>
    <x v="1"/>
    <x v="7"/>
    <d v="1999-08-09T00:00:00"/>
    <n v="166699"/>
    <n v="0.27"/>
    <x v="2"/>
    <x v="11"/>
  </r>
  <r>
    <s v="E02266"/>
    <x v="263"/>
    <s v="Network Administrator"/>
    <x v="2"/>
    <x v="2"/>
    <x v="1"/>
    <x v="2"/>
    <x v="9"/>
    <d v="2010-12-20T00:00:00"/>
    <n v="78788"/>
    <n v="0"/>
    <x v="0"/>
    <x v="3"/>
  </r>
  <r>
    <s v="E02267"/>
    <x v="264"/>
    <s v="Sr. Manager"/>
    <x v="3"/>
    <x v="2"/>
    <x v="0"/>
    <x v="3"/>
    <x v="34"/>
    <d v="2022-12-19T00:00:00"/>
    <n v="142797"/>
    <n v="0.1"/>
    <x v="0"/>
    <x v="3"/>
  </r>
  <r>
    <s v="E02268"/>
    <x v="265"/>
    <s v="Vice President"/>
    <x v="4"/>
    <x v="2"/>
    <x v="1"/>
    <x v="1"/>
    <x v="3"/>
    <d v="2012-07-16T00:00:00"/>
    <n v="187516"/>
    <n v="0.35"/>
    <x v="2"/>
    <x v="11"/>
  </r>
  <r>
    <s v="E02269"/>
    <x v="266"/>
    <s v="Director"/>
    <x v="4"/>
    <x v="3"/>
    <x v="1"/>
    <x v="1"/>
    <x v="11"/>
    <d v="2013-09-21T00:00:00"/>
    <n v="156029"/>
    <n v="0.15"/>
    <x v="0"/>
    <x v="0"/>
  </r>
  <r>
    <s v="E02270"/>
    <x v="267"/>
    <s v="Sr. Manager"/>
    <x v="3"/>
    <x v="3"/>
    <x v="1"/>
    <x v="1"/>
    <x v="9"/>
    <d v="1999-01-01T00:00:00"/>
    <n v="149582"/>
    <n v="0.14000000000000001"/>
    <x v="0"/>
    <x v="3"/>
  </r>
  <r>
    <s v="E02271"/>
    <x v="268"/>
    <s v="Director"/>
    <x v="5"/>
    <x v="1"/>
    <x v="1"/>
    <x v="0"/>
    <x v="0"/>
    <d v="2014-10-24T00:00:00"/>
    <n v="163922"/>
    <n v="0.21"/>
    <x v="0"/>
    <x v="5"/>
  </r>
  <r>
    <s v="E02272"/>
    <x v="269"/>
    <s v="Vice President"/>
    <x v="3"/>
    <x v="2"/>
    <x v="1"/>
    <x v="0"/>
    <x v="14"/>
    <d v="2004-11-14T00:00:00"/>
    <n v="240860"/>
    <n v="0.37"/>
    <x v="0"/>
    <x v="1"/>
  </r>
  <r>
    <s v="E02273"/>
    <x v="270"/>
    <s v="Manager"/>
    <x v="6"/>
    <x v="3"/>
    <x v="1"/>
    <x v="0"/>
    <x v="3"/>
    <d v="2018-09-27T00:00:00"/>
    <n v="128497"/>
    <n v="7.0000000000000007E-2"/>
    <x v="1"/>
    <x v="7"/>
  </r>
  <r>
    <s v="E02274"/>
    <x v="271"/>
    <s v="Automation Engineer"/>
    <x v="0"/>
    <x v="1"/>
    <x v="0"/>
    <x v="0"/>
    <x v="17"/>
    <d v="2015-05-10T00:00:00"/>
    <n v="121976"/>
    <n v="0"/>
    <x v="1"/>
    <x v="6"/>
  </r>
  <r>
    <s v="E02275"/>
    <x v="272"/>
    <s v="Sr. Manager"/>
    <x v="1"/>
    <x v="1"/>
    <x v="1"/>
    <x v="0"/>
    <x v="23"/>
    <d v="2022-07-12T00:00:00"/>
    <n v="126464"/>
    <n v="0.15"/>
    <x v="0"/>
    <x v="8"/>
  </r>
  <r>
    <s v="E02276"/>
    <x v="273"/>
    <s v="Vice President"/>
    <x v="3"/>
    <x v="0"/>
    <x v="1"/>
    <x v="0"/>
    <x v="32"/>
    <d v="2005-09-05T00:00:00"/>
    <n v="234064"/>
    <n v="0.33"/>
    <x v="1"/>
    <x v="7"/>
  </r>
  <r>
    <s v="E02277"/>
    <x v="274"/>
    <s v="Sr. Analyst"/>
    <x v="4"/>
    <x v="0"/>
    <x v="0"/>
    <x v="0"/>
    <x v="21"/>
    <d v="2008-01-16T00:00:00"/>
    <n v="81829"/>
    <n v="0"/>
    <x v="1"/>
    <x v="6"/>
  </r>
  <r>
    <s v="E02278"/>
    <x v="275"/>
    <s v="Director"/>
    <x v="6"/>
    <x v="1"/>
    <x v="1"/>
    <x v="0"/>
    <x v="22"/>
    <d v="2022-04-21T00:00:00"/>
    <n v="193971"/>
    <n v="0.22"/>
    <x v="0"/>
    <x v="1"/>
  </r>
  <r>
    <s v="E02279"/>
    <x v="276"/>
    <s v="Business Partner"/>
    <x v="6"/>
    <x v="1"/>
    <x v="0"/>
    <x v="0"/>
    <x v="17"/>
    <d v="2001-08-17T00:00:00"/>
    <n v="47696"/>
    <n v="0"/>
    <x v="0"/>
    <x v="3"/>
  </r>
  <r>
    <s v="E02280"/>
    <x v="277"/>
    <s v="Manager"/>
    <x v="3"/>
    <x v="3"/>
    <x v="0"/>
    <x v="0"/>
    <x v="2"/>
    <d v="2013-07-17T00:00:00"/>
    <n v="116676"/>
    <n v="0.1"/>
    <x v="1"/>
    <x v="7"/>
  </r>
  <r>
    <s v="E02281"/>
    <x v="278"/>
    <s v="Manager"/>
    <x v="5"/>
    <x v="1"/>
    <x v="0"/>
    <x v="2"/>
    <x v="10"/>
    <d v="2012-04-05T00:00:00"/>
    <n v="104162"/>
    <n v="0.09"/>
    <x v="0"/>
    <x v="4"/>
  </r>
  <r>
    <s v="E02282"/>
    <x v="279"/>
    <s v="Sr. Business Partner"/>
    <x v="6"/>
    <x v="3"/>
    <x v="0"/>
    <x v="0"/>
    <x v="13"/>
    <d v="2022-04-14T00:00:00"/>
    <n v="86226"/>
    <n v="0"/>
    <x v="0"/>
    <x v="3"/>
  </r>
  <r>
    <s v="E02283"/>
    <x v="280"/>
    <s v="Director"/>
    <x v="5"/>
    <x v="3"/>
    <x v="1"/>
    <x v="1"/>
    <x v="10"/>
    <d v="2011-05-30T00:00:00"/>
    <n v="172206"/>
    <n v="0.28999999999999998"/>
    <x v="2"/>
    <x v="11"/>
  </r>
  <r>
    <s v="E02284"/>
    <x v="281"/>
    <s v="HRIS Analyst"/>
    <x v="6"/>
    <x v="3"/>
    <x v="0"/>
    <x v="1"/>
    <x v="2"/>
    <d v="2012-04-06T00:00:00"/>
    <n v="55985"/>
    <n v="0"/>
    <x v="0"/>
    <x v="3"/>
  </r>
  <r>
    <s v="E02285"/>
    <x v="282"/>
    <s v="Technical Architect"/>
    <x v="2"/>
    <x v="1"/>
    <x v="0"/>
    <x v="1"/>
    <x v="22"/>
    <d v="2021-06-06T00:00:00"/>
    <n v="61481"/>
    <n v="0"/>
    <x v="0"/>
    <x v="8"/>
  </r>
  <r>
    <s v="E02286"/>
    <x v="283"/>
    <s v="Manager"/>
    <x v="1"/>
    <x v="2"/>
    <x v="1"/>
    <x v="1"/>
    <x v="37"/>
    <d v="2017-11-26T00:00:00"/>
    <n v="124295"/>
    <n v="7.0000000000000007E-2"/>
    <x v="2"/>
    <x v="12"/>
  </r>
  <r>
    <s v="E02287"/>
    <x v="284"/>
    <s v="Sr. Manager"/>
    <x v="1"/>
    <x v="2"/>
    <x v="1"/>
    <x v="0"/>
    <x v="17"/>
    <d v="1999-02-08T00:00:00"/>
    <n v="132894"/>
    <n v="0.15"/>
    <x v="0"/>
    <x v="1"/>
  </r>
  <r>
    <s v="E02288"/>
    <x v="285"/>
    <s v="Computer Systems Manager"/>
    <x v="2"/>
    <x v="1"/>
    <x v="0"/>
    <x v="0"/>
    <x v="0"/>
    <d v="2002-03-16T00:00:00"/>
    <n v="88839"/>
    <n v="0.05"/>
    <x v="0"/>
    <x v="5"/>
  </r>
  <r>
    <s v="E02289"/>
    <x v="286"/>
    <s v="Automation Engineer"/>
    <x v="0"/>
    <x v="0"/>
    <x v="0"/>
    <x v="1"/>
    <x v="31"/>
    <d v="2005-06-16T00:00:00"/>
    <n v="78107"/>
    <n v="0"/>
    <x v="2"/>
    <x v="12"/>
  </r>
  <r>
    <s v="E02290"/>
    <x v="287"/>
    <s v="Sr. Manager"/>
    <x v="2"/>
    <x v="1"/>
    <x v="1"/>
    <x v="0"/>
    <x v="24"/>
    <d v="1993-07-10T00:00:00"/>
    <n v="135642"/>
    <n v="0.1"/>
    <x v="1"/>
    <x v="9"/>
  </r>
  <r>
    <s v="E02291"/>
    <x v="288"/>
    <s v="Sr. Manager"/>
    <x v="1"/>
    <x v="1"/>
    <x v="1"/>
    <x v="0"/>
    <x v="18"/>
    <d v="1997-01-10T00:00:00"/>
    <n v="147853"/>
    <n v="0.11"/>
    <x v="0"/>
    <x v="4"/>
  </r>
  <r>
    <s v="E02292"/>
    <x v="289"/>
    <s v="Manager"/>
    <x v="2"/>
    <x v="0"/>
    <x v="1"/>
    <x v="1"/>
    <x v="35"/>
    <d v="2009-09-15T00:00:00"/>
    <n v="125900"/>
    <n v="7.0000000000000007E-2"/>
    <x v="0"/>
    <x v="3"/>
  </r>
  <r>
    <s v="E02293"/>
    <x v="290"/>
    <s v="IT Coordinator"/>
    <x v="2"/>
    <x v="0"/>
    <x v="0"/>
    <x v="1"/>
    <x v="27"/>
    <d v="2020-02-10T00:00:00"/>
    <n v="42969"/>
    <n v="0"/>
    <x v="0"/>
    <x v="5"/>
  </r>
  <r>
    <s v="E02294"/>
    <x v="291"/>
    <s v="Vice President"/>
    <x v="5"/>
    <x v="0"/>
    <x v="0"/>
    <x v="2"/>
    <x v="0"/>
    <d v="2022-02-13T00:00:00"/>
    <n v="214303"/>
    <n v="0.4"/>
    <x v="0"/>
    <x v="3"/>
  </r>
  <r>
    <s v="E02295"/>
    <x v="292"/>
    <s v="Vice President"/>
    <x v="3"/>
    <x v="3"/>
    <x v="1"/>
    <x v="0"/>
    <x v="34"/>
    <d v="2020-12-19T00:00:00"/>
    <n v="199406"/>
    <n v="0.38"/>
    <x v="1"/>
    <x v="7"/>
  </r>
  <r>
    <s v="E02296"/>
    <x v="293"/>
    <s v="Vice President"/>
    <x v="6"/>
    <x v="2"/>
    <x v="1"/>
    <x v="0"/>
    <x v="25"/>
    <d v="2015-03-20T00:00:00"/>
    <n v="182436"/>
    <n v="0.37"/>
    <x v="0"/>
    <x v="4"/>
  </r>
  <r>
    <s v="E02297"/>
    <x v="294"/>
    <s v="Computer Systems Manager"/>
    <x v="2"/>
    <x v="1"/>
    <x v="1"/>
    <x v="1"/>
    <x v="21"/>
    <d v="1996-10-01T00:00:00"/>
    <n v="96507"/>
    <n v="0.09"/>
    <x v="0"/>
    <x v="3"/>
  </r>
  <r>
    <s v="E02298"/>
    <x v="295"/>
    <s v="Field Engineer"/>
    <x v="0"/>
    <x v="0"/>
    <x v="0"/>
    <x v="0"/>
    <x v="26"/>
    <d v="2015-11-19T00:00:00"/>
    <n v="82906"/>
    <n v="0"/>
    <x v="1"/>
    <x v="7"/>
  </r>
  <r>
    <s v="E02299"/>
    <x v="296"/>
    <s v="Business Partner"/>
    <x v="6"/>
    <x v="0"/>
    <x v="1"/>
    <x v="0"/>
    <x v="5"/>
    <d v="2005-12-05T00:00:00"/>
    <n v="41616"/>
    <n v="0"/>
    <x v="0"/>
    <x v="3"/>
  </r>
  <r>
    <s v="E02300"/>
    <x v="297"/>
    <s v="Network Engineer"/>
    <x v="2"/>
    <x v="1"/>
    <x v="1"/>
    <x v="2"/>
    <x v="19"/>
    <d v="2003-06-30T00:00:00"/>
    <n v="92344"/>
    <n v="0"/>
    <x v="0"/>
    <x v="5"/>
  </r>
  <r>
    <s v="E02301"/>
    <x v="298"/>
    <s v="Vice President"/>
    <x v="3"/>
    <x v="0"/>
    <x v="1"/>
    <x v="0"/>
    <x v="17"/>
    <d v="2006-06-27T00:00:00"/>
    <n v="196614"/>
    <n v="0.37"/>
    <x v="0"/>
    <x v="1"/>
  </r>
  <r>
    <s v="E02302"/>
    <x v="299"/>
    <s v="Manager"/>
    <x v="2"/>
    <x v="2"/>
    <x v="1"/>
    <x v="1"/>
    <x v="0"/>
    <d v="2022-02-06T00:00:00"/>
    <n v="104253"/>
    <n v="0.09"/>
    <x v="0"/>
    <x v="3"/>
  </r>
  <r>
    <s v="E02303"/>
    <x v="300"/>
    <s v="IT Coordinator"/>
    <x v="2"/>
    <x v="3"/>
    <x v="1"/>
    <x v="0"/>
    <x v="2"/>
    <d v="2021-01-22T00:00:00"/>
    <n v="44677"/>
    <n v="0"/>
    <x v="1"/>
    <x v="6"/>
  </r>
  <r>
    <s v="E02304"/>
    <x v="301"/>
    <s v="Network Engineer"/>
    <x v="2"/>
    <x v="2"/>
    <x v="1"/>
    <x v="0"/>
    <x v="3"/>
    <d v="2017-12-13T00:00:00"/>
    <n v="66463"/>
    <n v="0"/>
    <x v="1"/>
    <x v="6"/>
  </r>
  <r>
    <s v="E02305"/>
    <x v="302"/>
    <s v="Business Partner"/>
    <x v="6"/>
    <x v="1"/>
    <x v="1"/>
    <x v="1"/>
    <x v="25"/>
    <d v="2015-12-17T00:00:00"/>
    <n v="53285"/>
    <n v="0"/>
    <x v="0"/>
    <x v="0"/>
  </r>
  <r>
    <s v="E02306"/>
    <x v="303"/>
    <s v="Development Engineer"/>
    <x v="0"/>
    <x v="2"/>
    <x v="0"/>
    <x v="0"/>
    <x v="24"/>
    <d v="1997-03-22T00:00:00"/>
    <n v="67683"/>
    <n v="0"/>
    <x v="1"/>
    <x v="9"/>
  </r>
  <r>
    <s v="E02307"/>
    <x v="304"/>
    <s v="Vice President"/>
    <x v="4"/>
    <x v="0"/>
    <x v="1"/>
    <x v="0"/>
    <x v="20"/>
    <d v="2018-10-29T00:00:00"/>
    <n v="238155"/>
    <n v="0.38"/>
    <x v="1"/>
    <x v="2"/>
  </r>
  <r>
    <s v="E02308"/>
    <x v="305"/>
    <s v="Director"/>
    <x v="1"/>
    <x v="1"/>
    <x v="0"/>
    <x v="0"/>
    <x v="33"/>
    <d v="2019-06-21T00:00:00"/>
    <n v="173630"/>
    <n v="0.24"/>
    <x v="1"/>
    <x v="6"/>
  </r>
  <r>
    <s v="E02309"/>
    <x v="306"/>
    <s v="Sr. Analyst"/>
    <x v="4"/>
    <x v="2"/>
    <x v="1"/>
    <x v="3"/>
    <x v="13"/>
    <d v="2020-01-27T00:00:00"/>
    <n v="98992"/>
    <n v="0"/>
    <x v="0"/>
    <x v="8"/>
  </r>
  <r>
    <s v="E02310"/>
    <x v="307"/>
    <s v="Vice President"/>
    <x v="2"/>
    <x v="1"/>
    <x v="1"/>
    <x v="0"/>
    <x v="18"/>
    <d v="2017-04-11T00:00:00"/>
    <n v="253330"/>
    <n v="0.39"/>
    <x v="0"/>
    <x v="4"/>
  </r>
  <r>
    <s v="E02311"/>
    <x v="308"/>
    <s v="Sr. Manager"/>
    <x v="1"/>
    <x v="1"/>
    <x v="1"/>
    <x v="2"/>
    <x v="24"/>
    <d v="2011-08-14T00:00:00"/>
    <n v="158403"/>
    <n v="0.14000000000000001"/>
    <x v="0"/>
    <x v="3"/>
  </r>
  <r>
    <s v="E02312"/>
    <x v="309"/>
    <s v="Sr. Manager"/>
    <x v="3"/>
    <x v="1"/>
    <x v="0"/>
    <x v="2"/>
    <x v="11"/>
    <d v="2021-03-27T00:00:00"/>
    <n v="156085"/>
    <n v="0.12"/>
    <x v="0"/>
    <x v="8"/>
  </r>
  <r>
    <s v="E02313"/>
    <x v="310"/>
    <s v="Enterprise Architect"/>
    <x v="2"/>
    <x v="3"/>
    <x v="1"/>
    <x v="3"/>
    <x v="24"/>
    <d v="2013-04-18T00:00:00"/>
    <n v="80129"/>
    <n v="0"/>
    <x v="0"/>
    <x v="8"/>
  </r>
  <r>
    <s v="E02314"/>
    <x v="311"/>
    <s v="Account Representative"/>
    <x v="1"/>
    <x v="2"/>
    <x v="1"/>
    <x v="2"/>
    <x v="36"/>
    <d v="2017-01-09T00:00:00"/>
    <n v="60517"/>
    <n v="0"/>
    <x v="0"/>
    <x v="0"/>
  </r>
  <r>
    <s v="E02315"/>
    <x v="312"/>
    <s v="Test Engineer"/>
    <x v="0"/>
    <x v="2"/>
    <x v="0"/>
    <x v="2"/>
    <x v="16"/>
    <d v="2016-12-13T00:00:00"/>
    <n v="72315"/>
    <n v="0"/>
    <x v="0"/>
    <x v="4"/>
  </r>
  <r>
    <s v="E02316"/>
    <x v="313"/>
    <s v="Director"/>
    <x v="6"/>
    <x v="0"/>
    <x v="0"/>
    <x v="0"/>
    <x v="25"/>
    <d v="2015-07-11T00:00:00"/>
    <n v="153815"/>
    <n v="0.19"/>
    <x v="0"/>
    <x v="8"/>
  </r>
  <r>
    <s v="E02317"/>
    <x v="314"/>
    <s v="Sr. Manager"/>
    <x v="5"/>
    <x v="3"/>
    <x v="1"/>
    <x v="3"/>
    <x v="23"/>
    <d v="2018-08-16T00:00:00"/>
    <n v="139552"/>
    <n v="0.15"/>
    <x v="0"/>
    <x v="8"/>
  </r>
  <r>
    <s v="E02318"/>
    <x v="315"/>
    <s v="Vice President"/>
    <x v="5"/>
    <x v="1"/>
    <x v="0"/>
    <x v="0"/>
    <x v="40"/>
    <d v="2022-10-20T00:00:00"/>
    <n v="257296"/>
    <n v="0.35"/>
    <x v="0"/>
    <x v="4"/>
  </r>
  <r>
    <s v="E02319"/>
    <x v="316"/>
    <s v="Sr. Analyst"/>
    <x v="4"/>
    <x v="0"/>
    <x v="0"/>
    <x v="0"/>
    <x v="22"/>
    <d v="2020-05-04T00:00:00"/>
    <n v="91372"/>
    <n v="0"/>
    <x v="0"/>
    <x v="8"/>
  </r>
  <r>
    <s v="E02320"/>
    <x v="317"/>
    <s v="Sr. Business Partner"/>
    <x v="6"/>
    <x v="1"/>
    <x v="0"/>
    <x v="0"/>
    <x v="32"/>
    <d v="2017-06-05T00:00:00"/>
    <n v="73601"/>
    <n v="0"/>
    <x v="1"/>
    <x v="7"/>
  </r>
  <r>
    <s v="E02321"/>
    <x v="318"/>
    <s v="IT Systems Architect"/>
    <x v="2"/>
    <x v="1"/>
    <x v="1"/>
    <x v="0"/>
    <x v="33"/>
    <d v="2013-04-29T00:00:00"/>
    <n v="71871"/>
    <n v="0"/>
    <x v="1"/>
    <x v="7"/>
  </r>
  <r>
    <s v="E02322"/>
    <x v="319"/>
    <s v="Sr. Account Representative"/>
    <x v="1"/>
    <x v="3"/>
    <x v="1"/>
    <x v="2"/>
    <x v="15"/>
    <d v="2016-02-07T00:00:00"/>
    <n v="84925"/>
    <n v="0"/>
    <x v="0"/>
    <x v="4"/>
  </r>
  <r>
    <s v="E02323"/>
    <x v="320"/>
    <s v="Sr. Manager"/>
    <x v="2"/>
    <x v="0"/>
    <x v="1"/>
    <x v="0"/>
    <x v="0"/>
    <d v="2010-01-07T00:00:00"/>
    <n v="155600"/>
    <n v="0.14000000000000001"/>
    <x v="1"/>
    <x v="6"/>
  </r>
  <r>
    <s v="E02324"/>
    <x v="321"/>
    <s v="Manager"/>
    <x v="1"/>
    <x v="2"/>
    <x v="0"/>
    <x v="3"/>
    <x v="23"/>
    <d v="2018-12-15T00:00:00"/>
    <n v="101564"/>
    <n v="0.06"/>
    <x v="0"/>
    <x v="4"/>
  </r>
  <r>
    <s v="E02325"/>
    <x v="322"/>
    <s v="Controls Engineer"/>
    <x v="0"/>
    <x v="2"/>
    <x v="0"/>
    <x v="0"/>
    <x v="35"/>
    <d v="2009-10-12T00:00:00"/>
    <n v="80150"/>
    <n v="0"/>
    <x v="0"/>
    <x v="5"/>
  </r>
  <r>
    <s v="E02326"/>
    <x v="323"/>
    <s v="HRIS Analyst"/>
    <x v="6"/>
    <x v="1"/>
    <x v="0"/>
    <x v="0"/>
    <x v="28"/>
    <d v="2021-10-09T00:00:00"/>
    <n v="73996"/>
    <n v="0"/>
    <x v="1"/>
    <x v="7"/>
  </r>
  <r>
    <s v="E02327"/>
    <x v="324"/>
    <s v="Network Architect"/>
    <x v="2"/>
    <x v="0"/>
    <x v="1"/>
    <x v="1"/>
    <x v="40"/>
    <d v="2022-01-18T00:00:00"/>
    <n v="90109"/>
    <n v="0"/>
    <x v="0"/>
    <x v="3"/>
  </r>
  <r>
    <s v="E02328"/>
    <x v="325"/>
    <s v="Field Engineer"/>
    <x v="0"/>
    <x v="1"/>
    <x v="0"/>
    <x v="2"/>
    <x v="3"/>
    <d v="2022-06-27T00:00:00"/>
    <n v="67216"/>
    <n v="0"/>
    <x v="0"/>
    <x v="5"/>
  </r>
  <r>
    <s v="E02329"/>
    <x v="326"/>
    <s v="Network Engineer"/>
    <x v="2"/>
    <x v="2"/>
    <x v="1"/>
    <x v="2"/>
    <x v="7"/>
    <d v="1998-06-07T00:00:00"/>
    <n v="75402"/>
    <n v="0"/>
    <x v="0"/>
    <x v="5"/>
  </r>
  <r>
    <s v="E02330"/>
    <x v="327"/>
    <s v="Automation Engineer"/>
    <x v="0"/>
    <x v="0"/>
    <x v="1"/>
    <x v="1"/>
    <x v="6"/>
    <d v="2022-06-13T00:00:00"/>
    <n v="120795"/>
    <n v="0"/>
    <x v="2"/>
    <x v="11"/>
  </r>
  <r>
    <s v="E02331"/>
    <x v="328"/>
    <s v="Systems Analyst"/>
    <x v="2"/>
    <x v="3"/>
    <x v="0"/>
    <x v="1"/>
    <x v="26"/>
    <d v="2015-07-27T00:00:00"/>
    <n v="44012"/>
    <n v="0"/>
    <x v="2"/>
    <x v="12"/>
  </r>
  <r>
    <s v="E02332"/>
    <x v="329"/>
    <s v="Vice President"/>
    <x v="4"/>
    <x v="2"/>
    <x v="1"/>
    <x v="0"/>
    <x v="34"/>
    <d v="2021-04-03T00:00:00"/>
    <n v="219180"/>
    <n v="0.33"/>
    <x v="1"/>
    <x v="6"/>
  </r>
  <r>
    <s v="E02333"/>
    <x v="330"/>
    <s v="Vice President"/>
    <x v="0"/>
    <x v="2"/>
    <x v="0"/>
    <x v="0"/>
    <x v="12"/>
    <d v="2005-10-27T00:00:00"/>
    <n v="258700"/>
    <n v="0.32"/>
    <x v="0"/>
    <x v="4"/>
  </r>
  <r>
    <s v="E02334"/>
    <x v="331"/>
    <s v="Test Engineer"/>
    <x v="0"/>
    <x v="3"/>
    <x v="0"/>
    <x v="0"/>
    <x v="23"/>
    <d v="2018-01-07T00:00:00"/>
    <n v="97496"/>
    <n v="0"/>
    <x v="0"/>
    <x v="8"/>
  </r>
  <r>
    <s v="E02335"/>
    <x v="332"/>
    <s v="Vice President"/>
    <x v="6"/>
    <x v="2"/>
    <x v="0"/>
    <x v="1"/>
    <x v="34"/>
    <d v="2020-08-01T00:00:00"/>
    <n v="239270"/>
    <n v="0.38"/>
    <x v="2"/>
    <x v="12"/>
  </r>
  <r>
    <s v="E02336"/>
    <x v="333"/>
    <s v="Manager"/>
    <x v="2"/>
    <x v="3"/>
    <x v="0"/>
    <x v="2"/>
    <x v="3"/>
    <d v="2012-03-02T00:00:00"/>
    <n v="103466"/>
    <n v="0.05"/>
    <x v="0"/>
    <x v="1"/>
  </r>
  <r>
    <s v="E02337"/>
    <x v="334"/>
    <s v="Sr. Analyst"/>
    <x v="3"/>
    <x v="1"/>
    <x v="0"/>
    <x v="1"/>
    <x v="39"/>
    <d v="2001-06-27T00:00:00"/>
    <n v="74662"/>
    <n v="0"/>
    <x v="2"/>
    <x v="11"/>
  </r>
  <r>
    <s v="E02338"/>
    <x v="335"/>
    <s v="Vice President"/>
    <x v="6"/>
    <x v="2"/>
    <x v="0"/>
    <x v="0"/>
    <x v="35"/>
    <d v="2015-04-20T00:00:00"/>
    <n v="227816"/>
    <n v="0.33"/>
    <x v="0"/>
    <x v="1"/>
  </r>
  <r>
    <s v="E02339"/>
    <x v="336"/>
    <s v="Vice President"/>
    <x v="1"/>
    <x v="0"/>
    <x v="0"/>
    <x v="0"/>
    <x v="0"/>
    <d v="2013-12-08T00:00:00"/>
    <n v="246680"/>
    <n v="0.39"/>
    <x v="1"/>
    <x v="9"/>
  </r>
  <r>
    <s v="E02340"/>
    <x v="337"/>
    <s v="Enterprise Architect"/>
    <x v="2"/>
    <x v="0"/>
    <x v="1"/>
    <x v="1"/>
    <x v="14"/>
    <d v="2010-06-26T00:00:00"/>
    <n v="85164"/>
    <n v="0"/>
    <x v="2"/>
    <x v="11"/>
  </r>
  <r>
    <s v="E02341"/>
    <x v="338"/>
    <s v="Sr. Manager"/>
    <x v="4"/>
    <x v="0"/>
    <x v="1"/>
    <x v="3"/>
    <x v="26"/>
    <d v="2014-08-18T00:00:00"/>
    <n v="135215"/>
    <n v="0.12"/>
    <x v="0"/>
    <x v="8"/>
  </r>
  <r>
    <s v="E02342"/>
    <x v="339"/>
    <s v="HRIS Analyst"/>
    <x v="6"/>
    <x v="1"/>
    <x v="0"/>
    <x v="1"/>
    <x v="15"/>
    <d v="2019-01-14T00:00:00"/>
    <n v="72542"/>
    <n v="0"/>
    <x v="0"/>
    <x v="1"/>
  </r>
  <r>
    <s v="E02343"/>
    <x v="340"/>
    <s v="Vice President"/>
    <x v="2"/>
    <x v="2"/>
    <x v="1"/>
    <x v="2"/>
    <x v="0"/>
    <d v="2018-02-07T00:00:00"/>
    <n v="246303"/>
    <n v="0.34"/>
    <x v="0"/>
    <x v="0"/>
  </r>
  <r>
    <s v="E02344"/>
    <x v="341"/>
    <s v="Vice President"/>
    <x v="0"/>
    <x v="1"/>
    <x v="1"/>
    <x v="2"/>
    <x v="29"/>
    <d v="2021-05-11T00:00:00"/>
    <n v="186400"/>
    <n v="0.4"/>
    <x v="0"/>
    <x v="1"/>
  </r>
  <r>
    <s v="E02345"/>
    <x v="342"/>
    <s v="Solutions Architect"/>
    <x v="2"/>
    <x v="1"/>
    <x v="1"/>
    <x v="0"/>
    <x v="19"/>
    <d v="2022-12-06T00:00:00"/>
    <n v="91004"/>
    <n v="0"/>
    <x v="1"/>
    <x v="2"/>
  </r>
  <r>
    <s v="E02346"/>
    <x v="343"/>
    <s v="Manager"/>
    <x v="1"/>
    <x v="2"/>
    <x v="0"/>
    <x v="2"/>
    <x v="20"/>
    <d v="2016-12-14T00:00:00"/>
    <n v="101411"/>
    <n v="0.08"/>
    <x v="0"/>
    <x v="3"/>
  </r>
  <r>
    <s v="E02347"/>
    <x v="344"/>
    <s v="Controls Engineer"/>
    <x v="0"/>
    <x v="3"/>
    <x v="1"/>
    <x v="1"/>
    <x v="34"/>
    <d v="2020-08-09T00:00:00"/>
    <n v="111779"/>
    <n v="0"/>
    <x v="0"/>
    <x v="1"/>
  </r>
  <r>
    <s v="E02348"/>
    <x v="345"/>
    <s v="Technical Architect"/>
    <x v="2"/>
    <x v="0"/>
    <x v="1"/>
    <x v="2"/>
    <x v="40"/>
    <d v="2022-01-19T00:00:00"/>
    <n v="86075"/>
    <n v="0"/>
    <x v="0"/>
    <x v="8"/>
  </r>
  <r>
    <s v="E02349"/>
    <x v="346"/>
    <s v="Analyst"/>
    <x v="4"/>
    <x v="3"/>
    <x v="0"/>
    <x v="1"/>
    <x v="10"/>
    <d v="2015-08-13T00:00:00"/>
    <n v="52798"/>
    <n v="0"/>
    <x v="0"/>
    <x v="8"/>
  </r>
  <r>
    <s v="E02350"/>
    <x v="347"/>
    <s v="Network Architect"/>
    <x v="2"/>
    <x v="3"/>
    <x v="1"/>
    <x v="0"/>
    <x v="9"/>
    <d v="2020-12-17T00:00:00"/>
    <n v="96136"/>
    <n v="0"/>
    <x v="1"/>
    <x v="2"/>
  </r>
  <r>
    <s v="E02351"/>
    <x v="348"/>
    <s v="Sr. Analyst"/>
    <x v="5"/>
    <x v="2"/>
    <x v="0"/>
    <x v="1"/>
    <x v="7"/>
    <d v="2002-08-11T00:00:00"/>
    <n v="95682"/>
    <n v="0"/>
    <x v="0"/>
    <x v="3"/>
  </r>
  <r>
    <s v="E02352"/>
    <x v="349"/>
    <s v="Analyst II"/>
    <x v="5"/>
    <x v="0"/>
    <x v="1"/>
    <x v="0"/>
    <x v="21"/>
    <d v="1993-05-29T00:00:00"/>
    <n v="55476"/>
    <n v="0"/>
    <x v="1"/>
    <x v="6"/>
  </r>
  <r>
    <s v="E02353"/>
    <x v="350"/>
    <s v="Vice President"/>
    <x v="4"/>
    <x v="0"/>
    <x v="0"/>
    <x v="2"/>
    <x v="37"/>
    <d v="2018-01-14T00:00:00"/>
    <n v="197792"/>
    <n v="0.34"/>
    <x v="0"/>
    <x v="4"/>
  </r>
  <r>
    <s v="E02354"/>
    <x v="351"/>
    <s v="Field Engineer"/>
    <x v="0"/>
    <x v="2"/>
    <x v="1"/>
    <x v="2"/>
    <x v="17"/>
    <d v="2009-07-10T00:00:00"/>
    <n v="82271"/>
    <n v="0"/>
    <x v="0"/>
    <x v="1"/>
  </r>
  <r>
    <s v="E02355"/>
    <x v="352"/>
    <s v="Sr. Manager"/>
    <x v="3"/>
    <x v="3"/>
    <x v="0"/>
    <x v="0"/>
    <x v="28"/>
    <d v="2009-04-23T00:00:00"/>
    <n v="155716"/>
    <n v="0.12"/>
    <x v="0"/>
    <x v="3"/>
  </r>
  <r>
    <s v="E02356"/>
    <x v="353"/>
    <s v="HRIS Analyst"/>
    <x v="6"/>
    <x v="1"/>
    <x v="1"/>
    <x v="2"/>
    <x v="2"/>
    <d v="2014-06-19T00:00:00"/>
    <n v="71699"/>
    <n v="0"/>
    <x v="0"/>
    <x v="5"/>
  </r>
  <r>
    <s v="E02357"/>
    <x v="354"/>
    <s v="Sr. Manager"/>
    <x v="6"/>
    <x v="0"/>
    <x v="1"/>
    <x v="0"/>
    <x v="31"/>
    <d v="2006-04-17T00:00:00"/>
    <n v="147436"/>
    <n v="0.11"/>
    <x v="0"/>
    <x v="4"/>
  </r>
  <r>
    <s v="E02358"/>
    <x v="355"/>
    <s v="Sr. Business Partner"/>
    <x v="6"/>
    <x v="0"/>
    <x v="1"/>
    <x v="0"/>
    <x v="7"/>
    <d v="2019-07-21T00:00:00"/>
    <n v="88220"/>
    <n v="0"/>
    <x v="1"/>
    <x v="2"/>
  </r>
  <r>
    <s v="E02359"/>
    <x v="356"/>
    <s v="Account Representative"/>
    <x v="1"/>
    <x v="3"/>
    <x v="1"/>
    <x v="1"/>
    <x v="38"/>
    <d v="2020-04-06T00:00:00"/>
    <n v="54295"/>
    <n v="0"/>
    <x v="0"/>
    <x v="0"/>
  </r>
  <r>
    <s v="E02360"/>
    <x v="357"/>
    <s v="Vice President"/>
    <x v="6"/>
    <x v="1"/>
    <x v="1"/>
    <x v="1"/>
    <x v="38"/>
    <d v="2004-06-12T00:00:00"/>
    <n v="246538"/>
    <n v="0.35"/>
    <x v="0"/>
    <x v="8"/>
  </r>
  <r>
    <s v="E02361"/>
    <x v="358"/>
    <s v="IT Coordinator"/>
    <x v="2"/>
    <x v="3"/>
    <x v="0"/>
    <x v="1"/>
    <x v="35"/>
    <d v="2006-04-15T00:00:00"/>
    <n v="43645"/>
    <n v="0"/>
    <x v="0"/>
    <x v="4"/>
  </r>
  <r>
    <s v="E02362"/>
    <x v="359"/>
    <s v="Manager"/>
    <x v="6"/>
    <x v="0"/>
    <x v="0"/>
    <x v="0"/>
    <x v="40"/>
    <d v="2022-04-11T00:00:00"/>
    <n v="125644"/>
    <n v="7.0000000000000007E-2"/>
    <x v="0"/>
    <x v="3"/>
  </r>
  <r>
    <s v="E02363"/>
    <x v="360"/>
    <s v="Service Desk Analyst"/>
    <x v="2"/>
    <x v="2"/>
    <x v="1"/>
    <x v="1"/>
    <x v="23"/>
    <d v="2018-01-14T00:00:00"/>
    <n v="78414"/>
    <n v="0"/>
    <x v="0"/>
    <x v="3"/>
  </r>
  <r>
    <s v="E02364"/>
    <x v="361"/>
    <s v="Sr. Analyst"/>
    <x v="5"/>
    <x v="3"/>
    <x v="1"/>
    <x v="1"/>
    <x v="10"/>
    <d v="2013-01-25T00:00:00"/>
    <n v="88016"/>
    <n v="0"/>
    <x v="2"/>
    <x v="10"/>
  </r>
  <r>
    <s v="E02365"/>
    <x v="362"/>
    <s v="Computer Systems Manager"/>
    <x v="2"/>
    <x v="1"/>
    <x v="1"/>
    <x v="2"/>
    <x v="36"/>
    <d v="2021-09-07T00:00:00"/>
    <n v="66561"/>
    <n v="0.06"/>
    <x v="0"/>
    <x v="1"/>
  </r>
  <r>
    <s v="E02366"/>
    <x v="363"/>
    <s v="Development Engineer"/>
    <x v="0"/>
    <x v="2"/>
    <x v="1"/>
    <x v="1"/>
    <x v="7"/>
    <d v="2001-10-24T00:00:00"/>
    <n v="89811"/>
    <n v="0"/>
    <x v="2"/>
    <x v="10"/>
  </r>
  <r>
    <s v="E02367"/>
    <x v="364"/>
    <s v="Manager"/>
    <x v="2"/>
    <x v="0"/>
    <x v="0"/>
    <x v="0"/>
    <x v="8"/>
    <d v="2010-05-26T00:00:00"/>
    <n v="125506"/>
    <n v="0.09"/>
    <x v="0"/>
    <x v="3"/>
  </r>
  <r>
    <s v="E02368"/>
    <x v="365"/>
    <s v="Analyst II"/>
    <x v="4"/>
    <x v="0"/>
    <x v="1"/>
    <x v="0"/>
    <x v="30"/>
    <d v="2009-08-25T00:00:00"/>
    <n v="56409"/>
    <n v="0"/>
    <x v="0"/>
    <x v="0"/>
  </r>
  <r>
    <s v="E02369"/>
    <x v="366"/>
    <s v="Sr. Manager"/>
    <x v="1"/>
    <x v="2"/>
    <x v="1"/>
    <x v="0"/>
    <x v="3"/>
    <d v="2012-02-22T00:00:00"/>
    <n v="122058"/>
    <n v="0.14000000000000001"/>
    <x v="1"/>
    <x v="9"/>
  </r>
  <r>
    <s v="E02370"/>
    <x v="367"/>
    <s v="Sr. Analyst"/>
    <x v="1"/>
    <x v="0"/>
    <x v="1"/>
    <x v="1"/>
    <x v="17"/>
    <d v="1998-03-29T00:00:00"/>
    <n v="82550"/>
    <n v="0"/>
    <x v="0"/>
    <x v="1"/>
  </r>
  <r>
    <s v="E02371"/>
    <x v="368"/>
    <s v="System Administrator "/>
    <x v="2"/>
    <x v="0"/>
    <x v="0"/>
    <x v="0"/>
    <x v="2"/>
    <d v="2012-09-15T00:00:00"/>
    <n v="93760"/>
    <n v="0"/>
    <x v="0"/>
    <x v="8"/>
  </r>
  <r>
    <s v="E02372"/>
    <x v="369"/>
    <s v="Analyst"/>
    <x v="1"/>
    <x v="2"/>
    <x v="1"/>
    <x v="3"/>
    <x v="36"/>
    <d v="2012-06-19T00:00:00"/>
    <n v="55008"/>
    <n v="0"/>
    <x v="0"/>
    <x v="4"/>
  </r>
  <r>
    <s v="E02373"/>
    <x v="370"/>
    <s v="Analyst II"/>
    <x v="5"/>
    <x v="2"/>
    <x v="0"/>
    <x v="1"/>
    <x v="36"/>
    <d v="2012-09-28T00:00:00"/>
    <n v="65368"/>
    <n v="0"/>
    <x v="0"/>
    <x v="3"/>
  </r>
  <r>
    <s v="E02374"/>
    <x v="371"/>
    <s v="Test Engineer"/>
    <x v="0"/>
    <x v="2"/>
    <x v="0"/>
    <x v="0"/>
    <x v="5"/>
    <d v="2017-04-20T00:00:00"/>
    <n v="83955"/>
    <n v="0"/>
    <x v="0"/>
    <x v="5"/>
  </r>
  <r>
    <s v="E02375"/>
    <x v="372"/>
    <s v="Vice President"/>
    <x v="5"/>
    <x v="3"/>
    <x v="1"/>
    <x v="1"/>
    <x v="29"/>
    <d v="1997-12-24T00:00:00"/>
    <n v="231907"/>
    <n v="0.38"/>
    <x v="0"/>
    <x v="4"/>
  </r>
  <r>
    <s v="E02376"/>
    <x v="373"/>
    <s v="IT Systems Architect"/>
    <x v="2"/>
    <x v="0"/>
    <x v="0"/>
    <x v="2"/>
    <x v="4"/>
    <d v="2009-09-16T00:00:00"/>
    <n v="97628"/>
    <n v="0"/>
    <x v="0"/>
    <x v="5"/>
  </r>
  <r>
    <s v="E02377"/>
    <x v="374"/>
    <s v="IT Systems Architect"/>
    <x v="2"/>
    <x v="0"/>
    <x v="0"/>
    <x v="1"/>
    <x v="27"/>
    <d v="2020-09-22T00:00:00"/>
    <n v="88142"/>
    <n v="0"/>
    <x v="0"/>
    <x v="0"/>
  </r>
  <r>
    <s v="E02378"/>
    <x v="375"/>
    <s v="Test Engineer"/>
    <x v="0"/>
    <x v="1"/>
    <x v="1"/>
    <x v="0"/>
    <x v="33"/>
    <d v="2020-03-02T00:00:00"/>
    <n v="83465"/>
    <n v="0"/>
    <x v="1"/>
    <x v="9"/>
  </r>
  <r>
    <s v="E02379"/>
    <x v="376"/>
    <s v="Director"/>
    <x v="2"/>
    <x v="0"/>
    <x v="0"/>
    <x v="1"/>
    <x v="13"/>
    <d v="2022-01-09T00:00:00"/>
    <n v="197731"/>
    <n v="0.15"/>
    <x v="0"/>
    <x v="3"/>
  </r>
  <r>
    <s v="E02380"/>
    <x v="377"/>
    <s v="Sr. Manager"/>
    <x v="3"/>
    <x v="2"/>
    <x v="0"/>
    <x v="0"/>
    <x v="23"/>
    <d v="2014-12-15T00:00:00"/>
    <n v="151758"/>
    <n v="0.12"/>
    <x v="1"/>
    <x v="9"/>
  </r>
  <r>
    <s v="E02381"/>
    <x v="378"/>
    <s v="Director"/>
    <x v="4"/>
    <x v="2"/>
    <x v="0"/>
    <x v="0"/>
    <x v="26"/>
    <d v="2013-09-08T00:00:00"/>
    <n v="164340"/>
    <n v="0.15"/>
    <x v="0"/>
    <x v="1"/>
  </r>
  <r>
    <s v="E02382"/>
    <x v="379"/>
    <s v="Controls Engineer"/>
    <x v="0"/>
    <x v="3"/>
    <x v="1"/>
    <x v="1"/>
    <x v="4"/>
    <d v="2006-03-26T00:00:00"/>
    <n v="104916"/>
    <n v="0"/>
    <x v="2"/>
    <x v="12"/>
  </r>
  <r>
    <s v="E02383"/>
    <x v="380"/>
    <s v="Analyst"/>
    <x v="4"/>
    <x v="3"/>
    <x v="0"/>
    <x v="0"/>
    <x v="29"/>
    <d v="1997-01-22T00:00:00"/>
    <n v="42536"/>
    <n v="0"/>
    <x v="0"/>
    <x v="0"/>
  </r>
  <r>
    <s v="E02384"/>
    <x v="381"/>
    <s v="Vice President"/>
    <x v="4"/>
    <x v="2"/>
    <x v="1"/>
    <x v="0"/>
    <x v="31"/>
    <d v="2009-04-05T00:00:00"/>
    <n v="195171"/>
    <n v="0.33"/>
    <x v="0"/>
    <x v="3"/>
  </r>
  <r>
    <s v="E02385"/>
    <x v="382"/>
    <s v="Business Partner"/>
    <x v="6"/>
    <x v="0"/>
    <x v="1"/>
    <x v="0"/>
    <x v="19"/>
    <d v="2020-05-26T00:00:00"/>
    <n v="45290"/>
    <n v="0"/>
    <x v="1"/>
    <x v="6"/>
  </r>
  <r>
    <s v="E02386"/>
    <x v="383"/>
    <s v="Vice President"/>
    <x v="4"/>
    <x v="3"/>
    <x v="0"/>
    <x v="1"/>
    <x v="19"/>
    <d v="2009-12-11T00:00:00"/>
    <n v="203306"/>
    <n v="0.38"/>
    <x v="0"/>
    <x v="3"/>
  </r>
  <r>
    <s v="E02387"/>
    <x v="384"/>
    <s v="Analyst II"/>
    <x v="1"/>
    <x v="3"/>
    <x v="0"/>
    <x v="1"/>
    <x v="22"/>
    <d v="2022-06-16T00:00:00"/>
    <n v="66865"/>
    <n v="0"/>
    <x v="2"/>
    <x v="10"/>
  </r>
  <r>
    <s v="E02388"/>
    <x v="385"/>
    <s v="Network Architect"/>
    <x v="2"/>
    <x v="1"/>
    <x v="0"/>
    <x v="0"/>
    <x v="37"/>
    <d v="2022-10-17T00:00:00"/>
    <n v="89164"/>
    <n v="0"/>
    <x v="0"/>
    <x v="5"/>
  </r>
  <r>
    <s v="E02389"/>
    <x v="386"/>
    <s v="Sr. Analyst"/>
    <x v="1"/>
    <x v="0"/>
    <x v="1"/>
    <x v="0"/>
    <x v="25"/>
    <d v="2021-10-28T00:00:00"/>
    <n v="75602"/>
    <n v="0"/>
    <x v="0"/>
    <x v="8"/>
  </r>
  <r>
    <s v="E02390"/>
    <x v="387"/>
    <s v="Network Administrator"/>
    <x v="2"/>
    <x v="3"/>
    <x v="0"/>
    <x v="2"/>
    <x v="38"/>
    <d v="2021-02-13T00:00:00"/>
    <n v="92939"/>
    <n v="0"/>
    <x v="0"/>
    <x v="4"/>
  </r>
  <r>
    <s v="E02391"/>
    <x v="388"/>
    <s v="Analyst II"/>
    <x v="5"/>
    <x v="3"/>
    <x v="1"/>
    <x v="3"/>
    <x v="22"/>
    <d v="2020-05-28T00:00:00"/>
    <n v="64278"/>
    <n v="0"/>
    <x v="0"/>
    <x v="0"/>
  </r>
  <r>
    <s v="E02392"/>
    <x v="389"/>
    <s v="Solutions Architect"/>
    <x v="2"/>
    <x v="2"/>
    <x v="1"/>
    <x v="1"/>
    <x v="38"/>
    <d v="2013-10-04T00:00:00"/>
    <n v="72176"/>
    <n v="0"/>
    <x v="2"/>
    <x v="10"/>
  </r>
  <r>
    <s v="E02393"/>
    <x v="390"/>
    <s v="Computer Systems Manager"/>
    <x v="2"/>
    <x v="1"/>
    <x v="1"/>
    <x v="2"/>
    <x v="12"/>
    <d v="2010-02-05T00:00:00"/>
    <n v="87758"/>
    <n v="0.09"/>
    <x v="0"/>
    <x v="3"/>
  </r>
  <r>
    <s v="E02394"/>
    <x v="391"/>
    <s v="Analyst II"/>
    <x v="3"/>
    <x v="1"/>
    <x v="0"/>
    <x v="0"/>
    <x v="19"/>
    <d v="2002-06-01T00:00:00"/>
    <n v="54646"/>
    <n v="0"/>
    <x v="0"/>
    <x v="3"/>
  </r>
  <r>
    <s v="E02395"/>
    <x v="392"/>
    <s v="HRIS Analyst"/>
    <x v="6"/>
    <x v="1"/>
    <x v="0"/>
    <x v="1"/>
    <x v="12"/>
    <d v="2011-01-26T00:00:00"/>
    <n v="73323"/>
    <n v="0"/>
    <x v="0"/>
    <x v="4"/>
  </r>
  <r>
    <s v="E02396"/>
    <x v="393"/>
    <s v="Director"/>
    <x v="5"/>
    <x v="3"/>
    <x v="1"/>
    <x v="2"/>
    <x v="13"/>
    <d v="2021-01-07T00:00:00"/>
    <n v="151492"/>
    <n v="0.21"/>
    <x v="0"/>
    <x v="0"/>
  </r>
  <r>
    <s v="E02397"/>
    <x v="394"/>
    <s v="Sr. Manager"/>
    <x v="4"/>
    <x v="1"/>
    <x v="0"/>
    <x v="1"/>
    <x v="4"/>
    <d v="2005-12-26T00:00:00"/>
    <n v="138215"/>
    <n v="0.12"/>
    <x v="2"/>
    <x v="12"/>
  </r>
  <r>
    <s v="E02398"/>
    <x v="395"/>
    <s v="Sr. Manager"/>
    <x v="4"/>
    <x v="3"/>
    <x v="1"/>
    <x v="3"/>
    <x v="31"/>
    <d v="2013-07-03T00:00:00"/>
    <n v="135578"/>
    <n v="0.1"/>
    <x v="0"/>
    <x v="8"/>
  </r>
  <r>
    <s v="E02399"/>
    <x v="396"/>
    <s v="Test Engineer"/>
    <x v="0"/>
    <x v="2"/>
    <x v="1"/>
    <x v="1"/>
    <x v="27"/>
    <d v="2019-12-02T00:00:00"/>
    <n v="64297"/>
    <n v="0"/>
    <x v="2"/>
    <x v="12"/>
  </r>
  <r>
    <s v="E02400"/>
    <x v="397"/>
    <s v="Development Engineer"/>
    <x v="0"/>
    <x v="1"/>
    <x v="0"/>
    <x v="2"/>
    <x v="7"/>
    <d v="2021-06-28T00:00:00"/>
    <n v="94857"/>
    <n v="0"/>
    <x v="0"/>
    <x v="8"/>
  </r>
  <r>
    <s v="E02401"/>
    <x v="398"/>
    <s v="Development Engineer"/>
    <x v="0"/>
    <x v="2"/>
    <x v="0"/>
    <x v="0"/>
    <x v="1"/>
    <d v="2009-10-24T00:00:00"/>
    <n v="77196"/>
    <n v="0"/>
    <x v="0"/>
    <x v="4"/>
  </r>
  <r>
    <s v="E02402"/>
    <x v="399"/>
    <s v="Director"/>
    <x v="1"/>
    <x v="2"/>
    <x v="1"/>
    <x v="1"/>
    <x v="10"/>
    <d v="2002-12-25T00:00:00"/>
    <n v="193154"/>
    <n v="0.18"/>
    <x v="2"/>
    <x v="11"/>
  </r>
  <r>
    <s v="E02403"/>
    <x v="400"/>
    <s v="Manager"/>
    <x v="6"/>
    <x v="3"/>
    <x v="0"/>
    <x v="3"/>
    <x v="34"/>
    <d v="2019-12-29T00:00:00"/>
    <n v="115916"/>
    <n v="0.09"/>
    <x v="0"/>
    <x v="1"/>
  </r>
  <r>
    <s v="E02404"/>
    <x v="401"/>
    <s v="Vice President"/>
    <x v="3"/>
    <x v="0"/>
    <x v="0"/>
    <x v="2"/>
    <x v="36"/>
    <d v="2016-03-20T00:00:00"/>
    <n v="192374"/>
    <n v="0.3"/>
    <x v="0"/>
    <x v="1"/>
  </r>
  <r>
    <s v="E02405"/>
    <x v="402"/>
    <s v="Director"/>
    <x v="6"/>
    <x v="3"/>
    <x v="0"/>
    <x v="2"/>
    <x v="23"/>
    <d v="2019-07-15T00:00:00"/>
    <n v="186869"/>
    <n v="0.16"/>
    <x v="0"/>
    <x v="8"/>
  </r>
  <r>
    <s v="E02406"/>
    <x v="403"/>
    <s v="Business Partner"/>
    <x v="6"/>
    <x v="0"/>
    <x v="1"/>
    <x v="1"/>
    <x v="1"/>
    <d v="1993-05-11T00:00:00"/>
    <n v="49293"/>
    <n v="0"/>
    <x v="0"/>
    <x v="0"/>
  </r>
  <r>
    <s v="E02407"/>
    <x v="404"/>
    <s v="Manager"/>
    <x v="6"/>
    <x v="2"/>
    <x v="1"/>
    <x v="2"/>
    <x v="3"/>
    <d v="2013-04-13T00:00:00"/>
    <n v="129087"/>
    <n v="0.05"/>
    <x v="0"/>
    <x v="3"/>
  </r>
  <r>
    <s v="E02408"/>
    <x v="405"/>
    <s v="Analyst"/>
    <x v="4"/>
    <x v="2"/>
    <x v="1"/>
    <x v="1"/>
    <x v="30"/>
    <d v="2005-02-15T00:00:00"/>
    <n v="54831"/>
    <n v="0"/>
    <x v="2"/>
    <x v="11"/>
  </r>
  <r>
    <s v="E02409"/>
    <x v="406"/>
    <s v="Analyst"/>
    <x v="5"/>
    <x v="3"/>
    <x v="1"/>
    <x v="0"/>
    <x v="22"/>
    <d v="2020-11-28T00:00:00"/>
    <n v="51825"/>
    <n v="0"/>
    <x v="0"/>
    <x v="5"/>
  </r>
  <r>
    <s v="E02410"/>
    <x v="407"/>
    <s v="Field Engineer"/>
    <x v="0"/>
    <x v="0"/>
    <x v="1"/>
    <x v="0"/>
    <x v="11"/>
    <d v="2019-09-15T00:00:00"/>
    <n v="67457"/>
    <n v="0"/>
    <x v="1"/>
    <x v="2"/>
  </r>
  <r>
    <s v="E02411"/>
    <x v="408"/>
    <s v="Cloud Infrastructure Architect"/>
    <x v="2"/>
    <x v="1"/>
    <x v="0"/>
    <x v="0"/>
    <x v="14"/>
    <d v="2019-09-28T00:00:00"/>
    <n v="94555"/>
    <n v="0"/>
    <x v="0"/>
    <x v="4"/>
  </r>
  <r>
    <s v="E02412"/>
    <x v="409"/>
    <s v="Director"/>
    <x v="6"/>
    <x v="1"/>
    <x v="1"/>
    <x v="0"/>
    <x v="10"/>
    <d v="2008-03-28T00:00:00"/>
    <n v="163686"/>
    <n v="0.25"/>
    <x v="1"/>
    <x v="7"/>
  </r>
  <r>
    <s v="E02413"/>
    <x v="410"/>
    <s v="Systems Analyst"/>
    <x v="2"/>
    <x v="1"/>
    <x v="1"/>
    <x v="0"/>
    <x v="28"/>
    <d v="2002-07-29T00:00:00"/>
    <n v="47919"/>
    <n v="0"/>
    <x v="1"/>
    <x v="9"/>
  </r>
  <r>
    <s v="E02414"/>
    <x v="411"/>
    <s v="Enterprise Architect"/>
    <x v="2"/>
    <x v="0"/>
    <x v="0"/>
    <x v="2"/>
    <x v="2"/>
    <d v="2021-05-28T00:00:00"/>
    <n v="68972"/>
    <n v="0"/>
    <x v="0"/>
    <x v="4"/>
  </r>
  <r>
    <s v="E02415"/>
    <x v="412"/>
    <s v="Analyst"/>
    <x v="1"/>
    <x v="0"/>
    <x v="0"/>
    <x v="2"/>
    <x v="7"/>
    <d v="2002-04-01T00:00:00"/>
    <n v="50775"/>
    <n v="0"/>
    <x v="0"/>
    <x v="3"/>
  </r>
  <r>
    <s v="E02416"/>
    <x v="413"/>
    <s v="Sr. Manager"/>
    <x v="5"/>
    <x v="1"/>
    <x v="1"/>
    <x v="1"/>
    <x v="3"/>
    <d v="2013-02-12T00:00:00"/>
    <n v="122713"/>
    <n v="0.13"/>
    <x v="2"/>
    <x v="11"/>
  </r>
  <r>
    <s v="E02417"/>
    <x v="414"/>
    <s v="Analyst II"/>
    <x v="3"/>
    <x v="1"/>
    <x v="1"/>
    <x v="0"/>
    <x v="39"/>
    <d v="1993-05-13T00:00:00"/>
    <n v="57230"/>
    <n v="0"/>
    <x v="0"/>
    <x v="4"/>
  </r>
  <r>
    <s v="E02418"/>
    <x v="415"/>
    <s v="Sr. Manager"/>
    <x v="5"/>
    <x v="3"/>
    <x v="0"/>
    <x v="1"/>
    <x v="9"/>
    <d v="1997-12-17T00:00:00"/>
    <n v="148794"/>
    <n v="0.1"/>
    <x v="2"/>
    <x v="12"/>
  </r>
  <r>
    <s v="E02419"/>
    <x v="416"/>
    <s v="Sr. Manager"/>
    <x v="5"/>
    <x v="2"/>
    <x v="1"/>
    <x v="0"/>
    <x v="23"/>
    <d v="2016-12-23T00:00:00"/>
    <n v="155884"/>
    <n v="0.13"/>
    <x v="0"/>
    <x v="8"/>
  </r>
  <r>
    <s v="E02420"/>
    <x v="417"/>
    <s v="Account Representative"/>
    <x v="1"/>
    <x v="2"/>
    <x v="1"/>
    <x v="0"/>
    <x v="31"/>
    <d v="2018-10-05T00:00:00"/>
    <n v="50975"/>
    <n v="0"/>
    <x v="1"/>
    <x v="7"/>
  </r>
  <r>
    <s v="E02421"/>
    <x v="418"/>
    <s v="Analyst"/>
    <x v="3"/>
    <x v="2"/>
    <x v="0"/>
    <x v="3"/>
    <x v="6"/>
    <d v="2017-12-13T00:00:00"/>
    <n v="52200"/>
    <n v="0"/>
    <x v="0"/>
    <x v="5"/>
  </r>
  <r>
    <s v="E02422"/>
    <x v="419"/>
    <s v="Director"/>
    <x v="4"/>
    <x v="2"/>
    <x v="0"/>
    <x v="0"/>
    <x v="32"/>
    <d v="2018-04-17T00:00:00"/>
    <n v="154141"/>
    <n v="0.26"/>
    <x v="1"/>
    <x v="6"/>
  </r>
  <r>
    <s v="E02423"/>
    <x v="420"/>
    <s v="Field Engineer"/>
    <x v="0"/>
    <x v="3"/>
    <x v="1"/>
    <x v="1"/>
    <x v="21"/>
    <d v="1993-07-25T00:00:00"/>
    <n v="69245"/>
    <n v="0"/>
    <x v="0"/>
    <x v="5"/>
  </r>
  <r>
    <s v="E02424"/>
    <x v="421"/>
    <s v="Field Engineer"/>
    <x v="0"/>
    <x v="3"/>
    <x v="0"/>
    <x v="2"/>
    <x v="39"/>
    <d v="1999-04-02T00:00:00"/>
    <n v="78212"/>
    <n v="0"/>
    <x v="0"/>
    <x v="8"/>
  </r>
  <r>
    <s v="E02425"/>
    <x v="422"/>
    <s v="Sr. Analyst"/>
    <x v="3"/>
    <x v="1"/>
    <x v="0"/>
    <x v="2"/>
    <x v="20"/>
    <d v="2019-10-07T00:00:00"/>
    <n v="72650"/>
    <n v="0"/>
    <x v="0"/>
    <x v="4"/>
  </r>
  <r>
    <s v="E02426"/>
    <x v="423"/>
    <s v="Automation Engineer"/>
    <x v="0"/>
    <x v="2"/>
    <x v="1"/>
    <x v="2"/>
    <x v="26"/>
    <d v="2020-11-10T00:00:00"/>
    <n v="124681"/>
    <n v="0"/>
    <x v="0"/>
    <x v="5"/>
  </r>
  <r>
    <s v="E02427"/>
    <x v="424"/>
    <s v="Network Administrator"/>
    <x v="2"/>
    <x v="2"/>
    <x v="0"/>
    <x v="3"/>
    <x v="25"/>
    <d v="2013-08-21T00:00:00"/>
    <n v="89051"/>
    <n v="0"/>
    <x v="0"/>
    <x v="1"/>
  </r>
  <r>
    <s v="E02428"/>
    <x v="425"/>
    <s v="Automation Engineer"/>
    <x v="0"/>
    <x v="2"/>
    <x v="0"/>
    <x v="0"/>
    <x v="11"/>
    <d v="2019-12-02T00:00:00"/>
    <n v="121049"/>
    <n v="0"/>
    <x v="0"/>
    <x v="3"/>
  </r>
  <r>
    <s v="E02429"/>
    <x v="426"/>
    <s v="Network Engineer"/>
    <x v="2"/>
    <x v="2"/>
    <x v="0"/>
    <x v="2"/>
    <x v="24"/>
    <d v="2007-06-15T00:00:00"/>
    <n v="70519"/>
    <n v="0"/>
    <x v="0"/>
    <x v="0"/>
  </r>
  <r>
    <s v="E02430"/>
    <x v="427"/>
    <s v="Manager"/>
    <x v="2"/>
    <x v="2"/>
    <x v="1"/>
    <x v="0"/>
    <x v="17"/>
    <d v="2007-01-25T00:00:00"/>
    <n v="106302"/>
    <n v="0.08"/>
    <x v="0"/>
    <x v="4"/>
  </r>
  <r>
    <s v="E02431"/>
    <x v="428"/>
    <s v="Engineering Manager"/>
    <x v="0"/>
    <x v="3"/>
    <x v="0"/>
    <x v="0"/>
    <x v="6"/>
    <d v="2008-08-25T00:00:00"/>
    <n v="119960"/>
    <n v="0.15"/>
    <x v="0"/>
    <x v="0"/>
  </r>
  <r>
    <s v="E02432"/>
    <x v="429"/>
    <s v="Test Engineer"/>
    <x v="0"/>
    <x v="2"/>
    <x v="0"/>
    <x v="1"/>
    <x v="10"/>
    <d v="2017-02-22T00:00:00"/>
    <n v="84309"/>
    <n v="0"/>
    <x v="2"/>
    <x v="12"/>
  </r>
  <r>
    <s v="E02433"/>
    <x v="430"/>
    <s v="Vice President"/>
    <x v="0"/>
    <x v="0"/>
    <x v="1"/>
    <x v="2"/>
    <x v="32"/>
    <d v="2007-08-20T00:00:00"/>
    <n v="228494"/>
    <n v="0.33"/>
    <x v="0"/>
    <x v="4"/>
  </r>
  <r>
    <s v="E02434"/>
    <x v="431"/>
    <s v="Manager"/>
    <x v="1"/>
    <x v="3"/>
    <x v="0"/>
    <x v="0"/>
    <x v="10"/>
    <d v="2017-05-23T00:00:00"/>
    <n v="112076"/>
    <n v="0.06"/>
    <x v="1"/>
    <x v="7"/>
  </r>
  <r>
    <s v="E02435"/>
    <x v="432"/>
    <s v="Technical Architect"/>
    <x v="2"/>
    <x v="3"/>
    <x v="0"/>
    <x v="1"/>
    <x v="28"/>
    <d v="2016-07-29T00:00:00"/>
    <n v="88533"/>
    <n v="0"/>
    <x v="2"/>
    <x v="10"/>
  </r>
  <r>
    <s v="E02436"/>
    <x v="433"/>
    <s v="HRIS Analyst"/>
    <x v="6"/>
    <x v="2"/>
    <x v="0"/>
    <x v="1"/>
    <x v="5"/>
    <d v="2018-11-29T00:00:00"/>
    <n v="72025"/>
    <n v="0"/>
    <x v="2"/>
    <x v="12"/>
  </r>
  <r>
    <s v="E02437"/>
    <x v="434"/>
    <s v="Field Engineer"/>
    <x v="0"/>
    <x v="0"/>
    <x v="0"/>
    <x v="0"/>
    <x v="21"/>
    <d v="2004-02-06T00:00:00"/>
    <n v="67947"/>
    <n v="0"/>
    <x v="1"/>
    <x v="2"/>
  </r>
  <r>
    <s v="E02438"/>
    <x v="435"/>
    <s v="Cloud Infrastructure Architect"/>
    <x v="2"/>
    <x v="0"/>
    <x v="1"/>
    <x v="2"/>
    <x v="4"/>
    <d v="2020-07-12T00:00:00"/>
    <n v="79764"/>
    <n v="0"/>
    <x v="0"/>
    <x v="4"/>
  </r>
  <r>
    <s v="E02439"/>
    <x v="436"/>
    <s v="Cloud Infrastructure Architect"/>
    <x v="2"/>
    <x v="2"/>
    <x v="1"/>
    <x v="0"/>
    <x v="26"/>
    <d v="2015-03-18T00:00:00"/>
    <n v="60690"/>
    <n v="0"/>
    <x v="1"/>
    <x v="6"/>
  </r>
  <r>
    <s v="E02440"/>
    <x v="437"/>
    <s v="Analyst"/>
    <x v="3"/>
    <x v="1"/>
    <x v="0"/>
    <x v="0"/>
    <x v="13"/>
    <d v="2018-08-25T00:00:00"/>
    <n v="44520"/>
    <n v="0"/>
    <x v="0"/>
    <x v="1"/>
  </r>
  <r>
    <s v="E02441"/>
    <x v="438"/>
    <s v="Network Architect"/>
    <x v="2"/>
    <x v="1"/>
    <x v="0"/>
    <x v="1"/>
    <x v="26"/>
    <d v="2022-06-24T00:00:00"/>
    <n v="84317"/>
    <n v="0"/>
    <x v="2"/>
    <x v="10"/>
  </r>
  <r>
    <s v="E02442"/>
    <x v="439"/>
    <s v="Director"/>
    <x v="1"/>
    <x v="0"/>
    <x v="1"/>
    <x v="0"/>
    <x v="11"/>
    <d v="2015-05-14T00:00:00"/>
    <n v="151055"/>
    <n v="0.19"/>
    <x v="0"/>
    <x v="0"/>
  </r>
  <r>
    <s v="E02443"/>
    <x v="440"/>
    <s v="Network Architect"/>
    <x v="2"/>
    <x v="2"/>
    <x v="0"/>
    <x v="0"/>
    <x v="14"/>
    <d v="2020-03-27T00:00:00"/>
    <n v="62492"/>
    <n v="0"/>
    <x v="0"/>
    <x v="0"/>
  </r>
  <r>
    <s v="E02444"/>
    <x v="441"/>
    <s v="HRIS Analyst"/>
    <x v="6"/>
    <x v="2"/>
    <x v="1"/>
    <x v="0"/>
    <x v="31"/>
    <d v="2011-02-27T00:00:00"/>
    <n v="72589"/>
    <n v="0"/>
    <x v="0"/>
    <x v="4"/>
  </r>
  <r>
    <s v="E02445"/>
    <x v="442"/>
    <s v="Operations Engineer"/>
    <x v="0"/>
    <x v="1"/>
    <x v="0"/>
    <x v="0"/>
    <x v="27"/>
    <d v="2021-01-21T00:00:00"/>
    <n v="82286"/>
    <n v="0"/>
    <x v="0"/>
    <x v="1"/>
  </r>
  <r>
    <s v="E02446"/>
    <x v="443"/>
    <s v="Cloud Infrastructure Architect"/>
    <x v="2"/>
    <x v="2"/>
    <x v="1"/>
    <x v="2"/>
    <x v="17"/>
    <d v="2011-11-23T00:00:00"/>
    <n v="66660"/>
    <n v="0"/>
    <x v="0"/>
    <x v="5"/>
  </r>
  <r>
    <s v="E02447"/>
    <x v="444"/>
    <s v="Quality Engineer"/>
    <x v="0"/>
    <x v="3"/>
    <x v="1"/>
    <x v="1"/>
    <x v="5"/>
    <d v="2009-08-18T00:00:00"/>
    <n v="86805"/>
    <n v="0"/>
    <x v="0"/>
    <x v="4"/>
  </r>
  <r>
    <s v="E02448"/>
    <x v="445"/>
    <s v="Manager"/>
    <x v="6"/>
    <x v="3"/>
    <x v="1"/>
    <x v="0"/>
    <x v="30"/>
    <d v="2004-08-11T00:00:00"/>
    <n v="125878"/>
    <n v="0.1"/>
    <x v="0"/>
    <x v="4"/>
  </r>
  <r>
    <s v="E02449"/>
    <x v="446"/>
    <s v="Analyst"/>
    <x v="3"/>
    <x v="2"/>
    <x v="1"/>
    <x v="3"/>
    <x v="0"/>
    <d v="2009-11-08T00:00:00"/>
    <n v="50290"/>
    <n v="0"/>
    <x v="0"/>
    <x v="0"/>
  </r>
  <r>
    <s v="E02450"/>
    <x v="447"/>
    <s v="Computer Systems Manager"/>
    <x v="2"/>
    <x v="2"/>
    <x v="1"/>
    <x v="1"/>
    <x v="39"/>
    <d v="2000-06-30T00:00:00"/>
    <n v="97083"/>
    <n v="0.06"/>
    <x v="0"/>
    <x v="4"/>
  </r>
  <r>
    <s v="E02451"/>
    <x v="448"/>
    <s v="Network Administrator"/>
    <x v="2"/>
    <x v="1"/>
    <x v="1"/>
    <x v="0"/>
    <x v="8"/>
    <d v="2019-04-10T00:00:00"/>
    <n v="93306"/>
    <n v="0"/>
    <x v="1"/>
    <x v="9"/>
  </r>
  <r>
    <s v="E02452"/>
    <x v="449"/>
    <s v="Field Engineer"/>
    <x v="0"/>
    <x v="0"/>
    <x v="1"/>
    <x v="0"/>
    <x v="4"/>
    <d v="2022-03-08T00:00:00"/>
    <n v="73404"/>
    <n v="0"/>
    <x v="0"/>
    <x v="4"/>
  </r>
  <r>
    <s v="E02453"/>
    <x v="450"/>
    <s v="IT Systems Architect"/>
    <x v="2"/>
    <x v="3"/>
    <x v="1"/>
    <x v="0"/>
    <x v="17"/>
    <d v="2022-12-07T00:00:00"/>
    <n v="91179"/>
    <n v="0"/>
    <x v="0"/>
    <x v="0"/>
  </r>
  <r>
    <s v="E02454"/>
    <x v="451"/>
    <s v="Manager"/>
    <x v="4"/>
    <x v="3"/>
    <x v="1"/>
    <x v="0"/>
    <x v="30"/>
    <d v="2006-08-27T00:00:00"/>
    <n v="108003"/>
    <n v="0.05"/>
    <x v="1"/>
    <x v="7"/>
  </r>
  <r>
    <s v="E02455"/>
    <x v="452"/>
    <s v="System Administrator "/>
    <x v="2"/>
    <x v="1"/>
    <x v="0"/>
    <x v="0"/>
    <x v="10"/>
    <d v="2004-04-16T00:00:00"/>
    <n v="81384"/>
    <n v="0"/>
    <x v="1"/>
    <x v="9"/>
  </r>
  <r>
    <s v="E02456"/>
    <x v="453"/>
    <s v="Sr. Business Partner"/>
    <x v="6"/>
    <x v="0"/>
    <x v="0"/>
    <x v="2"/>
    <x v="32"/>
    <d v="2012-03-28T00:00:00"/>
    <n v="97218"/>
    <n v="0"/>
    <x v="0"/>
    <x v="4"/>
  </r>
  <r>
    <s v="E02457"/>
    <x v="454"/>
    <s v="Analyst"/>
    <x v="1"/>
    <x v="2"/>
    <x v="1"/>
    <x v="2"/>
    <x v="30"/>
    <d v="2006-09-17T00:00:00"/>
    <n v="42944"/>
    <n v="0"/>
    <x v="0"/>
    <x v="8"/>
  </r>
  <r>
    <s v="E02458"/>
    <x v="455"/>
    <s v="Analyst"/>
    <x v="4"/>
    <x v="2"/>
    <x v="1"/>
    <x v="1"/>
    <x v="16"/>
    <d v="2015-01-18T00:00:00"/>
    <n v="43980"/>
    <n v="0"/>
    <x v="0"/>
    <x v="0"/>
  </r>
  <r>
    <s v="E02459"/>
    <x v="456"/>
    <s v="Manager"/>
    <x v="5"/>
    <x v="1"/>
    <x v="1"/>
    <x v="0"/>
    <x v="26"/>
    <d v="2014-11-20T00:00:00"/>
    <n v="109533"/>
    <n v="0.05"/>
    <x v="1"/>
    <x v="7"/>
  </r>
  <r>
    <s v="E02460"/>
    <x v="457"/>
    <s v="Vice President"/>
    <x v="3"/>
    <x v="2"/>
    <x v="1"/>
    <x v="2"/>
    <x v="36"/>
    <d v="2008-07-30T00:00:00"/>
    <n v="226952"/>
    <n v="0.39"/>
    <x v="0"/>
    <x v="8"/>
  </r>
  <r>
    <s v="E02461"/>
    <x v="458"/>
    <s v="System Administrator "/>
    <x v="2"/>
    <x v="0"/>
    <x v="1"/>
    <x v="1"/>
    <x v="21"/>
    <d v="2007-11-27T00:00:00"/>
    <n v="71580"/>
    <n v="0"/>
    <x v="0"/>
    <x v="3"/>
  </r>
  <r>
    <s v="E02462"/>
    <x v="459"/>
    <s v="Analyst II"/>
    <x v="4"/>
    <x v="0"/>
    <x v="0"/>
    <x v="1"/>
    <x v="17"/>
    <d v="2012-11-16T00:00:00"/>
    <n v="66172"/>
    <n v="0"/>
    <x v="2"/>
    <x v="12"/>
  </r>
  <r>
    <s v="E02463"/>
    <x v="460"/>
    <s v="Vice President"/>
    <x v="5"/>
    <x v="2"/>
    <x v="1"/>
    <x v="0"/>
    <x v="30"/>
    <d v="2018-07-27T00:00:00"/>
    <n v="237489"/>
    <n v="0.3"/>
    <x v="0"/>
    <x v="1"/>
  </r>
  <r>
    <s v="E02464"/>
    <x v="461"/>
    <s v="Analyst"/>
    <x v="5"/>
    <x v="3"/>
    <x v="1"/>
    <x v="0"/>
    <x v="19"/>
    <d v="2000-05-20T00:00:00"/>
    <n v="48733"/>
    <n v="0"/>
    <x v="0"/>
    <x v="3"/>
  </r>
  <r>
    <s v="E02465"/>
    <x v="462"/>
    <s v="Analyst"/>
    <x v="1"/>
    <x v="1"/>
    <x v="1"/>
    <x v="0"/>
    <x v="13"/>
    <d v="2017-07-23T00:00:00"/>
    <n v="48563"/>
    <n v="0"/>
    <x v="1"/>
    <x v="2"/>
  </r>
  <r>
    <s v="E02466"/>
    <x v="463"/>
    <s v="Cloud Infrastructure Architect"/>
    <x v="2"/>
    <x v="0"/>
    <x v="0"/>
    <x v="0"/>
    <x v="39"/>
    <d v="2004-10-26T00:00:00"/>
    <n v="86592"/>
    <n v="0"/>
    <x v="1"/>
    <x v="6"/>
  </r>
  <r>
    <s v="E02467"/>
    <x v="464"/>
    <s v="Vice President"/>
    <x v="4"/>
    <x v="2"/>
    <x v="1"/>
    <x v="2"/>
    <x v="3"/>
    <d v="2011-08-29T00:00:00"/>
    <n v="189823"/>
    <n v="0.38"/>
    <x v="0"/>
    <x v="0"/>
  </r>
  <r>
    <s v="E02468"/>
    <x v="465"/>
    <s v="Enterprise Architect"/>
    <x v="2"/>
    <x v="1"/>
    <x v="0"/>
    <x v="3"/>
    <x v="35"/>
    <d v="2022-06-27T00:00:00"/>
    <n v="65075"/>
    <n v="0"/>
    <x v="0"/>
    <x v="5"/>
  </r>
  <r>
    <s v="E02469"/>
    <x v="466"/>
    <s v="Vice President"/>
    <x v="6"/>
    <x v="3"/>
    <x v="0"/>
    <x v="1"/>
    <x v="26"/>
    <d v="2018-05-09T00:00:00"/>
    <n v="187917"/>
    <n v="0.35"/>
    <x v="0"/>
    <x v="1"/>
  </r>
  <r>
    <s v="E02470"/>
    <x v="467"/>
    <s v="Analyst"/>
    <x v="1"/>
    <x v="3"/>
    <x v="1"/>
    <x v="1"/>
    <x v="8"/>
    <d v="2020-10-20T00:00:00"/>
    <n v="42242"/>
    <n v="0"/>
    <x v="2"/>
    <x v="11"/>
  </r>
  <r>
    <s v="E02471"/>
    <x v="468"/>
    <s v="Analyst"/>
    <x v="1"/>
    <x v="2"/>
    <x v="0"/>
    <x v="0"/>
    <x v="24"/>
    <d v="1998-02-07T00:00:00"/>
    <n v="53931"/>
    <n v="0"/>
    <x v="0"/>
    <x v="0"/>
  </r>
  <r>
    <s v="E02472"/>
    <x v="469"/>
    <s v="Sr. Manager"/>
    <x v="2"/>
    <x v="1"/>
    <x v="0"/>
    <x v="0"/>
    <x v="31"/>
    <d v="2006-03-28T00:00:00"/>
    <n v="140668"/>
    <n v="0.12"/>
    <x v="1"/>
    <x v="7"/>
  </r>
  <r>
    <s v="E02473"/>
    <x v="470"/>
    <s v="Analyst"/>
    <x v="5"/>
    <x v="2"/>
    <x v="1"/>
    <x v="2"/>
    <x v="26"/>
    <d v="2017-10-23T00:00:00"/>
    <n v="53948"/>
    <n v="0"/>
    <x v="0"/>
    <x v="5"/>
  </r>
  <r>
    <s v="E02474"/>
    <x v="471"/>
    <s v="Director"/>
    <x v="2"/>
    <x v="2"/>
    <x v="0"/>
    <x v="2"/>
    <x v="2"/>
    <d v="2017-04-12T00:00:00"/>
    <n v="174257"/>
    <n v="0.3"/>
    <x v="0"/>
    <x v="8"/>
  </r>
  <r>
    <s v="E02475"/>
    <x v="472"/>
    <s v="Sr. Manager"/>
    <x v="1"/>
    <x v="1"/>
    <x v="1"/>
    <x v="1"/>
    <x v="34"/>
    <d v="2019-12-18T00:00:00"/>
    <n v="132209"/>
    <n v="0.14000000000000001"/>
    <x v="2"/>
    <x v="10"/>
  </r>
  <r>
    <s v="E02476"/>
    <x v="473"/>
    <s v="Vice President"/>
    <x v="5"/>
    <x v="2"/>
    <x v="1"/>
    <x v="1"/>
    <x v="2"/>
    <d v="2017-07-16T00:00:00"/>
    <n v="208883"/>
    <n v="0.38"/>
    <x v="0"/>
    <x v="8"/>
  </r>
  <r>
    <s v="E02477"/>
    <x v="474"/>
    <s v="Computer Systems Manager"/>
    <x v="2"/>
    <x v="3"/>
    <x v="1"/>
    <x v="1"/>
    <x v="3"/>
    <d v="2022-05-05T00:00:00"/>
    <n v="65957"/>
    <n v="0.05"/>
    <x v="2"/>
    <x v="10"/>
  </r>
  <r>
    <s v="E02478"/>
    <x v="475"/>
    <s v="Manager"/>
    <x v="6"/>
    <x v="3"/>
    <x v="0"/>
    <x v="0"/>
    <x v="9"/>
    <d v="2004-07-22T00:00:00"/>
    <n v="106481"/>
    <n v="0.05"/>
    <x v="1"/>
    <x v="9"/>
  </r>
  <r>
    <s v="E02479"/>
    <x v="476"/>
    <s v="Vice President"/>
    <x v="3"/>
    <x v="0"/>
    <x v="1"/>
    <x v="0"/>
    <x v="25"/>
    <d v="2020-08-05T00:00:00"/>
    <n v="218127"/>
    <n v="0.37"/>
    <x v="0"/>
    <x v="1"/>
  </r>
  <r>
    <s v="E02480"/>
    <x v="477"/>
    <s v="Sr. Manager"/>
    <x v="2"/>
    <x v="3"/>
    <x v="0"/>
    <x v="2"/>
    <x v="38"/>
    <d v="2019-08-16T00:00:00"/>
    <n v="151481"/>
    <n v="0.11"/>
    <x v="0"/>
    <x v="1"/>
  </r>
  <r>
    <s v="E02481"/>
    <x v="478"/>
    <s v="Analyst"/>
    <x v="1"/>
    <x v="2"/>
    <x v="1"/>
    <x v="0"/>
    <x v="33"/>
    <d v="2017-03-08T00:00:00"/>
    <n v="40508"/>
    <n v="0"/>
    <x v="1"/>
    <x v="9"/>
  </r>
  <r>
    <s v="E02482"/>
    <x v="479"/>
    <s v="Vice President"/>
    <x v="3"/>
    <x v="2"/>
    <x v="1"/>
    <x v="0"/>
    <x v="10"/>
    <d v="2002-07-20T00:00:00"/>
    <n v="200481"/>
    <n v="0.3"/>
    <x v="0"/>
    <x v="0"/>
  </r>
  <r>
    <s v="E02483"/>
    <x v="480"/>
    <s v="Vice President"/>
    <x v="4"/>
    <x v="0"/>
    <x v="1"/>
    <x v="1"/>
    <x v="28"/>
    <d v="2002-12-20T00:00:00"/>
    <n v="224872"/>
    <n v="0.39"/>
    <x v="2"/>
    <x v="11"/>
  </r>
  <r>
    <s v="E02484"/>
    <x v="481"/>
    <s v="Sr. Manager"/>
    <x v="6"/>
    <x v="2"/>
    <x v="0"/>
    <x v="3"/>
    <x v="28"/>
    <d v="2007-11-05T00:00:00"/>
    <n v="149474"/>
    <n v="0.14000000000000001"/>
    <x v="0"/>
    <x v="5"/>
  </r>
  <r>
    <s v="E02485"/>
    <x v="482"/>
    <s v="Test Engineer"/>
    <x v="0"/>
    <x v="2"/>
    <x v="1"/>
    <x v="1"/>
    <x v="9"/>
    <d v="2002-02-18T00:00:00"/>
    <n v="86820"/>
    <n v="0"/>
    <x v="0"/>
    <x v="1"/>
  </r>
  <r>
    <s v="E02486"/>
    <x v="483"/>
    <s v="Director"/>
    <x v="4"/>
    <x v="0"/>
    <x v="1"/>
    <x v="0"/>
    <x v="17"/>
    <d v="1994-11-08T00:00:00"/>
    <n v="184078"/>
    <n v="0.28000000000000003"/>
    <x v="1"/>
    <x v="2"/>
  </r>
  <r>
    <s v="E02487"/>
    <x v="484"/>
    <s v="Analyst"/>
    <x v="3"/>
    <x v="1"/>
    <x v="1"/>
    <x v="0"/>
    <x v="1"/>
    <d v="2013-12-18T00:00:00"/>
    <n v="55174"/>
    <n v="0"/>
    <x v="0"/>
    <x v="4"/>
  </r>
  <r>
    <s v="E02488"/>
    <x v="485"/>
    <s v="Director"/>
    <x v="4"/>
    <x v="1"/>
    <x v="1"/>
    <x v="0"/>
    <x v="15"/>
    <d v="2022-01-17T00:00:00"/>
    <n v="152474"/>
    <n v="0.27"/>
    <x v="0"/>
    <x v="4"/>
  </r>
  <r>
    <s v="E02489"/>
    <x v="486"/>
    <s v="Network Administrator"/>
    <x v="2"/>
    <x v="3"/>
    <x v="1"/>
    <x v="0"/>
    <x v="34"/>
    <d v="2020-02-13T00:00:00"/>
    <n v="75172"/>
    <n v="0"/>
    <x v="1"/>
    <x v="2"/>
  </r>
  <r>
    <s v="E02490"/>
    <x v="487"/>
    <s v="Business Partner"/>
    <x v="6"/>
    <x v="0"/>
    <x v="1"/>
    <x v="1"/>
    <x v="19"/>
    <d v="2008-08-10T00:00:00"/>
    <n v="56002"/>
    <n v="0"/>
    <x v="0"/>
    <x v="4"/>
  </r>
  <r>
    <s v="E02491"/>
    <x v="488"/>
    <s v="Director"/>
    <x v="1"/>
    <x v="2"/>
    <x v="1"/>
    <x v="1"/>
    <x v="12"/>
    <d v="2013-04-13T00:00:00"/>
    <n v="195636"/>
    <n v="0.21"/>
    <x v="2"/>
    <x v="10"/>
  </r>
  <r>
    <s v="E02492"/>
    <x v="489"/>
    <s v="Enterprise Architect"/>
    <x v="2"/>
    <x v="3"/>
    <x v="0"/>
    <x v="2"/>
    <x v="32"/>
    <d v="1997-03-01T00:00:00"/>
    <n v="63165"/>
    <n v="0"/>
    <x v="0"/>
    <x v="3"/>
  </r>
  <r>
    <s v="E02493"/>
    <x v="490"/>
    <s v="Analyst"/>
    <x v="1"/>
    <x v="2"/>
    <x v="1"/>
    <x v="0"/>
    <x v="31"/>
    <d v="1998-07-21T00:00:00"/>
    <n v="57277"/>
    <n v="0"/>
    <x v="1"/>
    <x v="2"/>
  </r>
  <r>
    <s v="E02494"/>
    <x v="491"/>
    <s v="Analyst"/>
    <x v="4"/>
    <x v="3"/>
    <x v="1"/>
    <x v="1"/>
    <x v="36"/>
    <d v="2020-01-14T00:00:00"/>
    <n v="42950"/>
    <n v="0"/>
    <x v="2"/>
    <x v="10"/>
  </r>
  <r>
    <s v="E02495"/>
    <x v="492"/>
    <s v="Director"/>
    <x v="2"/>
    <x v="2"/>
    <x v="0"/>
    <x v="1"/>
    <x v="6"/>
    <d v="2018-10-09T00:00:00"/>
    <n v="168410"/>
    <n v="0.3"/>
    <x v="0"/>
    <x v="1"/>
  </r>
  <r>
    <s v="E02496"/>
    <x v="493"/>
    <s v="Manager"/>
    <x v="2"/>
    <x v="1"/>
    <x v="1"/>
    <x v="2"/>
    <x v="20"/>
    <d v="2008-04-12T00:00:00"/>
    <n v="114588"/>
    <n v="0.05"/>
    <x v="0"/>
    <x v="8"/>
  </r>
  <r>
    <s v="E02497"/>
    <x v="494"/>
    <s v="Sr. Analyst"/>
    <x v="1"/>
    <x v="3"/>
    <x v="1"/>
    <x v="0"/>
    <x v="12"/>
    <d v="1997-05-12T00:00:00"/>
    <n v="72546"/>
    <n v="0"/>
    <x v="1"/>
    <x v="9"/>
  </r>
  <r>
    <s v="E02498"/>
    <x v="495"/>
    <s v="Analyst"/>
    <x v="1"/>
    <x v="1"/>
    <x v="0"/>
    <x v="0"/>
    <x v="26"/>
    <d v="2021-01-09T00:00:00"/>
    <n v="55397"/>
    <n v="0"/>
    <x v="1"/>
    <x v="2"/>
  </r>
  <r>
    <s v="E02499"/>
    <x v="496"/>
    <s v="Director"/>
    <x v="5"/>
    <x v="1"/>
    <x v="1"/>
    <x v="0"/>
    <x v="20"/>
    <d v="2021-09-05T00:00:00"/>
    <n v="192266"/>
    <n v="0.23"/>
    <x v="1"/>
    <x v="7"/>
  </r>
  <r>
    <s v="E02500"/>
    <x v="497"/>
    <s v="System Administrator "/>
    <x v="2"/>
    <x v="0"/>
    <x v="1"/>
    <x v="0"/>
    <x v="11"/>
    <d v="2013-12-20T00:00:00"/>
    <n v="79876"/>
    <n v="0"/>
    <x v="0"/>
    <x v="3"/>
  </r>
  <r>
    <s v="E02501"/>
    <x v="498"/>
    <s v="Manager"/>
    <x v="1"/>
    <x v="1"/>
    <x v="1"/>
    <x v="0"/>
    <x v="4"/>
    <d v="2018-03-06T00:00:00"/>
    <n v="112593"/>
    <n v="0.05"/>
    <x v="0"/>
    <x v="3"/>
  </r>
  <r>
    <s v="E02502"/>
    <x v="499"/>
    <s v="System Administrator "/>
    <x v="2"/>
    <x v="0"/>
    <x v="1"/>
    <x v="2"/>
    <x v="11"/>
    <d v="2016-11-03T00:00:00"/>
    <n v="99249"/>
    <n v="0"/>
    <x v="0"/>
    <x v="8"/>
  </r>
  <r>
    <s v="E02503"/>
    <x v="500"/>
    <s v="Manager"/>
    <x v="4"/>
    <x v="0"/>
    <x v="1"/>
    <x v="2"/>
    <x v="17"/>
    <d v="2012-08-12T00:00:00"/>
    <n v="117421"/>
    <n v="0.05"/>
    <x v="0"/>
    <x v="4"/>
  </r>
  <r>
    <s v="E02504"/>
    <x v="501"/>
    <s v="Field Engineer"/>
    <x v="0"/>
    <x v="1"/>
    <x v="1"/>
    <x v="0"/>
    <x v="38"/>
    <d v="2017-12-18T00:00:00"/>
    <n v="82241"/>
    <n v="0"/>
    <x v="1"/>
    <x v="2"/>
  </r>
  <r>
    <s v="E02505"/>
    <x v="502"/>
    <s v="Manager"/>
    <x v="5"/>
    <x v="2"/>
    <x v="0"/>
    <x v="1"/>
    <x v="15"/>
    <d v="2022-05-15T00:00:00"/>
    <n v="125664"/>
    <n v="0.05"/>
    <x v="2"/>
    <x v="12"/>
  </r>
  <r>
    <s v="E02506"/>
    <x v="503"/>
    <s v="Account Representative"/>
    <x v="1"/>
    <x v="2"/>
    <x v="0"/>
    <x v="0"/>
    <x v="0"/>
    <d v="2013-09-08T00:00:00"/>
    <n v="57386"/>
    <n v="0"/>
    <x v="1"/>
    <x v="9"/>
  </r>
  <r>
    <s v="E02507"/>
    <x v="504"/>
    <s v="Vice President"/>
    <x v="0"/>
    <x v="1"/>
    <x v="1"/>
    <x v="3"/>
    <x v="21"/>
    <d v="2001-05-11T00:00:00"/>
    <n v="196740"/>
    <n v="0.31"/>
    <x v="0"/>
    <x v="8"/>
  </r>
  <r>
    <s v="E02508"/>
    <x v="505"/>
    <s v="Director"/>
    <x v="6"/>
    <x v="3"/>
    <x v="1"/>
    <x v="0"/>
    <x v="16"/>
    <d v="2009-08-22T00:00:00"/>
    <n v="168202"/>
    <n v="0.22"/>
    <x v="1"/>
    <x v="7"/>
  </r>
  <r>
    <s v="E02509"/>
    <x v="506"/>
    <s v="Vice President"/>
    <x v="6"/>
    <x v="3"/>
    <x v="1"/>
    <x v="0"/>
    <x v="38"/>
    <d v="2006-07-11T00:00:00"/>
    <n v="242004"/>
    <n v="0.38"/>
    <x v="1"/>
    <x v="6"/>
  </r>
  <r>
    <s v="E02510"/>
    <x v="507"/>
    <s v="Account Representative"/>
    <x v="1"/>
    <x v="0"/>
    <x v="1"/>
    <x v="0"/>
    <x v="7"/>
    <d v="1998-02-28T00:00:00"/>
    <n v="57433"/>
    <n v="0"/>
    <x v="1"/>
    <x v="2"/>
  </r>
  <r>
    <s v="E02511"/>
    <x v="508"/>
    <s v="Sr. Analyst"/>
    <x v="3"/>
    <x v="3"/>
    <x v="0"/>
    <x v="1"/>
    <x v="24"/>
    <d v="2009-07-11T00:00:00"/>
    <n v="74656"/>
    <n v="0"/>
    <x v="0"/>
    <x v="3"/>
  </r>
  <r>
    <s v="E02512"/>
    <x v="509"/>
    <s v="HRIS Analyst"/>
    <x v="6"/>
    <x v="2"/>
    <x v="1"/>
    <x v="0"/>
    <x v="15"/>
    <d v="2016-08-23T00:00:00"/>
    <n v="62848"/>
    <n v="0"/>
    <x v="1"/>
    <x v="7"/>
  </r>
  <r>
    <s v="E02513"/>
    <x v="510"/>
    <s v="Enterprise Architect"/>
    <x v="2"/>
    <x v="2"/>
    <x v="0"/>
    <x v="0"/>
    <x v="3"/>
    <d v="2011-04-11T00:00:00"/>
    <n v="92523"/>
    <n v="0"/>
    <x v="0"/>
    <x v="8"/>
  </r>
  <r>
    <s v="E02514"/>
    <x v="511"/>
    <s v="Sr. Manager"/>
    <x v="2"/>
    <x v="3"/>
    <x v="0"/>
    <x v="0"/>
    <x v="35"/>
    <d v="2012-12-16T00:00:00"/>
    <n v="142844"/>
    <n v="0.11"/>
    <x v="0"/>
    <x v="8"/>
  </r>
  <r>
    <s v="E02515"/>
    <x v="512"/>
    <s v="Manager"/>
    <x v="1"/>
    <x v="1"/>
    <x v="0"/>
    <x v="2"/>
    <x v="3"/>
    <d v="2009-01-23T00:00:00"/>
    <n v="100718"/>
    <n v="0.05"/>
    <x v="0"/>
    <x v="4"/>
  </r>
  <r>
    <s v="E02516"/>
    <x v="513"/>
    <s v="Director"/>
    <x v="2"/>
    <x v="2"/>
    <x v="0"/>
    <x v="2"/>
    <x v="40"/>
    <d v="2022-10-13T00:00:00"/>
    <n v="154186"/>
    <n v="0.26"/>
    <x v="0"/>
    <x v="4"/>
  </r>
  <r>
    <s v="E02517"/>
    <x v="514"/>
    <s v="Operations Engineer"/>
    <x v="0"/>
    <x v="2"/>
    <x v="0"/>
    <x v="0"/>
    <x v="16"/>
    <d v="2003-06-24T00:00:00"/>
    <n v="107586"/>
    <n v="0"/>
    <x v="1"/>
    <x v="2"/>
  </r>
  <r>
    <s v="E02518"/>
    <x v="515"/>
    <s v="Network Architect"/>
    <x v="2"/>
    <x v="2"/>
    <x v="1"/>
    <x v="1"/>
    <x v="24"/>
    <d v="2003-10-28T00:00:00"/>
    <n v="88906"/>
    <n v="0"/>
    <x v="0"/>
    <x v="5"/>
  </r>
  <r>
    <s v="E02519"/>
    <x v="516"/>
    <s v="Field Engineer"/>
    <x v="0"/>
    <x v="0"/>
    <x v="1"/>
    <x v="2"/>
    <x v="35"/>
    <d v="2018-05-09T00:00:00"/>
    <n v="74329"/>
    <n v="0"/>
    <x v="0"/>
    <x v="1"/>
  </r>
  <r>
    <s v="E02520"/>
    <x v="517"/>
    <s v="Network Engineer"/>
    <x v="2"/>
    <x v="0"/>
    <x v="0"/>
    <x v="2"/>
    <x v="23"/>
    <d v="2021-04-15T00:00:00"/>
    <n v="86523"/>
    <n v="0"/>
    <x v="0"/>
    <x v="0"/>
  </r>
  <r>
    <s v="E02521"/>
    <x v="518"/>
    <s v="Vice President"/>
    <x v="2"/>
    <x v="0"/>
    <x v="0"/>
    <x v="1"/>
    <x v="29"/>
    <d v="2014-11-05T00:00:00"/>
    <n v="239868"/>
    <n v="0.4"/>
    <x v="0"/>
    <x v="8"/>
  </r>
  <r>
    <s v="E02522"/>
    <x v="519"/>
    <s v="Analyst II"/>
    <x v="4"/>
    <x v="3"/>
    <x v="1"/>
    <x v="1"/>
    <x v="13"/>
    <d v="2018-05-21T00:00:00"/>
    <n v="65010"/>
    <n v="0"/>
    <x v="0"/>
    <x v="3"/>
  </r>
  <r>
    <s v="E02523"/>
    <x v="520"/>
    <s v="Network Administrator"/>
    <x v="2"/>
    <x v="1"/>
    <x v="1"/>
    <x v="2"/>
    <x v="40"/>
    <d v="2021-02-23T00:00:00"/>
    <n v="82140"/>
    <n v="0"/>
    <x v="0"/>
    <x v="8"/>
  </r>
  <r>
    <s v="E02524"/>
    <x v="521"/>
    <s v="Solutions Architect"/>
    <x v="2"/>
    <x v="0"/>
    <x v="0"/>
    <x v="1"/>
    <x v="2"/>
    <d v="2016-06-11T00:00:00"/>
    <n v="75511"/>
    <n v="0"/>
    <x v="2"/>
    <x v="12"/>
  </r>
  <r>
    <s v="E02525"/>
    <x v="522"/>
    <s v="Vice President"/>
    <x v="2"/>
    <x v="2"/>
    <x v="1"/>
    <x v="3"/>
    <x v="22"/>
    <d v="2022-05-06T00:00:00"/>
    <n v="188880"/>
    <n v="0.36"/>
    <x v="0"/>
    <x v="5"/>
  </r>
  <r>
    <s v="E02526"/>
    <x v="523"/>
    <s v="Sr. Account Representative"/>
    <x v="1"/>
    <x v="0"/>
    <x v="0"/>
    <x v="1"/>
    <x v="3"/>
    <d v="2017-11-19T00:00:00"/>
    <n v="87155"/>
    <n v="0"/>
    <x v="0"/>
    <x v="1"/>
  </r>
  <r>
    <s v="E02527"/>
    <x v="524"/>
    <s v="Enterprise Architect"/>
    <x v="2"/>
    <x v="2"/>
    <x v="1"/>
    <x v="2"/>
    <x v="2"/>
    <d v="2018-10-28T00:00:00"/>
    <n v="75518"/>
    <n v="0"/>
    <x v="0"/>
    <x v="3"/>
  </r>
  <r>
    <s v="E02528"/>
    <x v="525"/>
    <s v="Sr. Manager"/>
    <x v="2"/>
    <x v="2"/>
    <x v="0"/>
    <x v="1"/>
    <x v="24"/>
    <d v="1997-09-28T00:00:00"/>
    <n v="129311"/>
    <n v="0.13"/>
    <x v="2"/>
    <x v="12"/>
  </r>
  <r>
    <s v="E02529"/>
    <x v="526"/>
    <s v="Analyst"/>
    <x v="1"/>
    <x v="0"/>
    <x v="0"/>
    <x v="2"/>
    <x v="27"/>
    <d v="2022-07-12T00:00:00"/>
    <n v="56919"/>
    <n v="0"/>
    <x v="0"/>
    <x v="8"/>
  </r>
  <r>
    <s v="E02530"/>
    <x v="527"/>
    <s v="Sr. Manager"/>
    <x v="4"/>
    <x v="0"/>
    <x v="1"/>
    <x v="2"/>
    <x v="22"/>
    <d v="2020-11-15T00:00:00"/>
    <n v="153832"/>
    <n v="0.14000000000000001"/>
    <x v="0"/>
    <x v="5"/>
  </r>
  <r>
    <s v="E02531"/>
    <x v="528"/>
    <s v="Vice President"/>
    <x v="0"/>
    <x v="3"/>
    <x v="1"/>
    <x v="2"/>
    <x v="22"/>
    <d v="2022-08-05T00:00:00"/>
    <n v="211121"/>
    <n v="0.35"/>
    <x v="0"/>
    <x v="5"/>
  </r>
  <r>
    <s v="E02532"/>
    <x v="529"/>
    <s v="Manager"/>
    <x v="1"/>
    <x v="1"/>
    <x v="1"/>
    <x v="1"/>
    <x v="13"/>
    <d v="2019-07-02T00:00:00"/>
    <n v="106456"/>
    <n v="0.1"/>
    <x v="0"/>
    <x v="0"/>
  </r>
  <r>
    <s v="E02533"/>
    <x v="530"/>
    <s v="Network Architect"/>
    <x v="2"/>
    <x v="1"/>
    <x v="0"/>
    <x v="1"/>
    <x v="18"/>
    <d v="1997-07-15T00:00:00"/>
    <n v="72772"/>
    <n v="0"/>
    <x v="2"/>
    <x v="12"/>
  </r>
  <r>
    <s v="E02534"/>
    <x v="531"/>
    <s v="Sr. Manager"/>
    <x v="3"/>
    <x v="2"/>
    <x v="0"/>
    <x v="1"/>
    <x v="10"/>
    <d v="2001-08-10T00:00:00"/>
    <n v="143146"/>
    <n v="0.14000000000000001"/>
    <x v="0"/>
    <x v="1"/>
  </r>
  <r>
    <s v="E02535"/>
    <x v="532"/>
    <s v="Analyst II"/>
    <x v="5"/>
    <x v="0"/>
    <x v="1"/>
    <x v="0"/>
    <x v="10"/>
    <d v="2018-12-24T00:00:00"/>
    <n v="74776"/>
    <n v="0"/>
    <x v="0"/>
    <x v="3"/>
  </r>
  <r>
    <s v="E02536"/>
    <x v="533"/>
    <s v="Sr. Account Representative"/>
    <x v="1"/>
    <x v="3"/>
    <x v="0"/>
    <x v="1"/>
    <x v="31"/>
    <d v="2021-09-13T00:00:00"/>
    <n v="92305"/>
    <n v="0"/>
    <x v="0"/>
    <x v="1"/>
  </r>
  <r>
    <s v="E02537"/>
    <x v="534"/>
    <s v="IT Systems Architect"/>
    <x v="2"/>
    <x v="0"/>
    <x v="0"/>
    <x v="1"/>
    <x v="36"/>
    <d v="2005-04-01T00:00:00"/>
    <n v="94724"/>
    <n v="0"/>
    <x v="0"/>
    <x v="1"/>
  </r>
  <r>
    <s v="E02538"/>
    <x v="535"/>
    <s v="Technical Architect"/>
    <x v="2"/>
    <x v="3"/>
    <x v="0"/>
    <x v="0"/>
    <x v="1"/>
    <d v="1995-11-13T00:00:00"/>
    <n v="88019"/>
    <n v="0"/>
    <x v="0"/>
    <x v="4"/>
  </r>
  <r>
    <s v="E02539"/>
    <x v="536"/>
    <s v="Manager"/>
    <x v="6"/>
    <x v="1"/>
    <x v="0"/>
    <x v="3"/>
    <x v="14"/>
    <d v="2016-09-19T00:00:00"/>
    <n v="108000"/>
    <n v="0.1"/>
    <x v="0"/>
    <x v="0"/>
  </r>
  <r>
    <s v="E02540"/>
    <x v="537"/>
    <s v="Network Architect"/>
    <x v="2"/>
    <x v="1"/>
    <x v="0"/>
    <x v="0"/>
    <x v="7"/>
    <d v="2018-07-27T00:00:00"/>
    <n v="81438"/>
    <n v="0"/>
    <x v="1"/>
    <x v="9"/>
  </r>
  <r>
    <s v="E02541"/>
    <x v="538"/>
    <s v="Computer Systems Manager"/>
    <x v="2"/>
    <x v="1"/>
    <x v="0"/>
    <x v="0"/>
    <x v="20"/>
    <d v="2018-05-23T00:00:00"/>
    <n v="95669"/>
    <n v="0.1"/>
    <x v="1"/>
    <x v="2"/>
  </r>
  <r>
    <s v="E02542"/>
    <x v="539"/>
    <s v="Vice President"/>
    <x v="3"/>
    <x v="3"/>
    <x v="0"/>
    <x v="2"/>
    <x v="14"/>
    <d v="2016-02-15T00:00:00"/>
    <n v="180385"/>
    <n v="0.33"/>
    <x v="0"/>
    <x v="0"/>
  </r>
  <r>
    <s v="E02543"/>
    <x v="540"/>
    <s v="IT Coordinator"/>
    <x v="2"/>
    <x v="2"/>
    <x v="0"/>
    <x v="1"/>
    <x v="11"/>
    <d v="2016-01-30T00:00:00"/>
    <n v="45184"/>
    <n v="0"/>
    <x v="2"/>
    <x v="11"/>
  </r>
  <r>
    <s v="E02544"/>
    <x v="541"/>
    <s v="Development Engineer"/>
    <x v="0"/>
    <x v="2"/>
    <x v="0"/>
    <x v="2"/>
    <x v="17"/>
    <d v="2007-08-08T00:00:00"/>
    <n v="70451"/>
    <n v="0"/>
    <x v="0"/>
    <x v="3"/>
  </r>
  <r>
    <s v="E02545"/>
    <x v="542"/>
    <s v="Technical Architect"/>
    <x v="2"/>
    <x v="3"/>
    <x v="1"/>
    <x v="0"/>
    <x v="3"/>
    <d v="2009-04-05T00:00:00"/>
    <n v="63259"/>
    <n v="0"/>
    <x v="0"/>
    <x v="1"/>
  </r>
  <r>
    <s v="E02546"/>
    <x v="543"/>
    <s v="Analyst II"/>
    <x v="3"/>
    <x v="1"/>
    <x v="1"/>
    <x v="2"/>
    <x v="36"/>
    <d v="2001-03-01T00:00:00"/>
    <n v="73778"/>
    <n v="0"/>
    <x v="0"/>
    <x v="8"/>
  </r>
  <r>
    <s v="E02547"/>
    <x v="544"/>
    <s v="Sr. Manager"/>
    <x v="1"/>
    <x v="2"/>
    <x v="0"/>
    <x v="0"/>
    <x v="10"/>
    <d v="2009-03-03T00:00:00"/>
    <n v="126697"/>
    <n v="0.13"/>
    <x v="1"/>
    <x v="9"/>
  </r>
  <r>
    <s v="E02548"/>
    <x v="545"/>
    <s v="System Administrator "/>
    <x v="2"/>
    <x v="3"/>
    <x v="1"/>
    <x v="1"/>
    <x v="9"/>
    <d v="2008-05-19T00:00:00"/>
    <n v="75396"/>
    <n v="0"/>
    <x v="2"/>
    <x v="10"/>
  </r>
  <r>
    <s v="E02549"/>
    <x v="546"/>
    <s v="Director"/>
    <x v="6"/>
    <x v="1"/>
    <x v="1"/>
    <x v="1"/>
    <x v="3"/>
    <d v="2014-09-24T00:00:00"/>
    <n v="182595"/>
    <n v="0.28999999999999998"/>
    <x v="2"/>
    <x v="10"/>
  </r>
  <r>
    <s v="E02550"/>
    <x v="547"/>
    <s v="Analyst"/>
    <x v="4"/>
    <x v="1"/>
    <x v="0"/>
    <x v="0"/>
    <x v="23"/>
    <d v="2015-01-29T00:00:00"/>
    <n v="45424"/>
    <n v="0"/>
    <x v="0"/>
    <x v="4"/>
  </r>
  <r>
    <s v="E02551"/>
    <x v="548"/>
    <s v="Analyst II"/>
    <x v="4"/>
    <x v="0"/>
    <x v="0"/>
    <x v="0"/>
    <x v="10"/>
    <d v="2012-12-03T00:00:00"/>
    <n v="70661"/>
    <n v="0"/>
    <x v="1"/>
    <x v="6"/>
  </r>
  <r>
    <s v="E02552"/>
    <x v="549"/>
    <s v="IT Coordinator"/>
    <x v="2"/>
    <x v="2"/>
    <x v="0"/>
    <x v="0"/>
    <x v="20"/>
    <d v="2018-11-16T00:00:00"/>
    <n v="57166"/>
    <n v="0"/>
    <x v="1"/>
    <x v="2"/>
  </r>
  <r>
    <s v="E02553"/>
    <x v="550"/>
    <s v="Operations Engineer"/>
    <x v="0"/>
    <x v="1"/>
    <x v="1"/>
    <x v="2"/>
    <x v="36"/>
    <d v="2017-02-15T00:00:00"/>
    <n v="101637"/>
    <n v="0"/>
    <x v="0"/>
    <x v="1"/>
  </r>
  <r>
    <s v="E02554"/>
    <x v="551"/>
    <s v="Manager"/>
    <x v="5"/>
    <x v="3"/>
    <x v="1"/>
    <x v="1"/>
    <x v="37"/>
    <d v="2017-12-28T00:00:00"/>
    <n v="103646"/>
    <n v="7.0000000000000007E-2"/>
    <x v="0"/>
    <x v="5"/>
  </r>
  <r>
    <s v="E02555"/>
    <x v="552"/>
    <s v="Automation Engineer"/>
    <x v="0"/>
    <x v="0"/>
    <x v="0"/>
    <x v="2"/>
    <x v="30"/>
    <d v="2010-02-21T00:00:00"/>
    <n v="100757"/>
    <n v="0"/>
    <x v="0"/>
    <x v="1"/>
  </r>
  <r>
    <s v="E02556"/>
    <x v="553"/>
    <s v="Network Administrator"/>
    <x v="2"/>
    <x v="3"/>
    <x v="0"/>
    <x v="2"/>
    <x v="0"/>
    <d v="2008-10-04T00:00:00"/>
    <n v="60963"/>
    <n v="0"/>
    <x v="0"/>
    <x v="3"/>
  </r>
  <r>
    <s v="E02557"/>
    <x v="554"/>
    <s v="Vice President"/>
    <x v="0"/>
    <x v="0"/>
    <x v="0"/>
    <x v="2"/>
    <x v="32"/>
    <d v="2011-08-26T00:00:00"/>
    <n v="258734"/>
    <n v="0.34"/>
    <x v="0"/>
    <x v="3"/>
  </r>
  <r>
    <s v="E02558"/>
    <x v="555"/>
    <s v="Cloud Infrastructure Architect"/>
    <x v="2"/>
    <x v="3"/>
    <x v="0"/>
    <x v="0"/>
    <x v="6"/>
    <d v="2021-09-23T00:00:00"/>
    <n v="70612"/>
    <n v="0"/>
    <x v="1"/>
    <x v="6"/>
  </r>
  <r>
    <s v="E02559"/>
    <x v="556"/>
    <s v="Service Desk Analyst"/>
    <x v="2"/>
    <x v="2"/>
    <x v="0"/>
    <x v="0"/>
    <x v="28"/>
    <d v="1993-06-27T00:00:00"/>
    <n v="77065"/>
    <n v="0"/>
    <x v="0"/>
    <x v="3"/>
  </r>
  <r>
    <s v="E02560"/>
    <x v="557"/>
    <s v="Development Engineer"/>
    <x v="0"/>
    <x v="3"/>
    <x v="1"/>
    <x v="1"/>
    <x v="1"/>
    <d v="2007-10-31T00:00:00"/>
    <n v="96256"/>
    <n v="0"/>
    <x v="0"/>
    <x v="1"/>
  </r>
  <r>
    <s v="E02561"/>
    <x v="558"/>
    <s v="Analyst II"/>
    <x v="3"/>
    <x v="0"/>
    <x v="1"/>
    <x v="0"/>
    <x v="11"/>
    <d v="2011-05-13T00:00:00"/>
    <n v="65794"/>
    <n v="0"/>
    <x v="0"/>
    <x v="4"/>
  </r>
  <r>
    <s v="E02562"/>
    <x v="559"/>
    <s v="Analyst"/>
    <x v="3"/>
    <x v="2"/>
    <x v="1"/>
    <x v="0"/>
    <x v="10"/>
    <d v="2015-08-23T00:00:00"/>
    <n v="48491"/>
    <n v="0"/>
    <x v="0"/>
    <x v="4"/>
  </r>
  <r>
    <s v="E02563"/>
    <x v="560"/>
    <s v="Operations Engineer"/>
    <x v="0"/>
    <x v="2"/>
    <x v="0"/>
    <x v="1"/>
    <x v="2"/>
    <d v="2019-08-07T00:00:00"/>
    <n v="83220"/>
    <n v="0"/>
    <x v="0"/>
    <x v="1"/>
  </r>
  <r>
    <s v="E02564"/>
    <x v="561"/>
    <s v="HRIS Analyst"/>
    <x v="6"/>
    <x v="2"/>
    <x v="1"/>
    <x v="0"/>
    <x v="33"/>
    <d v="2010-03-04T00:00:00"/>
    <n v="61680"/>
    <n v="0"/>
    <x v="1"/>
    <x v="9"/>
  </r>
  <r>
    <s v="E02565"/>
    <x v="562"/>
    <s v="Sr. Analyst"/>
    <x v="1"/>
    <x v="0"/>
    <x v="0"/>
    <x v="0"/>
    <x v="14"/>
    <d v="2021-10-09T00:00:00"/>
    <n v="72482"/>
    <n v="0"/>
    <x v="0"/>
    <x v="1"/>
  </r>
  <r>
    <s v="E02566"/>
    <x v="563"/>
    <s v="Development Engineer"/>
    <x v="0"/>
    <x v="2"/>
    <x v="0"/>
    <x v="1"/>
    <x v="27"/>
    <d v="2022-02-07T00:00:00"/>
    <n v="81713"/>
    <n v="0"/>
    <x v="2"/>
    <x v="10"/>
  </r>
  <r>
    <s v="E02567"/>
    <x v="564"/>
    <s v="Analyst II"/>
    <x v="1"/>
    <x v="0"/>
    <x v="0"/>
    <x v="1"/>
    <x v="6"/>
    <d v="2021-12-04T00:00:00"/>
    <n v="68281"/>
    <n v="0"/>
    <x v="0"/>
    <x v="8"/>
  </r>
  <r>
    <s v="E02568"/>
    <x v="565"/>
    <s v="Cloud Infrastructure Architect"/>
    <x v="2"/>
    <x v="1"/>
    <x v="1"/>
    <x v="2"/>
    <x v="29"/>
    <d v="1993-09-10T00:00:00"/>
    <n v="63979"/>
    <n v="0"/>
    <x v="0"/>
    <x v="8"/>
  </r>
  <r>
    <s v="E02569"/>
    <x v="566"/>
    <s v="Business Partner"/>
    <x v="6"/>
    <x v="1"/>
    <x v="0"/>
    <x v="0"/>
    <x v="13"/>
    <d v="2017-11-19T00:00:00"/>
    <n v="53090"/>
    <n v="0"/>
    <x v="0"/>
    <x v="8"/>
  </r>
  <r>
    <s v="E02570"/>
    <x v="567"/>
    <s v="Manager"/>
    <x v="1"/>
    <x v="3"/>
    <x v="0"/>
    <x v="1"/>
    <x v="8"/>
    <d v="1997-09-15T00:00:00"/>
    <n v="108325"/>
    <n v="0.1"/>
    <x v="2"/>
    <x v="12"/>
  </r>
  <r>
    <s v="E02571"/>
    <x v="568"/>
    <s v="Sr. Analyst"/>
    <x v="5"/>
    <x v="1"/>
    <x v="0"/>
    <x v="3"/>
    <x v="10"/>
    <d v="2018-01-07T00:00:00"/>
    <n v="98289"/>
    <n v="0"/>
    <x v="0"/>
    <x v="0"/>
  </r>
  <r>
    <s v="E02572"/>
    <x v="569"/>
    <s v="IT Coordinator"/>
    <x v="2"/>
    <x v="3"/>
    <x v="0"/>
    <x v="2"/>
    <x v="38"/>
    <d v="2004-02-22T00:00:00"/>
    <n v="41275"/>
    <n v="0"/>
    <x v="0"/>
    <x v="4"/>
  </r>
  <r>
    <s v="E02573"/>
    <x v="570"/>
    <s v="Sr. Analyst"/>
    <x v="4"/>
    <x v="3"/>
    <x v="0"/>
    <x v="2"/>
    <x v="30"/>
    <d v="2012-02-06T00:00:00"/>
    <n v="93642"/>
    <n v="0"/>
    <x v="0"/>
    <x v="0"/>
  </r>
  <r>
    <s v="E02574"/>
    <x v="571"/>
    <s v="Director"/>
    <x v="6"/>
    <x v="2"/>
    <x v="0"/>
    <x v="0"/>
    <x v="11"/>
    <d v="2010-10-25T00:00:00"/>
    <n v="162957"/>
    <n v="0.18"/>
    <x v="1"/>
    <x v="6"/>
  </r>
  <r>
    <s v="E02575"/>
    <x v="572"/>
    <s v="Sr. Analyst"/>
    <x v="3"/>
    <x v="0"/>
    <x v="0"/>
    <x v="1"/>
    <x v="10"/>
    <d v="2022-04-10T00:00:00"/>
    <n v="96029"/>
    <n v="0"/>
    <x v="2"/>
    <x v="10"/>
  </r>
  <r>
    <s v="E02576"/>
    <x v="573"/>
    <s v="Vice President"/>
    <x v="6"/>
    <x v="2"/>
    <x v="0"/>
    <x v="1"/>
    <x v="17"/>
    <d v="1999-03-01T00:00:00"/>
    <n v="227148"/>
    <n v="0.33"/>
    <x v="2"/>
    <x v="11"/>
  </r>
  <r>
    <s v="E02577"/>
    <x v="574"/>
    <s v="Cloud Infrastructure Architect"/>
    <x v="2"/>
    <x v="3"/>
    <x v="0"/>
    <x v="2"/>
    <x v="14"/>
    <d v="2008-09-17T00:00:00"/>
    <n v="76819"/>
    <n v="0"/>
    <x v="0"/>
    <x v="5"/>
  </r>
  <r>
    <s v="E02578"/>
    <x v="575"/>
    <s v="Analyst II"/>
    <x v="1"/>
    <x v="3"/>
    <x v="0"/>
    <x v="0"/>
    <x v="37"/>
    <d v="2022-09-01T00:00:00"/>
    <n v="66892"/>
    <n v="0"/>
    <x v="0"/>
    <x v="3"/>
  </r>
  <r>
    <s v="E02579"/>
    <x v="576"/>
    <s v="Vice President"/>
    <x v="5"/>
    <x v="0"/>
    <x v="1"/>
    <x v="2"/>
    <x v="16"/>
    <d v="1999-06-24T00:00:00"/>
    <n v="256084"/>
    <n v="0.34"/>
    <x v="0"/>
    <x v="0"/>
  </r>
  <r>
    <s v="E02580"/>
    <x v="577"/>
    <s v="Sr. Analyst"/>
    <x v="5"/>
    <x v="3"/>
    <x v="1"/>
    <x v="3"/>
    <x v="29"/>
    <d v="2005-03-19T00:00:00"/>
    <n v="85669"/>
    <n v="0"/>
    <x v="0"/>
    <x v="5"/>
  </r>
  <r>
    <s v="E02581"/>
    <x v="578"/>
    <s v="IT Coordinator"/>
    <x v="2"/>
    <x v="2"/>
    <x v="0"/>
    <x v="0"/>
    <x v="37"/>
    <d v="2021-09-09T00:00:00"/>
    <n v="44454"/>
    <n v="0"/>
    <x v="1"/>
    <x v="9"/>
  </r>
  <r>
    <s v="E02582"/>
    <x v="579"/>
    <s v="IT Coordinator"/>
    <x v="2"/>
    <x v="3"/>
    <x v="0"/>
    <x v="2"/>
    <x v="40"/>
    <d v="2021-04-13T00:00:00"/>
    <n v="54353"/>
    <n v="0"/>
    <x v="0"/>
    <x v="1"/>
  </r>
  <r>
    <s v="E02583"/>
    <x v="580"/>
    <s v="Analyst II"/>
    <x v="1"/>
    <x v="3"/>
    <x v="0"/>
    <x v="1"/>
    <x v="1"/>
    <d v="2014-11-27T00:00:00"/>
    <n v="58867"/>
    <n v="0"/>
    <x v="2"/>
    <x v="10"/>
  </r>
  <r>
    <s v="E02584"/>
    <x v="581"/>
    <s v="Manager"/>
    <x v="6"/>
    <x v="1"/>
    <x v="0"/>
    <x v="1"/>
    <x v="33"/>
    <d v="2022-03-21T00:00:00"/>
    <n v="123918"/>
    <n v="0.08"/>
    <x v="2"/>
    <x v="10"/>
  </r>
  <r>
    <s v="E02585"/>
    <x v="582"/>
    <s v="IT Coordinator"/>
    <x v="2"/>
    <x v="2"/>
    <x v="0"/>
    <x v="0"/>
    <x v="38"/>
    <d v="2010-05-07T00:00:00"/>
    <n v="56680"/>
    <n v="0"/>
    <x v="0"/>
    <x v="1"/>
  </r>
  <r>
    <s v="E02586"/>
    <x v="583"/>
    <s v="Business Partner"/>
    <x v="6"/>
    <x v="2"/>
    <x v="1"/>
    <x v="1"/>
    <x v="32"/>
    <d v="2019-10-09T00:00:00"/>
    <n v="55206"/>
    <n v="0"/>
    <x v="0"/>
    <x v="8"/>
  </r>
  <r>
    <s v="E02587"/>
    <x v="584"/>
    <s v="Director"/>
    <x v="1"/>
    <x v="3"/>
    <x v="1"/>
    <x v="0"/>
    <x v="1"/>
    <d v="2010-01-13T00:00:00"/>
    <n v="150633"/>
    <n v="0.19"/>
    <x v="0"/>
    <x v="5"/>
  </r>
  <r>
    <s v="E02588"/>
    <x v="585"/>
    <s v="Network Administrator"/>
    <x v="2"/>
    <x v="3"/>
    <x v="0"/>
    <x v="2"/>
    <x v="28"/>
    <d v="2020-01-26T00:00:00"/>
    <n v="97379"/>
    <n v="0"/>
    <x v="0"/>
    <x v="3"/>
  </r>
  <r>
    <s v="E02589"/>
    <x v="586"/>
    <s v="Director"/>
    <x v="3"/>
    <x v="2"/>
    <x v="0"/>
    <x v="0"/>
    <x v="39"/>
    <d v="2000-03-29T00:00:00"/>
    <n v="178447"/>
    <n v="0.22"/>
    <x v="1"/>
    <x v="7"/>
  </r>
  <r>
    <s v="E02590"/>
    <x v="587"/>
    <s v="Network Administrator"/>
    <x v="2"/>
    <x v="0"/>
    <x v="0"/>
    <x v="1"/>
    <x v="15"/>
    <d v="2021-06-13T00:00:00"/>
    <n v="60827"/>
    <n v="0"/>
    <x v="0"/>
    <x v="5"/>
  </r>
  <r>
    <s v="E02591"/>
    <x v="588"/>
    <s v="Engineering Manager"/>
    <x v="0"/>
    <x v="0"/>
    <x v="0"/>
    <x v="0"/>
    <x v="23"/>
    <d v="2019-04-28T00:00:00"/>
    <n v="96951"/>
    <n v="0.13"/>
    <x v="1"/>
    <x v="7"/>
  </r>
  <r>
    <s v="E02592"/>
    <x v="589"/>
    <s v="Manager"/>
    <x v="3"/>
    <x v="3"/>
    <x v="0"/>
    <x v="2"/>
    <x v="16"/>
    <d v="2001-01-06T00:00:00"/>
    <n v="103051"/>
    <n v="0.09"/>
    <x v="0"/>
    <x v="5"/>
  </r>
  <r>
    <s v="E02593"/>
    <x v="590"/>
    <s v="Vice President"/>
    <x v="2"/>
    <x v="3"/>
    <x v="1"/>
    <x v="0"/>
    <x v="17"/>
    <d v="2001-10-27T00:00:00"/>
    <n v="256592"/>
    <n v="0.3"/>
    <x v="1"/>
    <x v="9"/>
  </r>
  <r>
    <s v="E02594"/>
    <x v="591"/>
    <s v="Development Engineer"/>
    <x v="0"/>
    <x v="3"/>
    <x v="1"/>
    <x v="2"/>
    <x v="7"/>
    <d v="2017-07-07T00:00:00"/>
    <n v="79323"/>
    <n v="0"/>
    <x v="0"/>
    <x v="1"/>
  </r>
  <r>
    <s v="E02595"/>
    <x v="592"/>
    <s v="Development Engineer"/>
    <x v="0"/>
    <x v="2"/>
    <x v="1"/>
    <x v="1"/>
    <x v="27"/>
    <d v="2021-07-12T00:00:00"/>
    <n v="75583"/>
    <n v="0"/>
    <x v="2"/>
    <x v="12"/>
  </r>
  <r>
    <s v="E02596"/>
    <x v="593"/>
    <s v="Account Representative"/>
    <x v="1"/>
    <x v="3"/>
    <x v="1"/>
    <x v="2"/>
    <x v="11"/>
    <d v="2012-09-08T00:00:00"/>
    <n v="73646"/>
    <n v="0"/>
    <x v="0"/>
    <x v="4"/>
  </r>
  <r>
    <s v="E02597"/>
    <x v="594"/>
    <s v="Solutions Architect"/>
    <x v="2"/>
    <x v="3"/>
    <x v="0"/>
    <x v="2"/>
    <x v="11"/>
    <d v="2022-08-07T00:00:00"/>
    <n v="64937"/>
    <n v="0"/>
    <x v="0"/>
    <x v="8"/>
  </r>
  <r>
    <s v="E02598"/>
    <x v="595"/>
    <s v="Manager"/>
    <x v="1"/>
    <x v="0"/>
    <x v="0"/>
    <x v="1"/>
    <x v="4"/>
    <d v="2019-06-11T00:00:00"/>
    <n v="112146"/>
    <n v="0.06"/>
    <x v="0"/>
    <x v="8"/>
  </r>
  <r>
    <s v="E02599"/>
    <x v="596"/>
    <s v="Sr. Analyst"/>
    <x v="5"/>
    <x v="2"/>
    <x v="0"/>
    <x v="2"/>
    <x v="16"/>
    <d v="2018-12-16T00:00:00"/>
    <n v="83332"/>
    <n v="0"/>
    <x v="0"/>
    <x v="4"/>
  </r>
  <r>
    <s v="E02600"/>
    <x v="597"/>
    <s v="Computer Systems Manager"/>
    <x v="2"/>
    <x v="3"/>
    <x v="1"/>
    <x v="0"/>
    <x v="4"/>
    <d v="2008-04-11T00:00:00"/>
    <n v="66248"/>
    <n v="7.0000000000000007E-2"/>
    <x v="1"/>
    <x v="6"/>
  </r>
  <r>
    <s v="E02601"/>
    <x v="598"/>
    <s v="Sr. Manager"/>
    <x v="6"/>
    <x v="2"/>
    <x v="0"/>
    <x v="0"/>
    <x v="33"/>
    <d v="2019-08-22T00:00:00"/>
    <n v="127238"/>
    <n v="0.15"/>
    <x v="1"/>
    <x v="2"/>
  </r>
  <r>
    <s v="E02602"/>
    <x v="599"/>
    <s v="Network Architect"/>
    <x v="2"/>
    <x v="3"/>
    <x v="1"/>
    <x v="0"/>
    <x v="17"/>
    <d v="2012-05-23T00:00:00"/>
    <n v="87857"/>
    <n v="0"/>
    <x v="0"/>
    <x v="4"/>
  </r>
  <r>
    <s v="E02603"/>
    <x v="600"/>
    <s v="HRIS Analyst"/>
    <x v="6"/>
    <x v="3"/>
    <x v="1"/>
    <x v="0"/>
    <x v="5"/>
    <d v="1999-08-20T00:00:00"/>
    <n v="51454"/>
    <n v="0"/>
    <x v="0"/>
    <x v="3"/>
  </r>
  <r>
    <s v="E02604"/>
    <x v="601"/>
    <s v="Sr. Manager"/>
    <x v="3"/>
    <x v="3"/>
    <x v="1"/>
    <x v="1"/>
    <x v="13"/>
    <d v="2020-09-13T00:00:00"/>
    <n v="128066"/>
    <n v="0.11"/>
    <x v="0"/>
    <x v="3"/>
  </r>
  <r>
    <s v="E02605"/>
    <x v="602"/>
    <s v="Sr. Manager"/>
    <x v="6"/>
    <x v="1"/>
    <x v="1"/>
    <x v="1"/>
    <x v="13"/>
    <d v="2018-09-28T00:00:00"/>
    <n v="130790"/>
    <n v="0.1"/>
    <x v="2"/>
    <x v="10"/>
  </r>
  <r>
    <s v="E02606"/>
    <x v="603"/>
    <s v="Vice President"/>
    <x v="6"/>
    <x v="0"/>
    <x v="1"/>
    <x v="1"/>
    <x v="10"/>
    <d v="2004-05-17T00:00:00"/>
    <n v="233342"/>
    <n v="0.37"/>
    <x v="0"/>
    <x v="4"/>
  </r>
  <r>
    <s v="E02607"/>
    <x v="604"/>
    <s v="Analyst"/>
    <x v="5"/>
    <x v="0"/>
    <x v="0"/>
    <x v="2"/>
    <x v="39"/>
    <d v="2009-10-04T00:00:00"/>
    <n v="54155"/>
    <n v="0"/>
    <x v="0"/>
    <x v="4"/>
  </r>
  <r>
    <s v="E02608"/>
    <x v="605"/>
    <s v="Vice President"/>
    <x v="5"/>
    <x v="0"/>
    <x v="0"/>
    <x v="0"/>
    <x v="15"/>
    <d v="2019-09-06T00:00:00"/>
    <n v="189403"/>
    <n v="0.36"/>
    <x v="1"/>
    <x v="2"/>
  </r>
  <r>
    <s v="E02609"/>
    <x v="606"/>
    <s v="Sr. Analyst"/>
    <x v="3"/>
    <x v="0"/>
    <x v="1"/>
    <x v="0"/>
    <x v="15"/>
    <d v="2018-05-18T00:00:00"/>
    <n v="78732"/>
    <n v="0"/>
    <x v="1"/>
    <x v="2"/>
  </r>
  <r>
    <s v="E02610"/>
    <x v="607"/>
    <s v="Analyst"/>
    <x v="3"/>
    <x v="0"/>
    <x v="0"/>
    <x v="2"/>
    <x v="0"/>
    <d v="2015-04-28T00:00:00"/>
    <n v="55401"/>
    <n v="0"/>
    <x v="0"/>
    <x v="0"/>
  </r>
  <r>
    <s v="E02611"/>
    <x v="608"/>
    <s v="System Administrator "/>
    <x v="2"/>
    <x v="0"/>
    <x v="0"/>
    <x v="1"/>
    <x v="29"/>
    <d v="2006-07-12T00:00:00"/>
    <n v="82343"/>
    <n v="0"/>
    <x v="0"/>
    <x v="4"/>
  </r>
  <r>
    <s v="E02612"/>
    <x v="609"/>
    <s v="Quality Engineer"/>
    <x v="0"/>
    <x v="2"/>
    <x v="0"/>
    <x v="1"/>
    <x v="4"/>
    <d v="2017-03-16T00:00:00"/>
    <n v="66226"/>
    <n v="0"/>
    <x v="2"/>
    <x v="11"/>
  </r>
  <r>
    <s v="E02613"/>
    <x v="610"/>
    <s v="Vice President"/>
    <x v="2"/>
    <x v="0"/>
    <x v="1"/>
    <x v="0"/>
    <x v="22"/>
    <d v="2021-12-03T00:00:00"/>
    <n v="193435"/>
    <n v="0.31"/>
    <x v="0"/>
    <x v="1"/>
  </r>
  <r>
    <s v="E02614"/>
    <x v="611"/>
    <s v="Manager"/>
    <x v="4"/>
    <x v="1"/>
    <x v="0"/>
    <x v="2"/>
    <x v="39"/>
    <d v="2011-04-18T00:00:00"/>
    <n v="114241"/>
    <n v="0.1"/>
    <x v="0"/>
    <x v="8"/>
  </r>
  <r>
    <s v="E02615"/>
    <x v="612"/>
    <s v="Director"/>
    <x v="0"/>
    <x v="2"/>
    <x v="1"/>
    <x v="1"/>
    <x v="40"/>
    <d v="2022-11-11T00:00:00"/>
    <n v="177264"/>
    <n v="0.16"/>
    <x v="2"/>
    <x v="12"/>
  </r>
  <r>
    <s v="E02616"/>
    <x v="613"/>
    <s v="Business Partner"/>
    <x v="6"/>
    <x v="1"/>
    <x v="0"/>
    <x v="0"/>
    <x v="32"/>
    <d v="2016-04-12T00:00:00"/>
    <n v="58010"/>
    <n v="0"/>
    <x v="0"/>
    <x v="3"/>
  </r>
  <r>
    <s v="E02617"/>
    <x v="614"/>
    <s v="Director"/>
    <x v="2"/>
    <x v="3"/>
    <x v="0"/>
    <x v="3"/>
    <x v="14"/>
    <d v="2003-03-15T00:00:00"/>
    <n v="154284"/>
    <n v="0.25"/>
    <x v="0"/>
    <x v="1"/>
  </r>
  <r>
    <s v="E02618"/>
    <x v="615"/>
    <s v="Analyst"/>
    <x v="3"/>
    <x v="1"/>
    <x v="1"/>
    <x v="2"/>
    <x v="8"/>
    <d v="2002-02-18T00:00:00"/>
    <n v="54633"/>
    <n v="0"/>
    <x v="0"/>
    <x v="1"/>
  </r>
  <r>
    <s v="E02619"/>
    <x v="616"/>
    <s v="Business Partner"/>
    <x v="6"/>
    <x v="2"/>
    <x v="1"/>
    <x v="0"/>
    <x v="12"/>
    <d v="1996-08-26T00:00:00"/>
    <n v="42829"/>
    <n v="0"/>
    <x v="0"/>
    <x v="0"/>
  </r>
  <r>
    <s v="E02620"/>
    <x v="617"/>
    <s v="Engineering Manager"/>
    <x v="0"/>
    <x v="2"/>
    <x v="0"/>
    <x v="1"/>
    <x v="20"/>
    <d v="2010-03-15T00:00:00"/>
    <n v="118973"/>
    <n v="0.1"/>
    <x v="0"/>
    <x v="5"/>
  </r>
  <r>
    <s v="E02621"/>
    <x v="618"/>
    <s v="Network Architect"/>
    <x v="2"/>
    <x v="0"/>
    <x v="1"/>
    <x v="2"/>
    <x v="36"/>
    <d v="2018-12-29T00:00:00"/>
    <n v="61251"/>
    <n v="0"/>
    <x v="0"/>
    <x v="8"/>
  </r>
  <r>
    <s v="E02622"/>
    <x v="619"/>
    <s v="Engineering Manager"/>
    <x v="0"/>
    <x v="3"/>
    <x v="0"/>
    <x v="2"/>
    <x v="8"/>
    <d v="2002-04-24T00:00:00"/>
    <n v="108636"/>
    <n v="0.1"/>
    <x v="0"/>
    <x v="0"/>
  </r>
  <r>
    <s v="E02623"/>
    <x v="620"/>
    <s v="Field Engineer"/>
    <x v="0"/>
    <x v="3"/>
    <x v="1"/>
    <x v="0"/>
    <x v="23"/>
    <d v="2014-04-24T00:00:00"/>
    <n v="68780"/>
    <n v="0"/>
    <x v="1"/>
    <x v="9"/>
  </r>
  <r>
    <s v="E02624"/>
    <x v="621"/>
    <s v="Analyst II"/>
    <x v="3"/>
    <x v="1"/>
    <x v="1"/>
    <x v="2"/>
    <x v="37"/>
    <d v="2016-08-10T00:00:00"/>
    <n v="60261"/>
    <n v="0"/>
    <x v="0"/>
    <x v="3"/>
  </r>
  <r>
    <s v="E02625"/>
    <x v="622"/>
    <s v="Manager"/>
    <x v="4"/>
    <x v="3"/>
    <x v="0"/>
    <x v="0"/>
    <x v="18"/>
    <d v="2003-07-13T00:00:00"/>
    <n v="100951"/>
    <n v="0.05"/>
    <x v="0"/>
    <x v="8"/>
  </r>
  <r>
    <s v="E02626"/>
    <x v="623"/>
    <s v="Network Architect"/>
    <x v="2"/>
    <x v="3"/>
    <x v="0"/>
    <x v="1"/>
    <x v="39"/>
    <d v="2022-07-20T00:00:00"/>
    <n v="93872"/>
    <n v="0"/>
    <x v="2"/>
    <x v="11"/>
  </r>
  <r>
    <s v="E02627"/>
    <x v="624"/>
    <s v="Vice President"/>
    <x v="5"/>
    <x v="3"/>
    <x v="1"/>
    <x v="2"/>
    <x v="19"/>
    <d v="2018-06-29T00:00:00"/>
    <n v="181570"/>
    <n v="0.35"/>
    <x v="0"/>
    <x v="8"/>
  </r>
  <r>
    <s v="E02628"/>
    <x v="625"/>
    <s v="Manager"/>
    <x v="1"/>
    <x v="0"/>
    <x v="0"/>
    <x v="0"/>
    <x v="12"/>
    <d v="2003-09-30T00:00:00"/>
    <n v="101517"/>
    <n v="0.09"/>
    <x v="0"/>
    <x v="3"/>
  </r>
  <r>
    <s v="E02629"/>
    <x v="626"/>
    <s v="Manager"/>
    <x v="4"/>
    <x v="0"/>
    <x v="0"/>
    <x v="0"/>
    <x v="14"/>
    <d v="2006-01-30T00:00:00"/>
    <n v="100822"/>
    <n v="0.1"/>
    <x v="1"/>
    <x v="6"/>
  </r>
  <r>
    <s v="E02630"/>
    <x v="627"/>
    <s v="Manager"/>
    <x v="5"/>
    <x v="2"/>
    <x v="1"/>
    <x v="0"/>
    <x v="22"/>
    <d v="2022-03-02T00:00:00"/>
    <n v="128965"/>
    <n v="0.09"/>
    <x v="0"/>
    <x v="0"/>
  </r>
  <r>
    <s v="E02631"/>
    <x v="628"/>
    <s v="Network Administrator"/>
    <x v="2"/>
    <x v="0"/>
    <x v="1"/>
    <x v="0"/>
    <x v="24"/>
    <d v="2011-11-17T00:00:00"/>
    <n v="60513"/>
    <n v="0"/>
    <x v="0"/>
    <x v="4"/>
  </r>
  <r>
    <s v="E02632"/>
    <x v="629"/>
    <s v="Manager"/>
    <x v="4"/>
    <x v="2"/>
    <x v="1"/>
    <x v="1"/>
    <x v="8"/>
    <d v="2005-02-09T00:00:00"/>
    <n v="107461"/>
    <n v="0.08"/>
    <x v="0"/>
    <x v="3"/>
  </r>
  <r>
    <s v="E02633"/>
    <x v="630"/>
    <s v="Analyst II"/>
    <x v="1"/>
    <x v="2"/>
    <x v="1"/>
    <x v="2"/>
    <x v="23"/>
    <d v="2018-02-24T00:00:00"/>
    <n v="66294"/>
    <n v="0"/>
    <x v="0"/>
    <x v="0"/>
  </r>
  <r>
    <s v="E02634"/>
    <x v="631"/>
    <s v="Sr. Manager"/>
    <x v="1"/>
    <x v="2"/>
    <x v="1"/>
    <x v="1"/>
    <x v="5"/>
    <d v="2009-01-11T00:00:00"/>
    <n v="157500"/>
    <n v="0.15"/>
    <x v="0"/>
    <x v="0"/>
  </r>
  <r>
    <s v="E02635"/>
    <x v="632"/>
    <s v="IT Coordinator"/>
    <x v="2"/>
    <x v="3"/>
    <x v="1"/>
    <x v="0"/>
    <x v="18"/>
    <d v="2022-10-20T00:00:00"/>
    <n v="43271"/>
    <n v="0"/>
    <x v="1"/>
    <x v="7"/>
  </r>
  <r>
    <s v="E02636"/>
    <x v="633"/>
    <s v="Technical Architect"/>
    <x v="2"/>
    <x v="2"/>
    <x v="1"/>
    <x v="1"/>
    <x v="7"/>
    <d v="2011-06-19T00:00:00"/>
    <n v="91518"/>
    <n v="0"/>
    <x v="2"/>
    <x v="11"/>
  </r>
  <r>
    <s v="E02637"/>
    <x v="634"/>
    <s v="Sr. Manager"/>
    <x v="6"/>
    <x v="3"/>
    <x v="1"/>
    <x v="1"/>
    <x v="4"/>
    <d v="2019-04-15T00:00:00"/>
    <n v="130874"/>
    <n v="0.12"/>
    <x v="0"/>
    <x v="4"/>
  </r>
  <r>
    <s v="E02638"/>
    <x v="635"/>
    <s v="HRIS Analyst"/>
    <x v="6"/>
    <x v="1"/>
    <x v="0"/>
    <x v="0"/>
    <x v="10"/>
    <d v="2017-05-23T00:00:00"/>
    <n v="66324"/>
    <n v="0"/>
    <x v="1"/>
    <x v="9"/>
  </r>
  <r>
    <s v="E02639"/>
    <x v="636"/>
    <s v="Analyst II"/>
    <x v="1"/>
    <x v="1"/>
    <x v="0"/>
    <x v="0"/>
    <x v="28"/>
    <d v="1998-01-29T00:00:00"/>
    <n v="63853"/>
    <n v="0"/>
    <x v="0"/>
    <x v="4"/>
  </r>
  <r>
    <s v="E02640"/>
    <x v="637"/>
    <s v="Manager"/>
    <x v="6"/>
    <x v="1"/>
    <x v="1"/>
    <x v="0"/>
    <x v="30"/>
    <d v="2021-01-10T00:00:00"/>
    <n v="104692"/>
    <n v="0.08"/>
    <x v="1"/>
    <x v="7"/>
  </r>
  <r>
    <s v="E02641"/>
    <x v="638"/>
    <s v="Solutions Architect"/>
    <x v="2"/>
    <x v="1"/>
    <x v="1"/>
    <x v="1"/>
    <x v="18"/>
    <d v="2022-11-03T00:00:00"/>
    <n v="71864"/>
    <n v="0"/>
    <x v="2"/>
    <x v="12"/>
  </r>
  <r>
    <s v="E02642"/>
    <x v="639"/>
    <s v="Vice President"/>
    <x v="5"/>
    <x v="0"/>
    <x v="1"/>
    <x v="0"/>
    <x v="10"/>
    <d v="2007-10-31T00:00:00"/>
    <n v="216269"/>
    <n v="0.37"/>
    <x v="0"/>
    <x v="1"/>
  </r>
  <r>
    <s v="E02643"/>
    <x v="640"/>
    <s v="Enterprise Architect"/>
    <x v="2"/>
    <x v="3"/>
    <x v="1"/>
    <x v="0"/>
    <x v="23"/>
    <d v="2021-12-17T00:00:00"/>
    <n v="73135"/>
    <n v="0"/>
    <x v="0"/>
    <x v="5"/>
  </r>
  <r>
    <s v="E02644"/>
    <x v="641"/>
    <s v="Director"/>
    <x v="0"/>
    <x v="1"/>
    <x v="1"/>
    <x v="0"/>
    <x v="36"/>
    <d v="2022-06-27T00:00:00"/>
    <n v="197579"/>
    <n v="0.18"/>
    <x v="0"/>
    <x v="1"/>
  </r>
  <r>
    <s v="E02645"/>
    <x v="642"/>
    <s v="Systems Analyst"/>
    <x v="2"/>
    <x v="1"/>
    <x v="0"/>
    <x v="0"/>
    <x v="30"/>
    <d v="2011-12-15T00:00:00"/>
    <n v="59733"/>
    <n v="0"/>
    <x v="0"/>
    <x v="4"/>
  </r>
  <r>
    <s v="E02646"/>
    <x v="633"/>
    <s v="Vice President"/>
    <x v="6"/>
    <x v="1"/>
    <x v="1"/>
    <x v="1"/>
    <x v="22"/>
    <d v="2020-05-22T00:00:00"/>
    <n v="187792"/>
    <n v="0.4"/>
    <x v="0"/>
    <x v="1"/>
  </r>
  <r>
    <s v="E02647"/>
    <x v="643"/>
    <s v="Manager"/>
    <x v="6"/>
    <x v="3"/>
    <x v="1"/>
    <x v="2"/>
    <x v="21"/>
    <d v="2017-01-07T00:00:00"/>
    <n v="108612"/>
    <n v="0.06"/>
    <x v="0"/>
    <x v="5"/>
  </r>
  <r>
    <s v="E02648"/>
    <x v="644"/>
    <s v="System Administrator "/>
    <x v="2"/>
    <x v="1"/>
    <x v="0"/>
    <x v="3"/>
    <x v="19"/>
    <d v="2018-07-18T00:00:00"/>
    <n v="80350"/>
    <n v="0"/>
    <x v="0"/>
    <x v="8"/>
  </r>
  <r>
    <s v="E02649"/>
    <x v="645"/>
    <s v="Test Engineer"/>
    <x v="0"/>
    <x v="2"/>
    <x v="1"/>
    <x v="2"/>
    <x v="23"/>
    <d v="2019-09-21T00:00:00"/>
    <n v="61243"/>
    <n v="0"/>
    <x v="0"/>
    <x v="8"/>
  </r>
  <r>
    <s v="E02650"/>
    <x v="646"/>
    <s v="Analyst"/>
    <x v="4"/>
    <x v="0"/>
    <x v="0"/>
    <x v="1"/>
    <x v="36"/>
    <d v="2002-04-12T00:00:00"/>
    <n v="48896"/>
    <n v="0"/>
    <x v="2"/>
    <x v="12"/>
  </r>
  <r>
    <s v="E02651"/>
    <x v="647"/>
    <s v="Quality Engineer"/>
    <x v="0"/>
    <x v="2"/>
    <x v="0"/>
    <x v="0"/>
    <x v="23"/>
    <d v="2019-09-20T00:00:00"/>
    <n v="82887"/>
    <n v="0"/>
    <x v="1"/>
    <x v="7"/>
  </r>
  <r>
    <s v="E02652"/>
    <x v="648"/>
    <s v="Analyst"/>
    <x v="5"/>
    <x v="0"/>
    <x v="0"/>
    <x v="0"/>
    <x v="10"/>
    <d v="2005-11-26T00:00:00"/>
    <n v="54742"/>
    <n v="0"/>
    <x v="1"/>
    <x v="7"/>
  </r>
  <r>
    <s v="E02653"/>
    <x v="649"/>
    <s v="Sr. Manager"/>
    <x v="5"/>
    <x v="1"/>
    <x v="0"/>
    <x v="0"/>
    <x v="14"/>
    <d v="2007-07-19T00:00:00"/>
    <n v="134544"/>
    <n v="0.13"/>
    <x v="0"/>
    <x v="4"/>
  </r>
  <r>
    <s v="E02654"/>
    <x v="650"/>
    <s v="Manager"/>
    <x v="2"/>
    <x v="3"/>
    <x v="1"/>
    <x v="0"/>
    <x v="10"/>
    <d v="2003-05-10T00:00:00"/>
    <n v="128115"/>
    <n v="0.06"/>
    <x v="0"/>
    <x v="4"/>
  </r>
  <r>
    <s v="E02655"/>
    <x v="651"/>
    <s v="Analyst"/>
    <x v="3"/>
    <x v="3"/>
    <x v="0"/>
    <x v="0"/>
    <x v="6"/>
    <d v="2013-06-29T00:00:00"/>
    <n v="54713"/>
    <n v="0"/>
    <x v="0"/>
    <x v="0"/>
  </r>
  <r>
    <s v="E02656"/>
    <x v="652"/>
    <s v="Analyst II"/>
    <x v="1"/>
    <x v="2"/>
    <x v="1"/>
    <x v="2"/>
    <x v="30"/>
    <d v="2014-08-09T00:00:00"/>
    <n v="63987"/>
    <n v="0"/>
    <x v="0"/>
    <x v="3"/>
  </r>
  <r>
    <s v="E02657"/>
    <x v="653"/>
    <s v="IT Systems Architect"/>
    <x v="2"/>
    <x v="2"/>
    <x v="0"/>
    <x v="0"/>
    <x v="22"/>
    <d v="2021-12-28T00:00:00"/>
    <n v="86288"/>
    <n v="0"/>
    <x v="0"/>
    <x v="0"/>
  </r>
  <r>
    <s v="E02658"/>
    <x v="654"/>
    <s v="Quality Engineer"/>
    <x v="0"/>
    <x v="1"/>
    <x v="1"/>
    <x v="1"/>
    <x v="27"/>
    <d v="2020-08-16T00:00:00"/>
    <n v="61693"/>
    <n v="0"/>
    <x v="2"/>
    <x v="11"/>
  </r>
  <r>
    <s v="E02659"/>
    <x v="655"/>
    <s v="System Administrator "/>
    <x v="2"/>
    <x v="0"/>
    <x v="1"/>
    <x v="0"/>
    <x v="16"/>
    <d v="2021-11-01T00:00:00"/>
    <n v="75624"/>
    <n v="0"/>
    <x v="1"/>
    <x v="7"/>
  </r>
  <r>
    <s v="E02660"/>
    <x v="656"/>
    <s v="Manager"/>
    <x v="6"/>
    <x v="1"/>
    <x v="1"/>
    <x v="2"/>
    <x v="39"/>
    <d v="2013-05-17T00:00:00"/>
    <n v="122979"/>
    <n v="0.06"/>
    <x v="0"/>
    <x v="5"/>
  </r>
  <r>
    <s v="E02661"/>
    <x v="657"/>
    <s v="Engineering Manager"/>
    <x v="0"/>
    <x v="3"/>
    <x v="0"/>
    <x v="2"/>
    <x v="1"/>
    <d v="2003-01-06T00:00:00"/>
    <n v="91729"/>
    <n v="0.13"/>
    <x v="0"/>
    <x v="1"/>
  </r>
  <r>
    <s v="E02662"/>
    <x v="658"/>
    <s v="Manager"/>
    <x v="4"/>
    <x v="1"/>
    <x v="0"/>
    <x v="2"/>
    <x v="16"/>
    <d v="2010-05-16T00:00:00"/>
    <n v="117736"/>
    <n v="0.05"/>
    <x v="0"/>
    <x v="0"/>
  </r>
  <r>
    <s v="E02663"/>
    <x v="659"/>
    <s v="Sr. Manager"/>
    <x v="6"/>
    <x v="2"/>
    <x v="0"/>
    <x v="0"/>
    <x v="24"/>
    <d v="1995-03-21T00:00:00"/>
    <n v="154658"/>
    <n v="0.12"/>
    <x v="1"/>
    <x v="6"/>
  </r>
  <r>
    <s v="E02664"/>
    <x v="660"/>
    <s v="Enterprise Architect"/>
    <x v="2"/>
    <x v="2"/>
    <x v="0"/>
    <x v="0"/>
    <x v="13"/>
    <d v="2020-08-03T00:00:00"/>
    <n v="84397"/>
    <n v="0"/>
    <x v="0"/>
    <x v="3"/>
  </r>
  <r>
    <s v="E02665"/>
    <x v="661"/>
    <s v="Director"/>
    <x v="3"/>
    <x v="3"/>
    <x v="1"/>
    <x v="0"/>
    <x v="19"/>
    <d v="1997-08-22T00:00:00"/>
    <n v="159285"/>
    <n v="0.15"/>
    <x v="0"/>
    <x v="4"/>
  </r>
  <r>
    <s v="E02666"/>
    <x v="662"/>
    <s v="Analyst II"/>
    <x v="3"/>
    <x v="2"/>
    <x v="1"/>
    <x v="2"/>
    <x v="8"/>
    <d v="2004-06-06T00:00:00"/>
    <n v="59854"/>
    <n v="0"/>
    <x v="0"/>
    <x v="8"/>
  </r>
  <r>
    <s v="E02667"/>
    <x v="663"/>
    <s v="Solutions Architect"/>
    <x v="2"/>
    <x v="2"/>
    <x v="0"/>
    <x v="2"/>
    <x v="18"/>
    <d v="2018-05-18T00:00:00"/>
    <n v="87521"/>
    <n v="0"/>
    <x v="0"/>
    <x v="3"/>
  </r>
  <r>
    <s v="E02668"/>
    <x v="664"/>
    <s v="Director"/>
    <x v="5"/>
    <x v="2"/>
    <x v="0"/>
    <x v="1"/>
    <x v="11"/>
    <d v="2015-09-17T00:00:00"/>
    <n v="179166"/>
    <n v="0.17"/>
    <x v="2"/>
    <x v="12"/>
  </r>
  <r>
    <s v="E02669"/>
    <x v="665"/>
    <s v="Controls Engineer"/>
    <x v="0"/>
    <x v="1"/>
    <x v="1"/>
    <x v="0"/>
    <x v="17"/>
    <d v="1999-03-29T00:00:00"/>
    <n v="120092"/>
    <n v="0"/>
    <x v="1"/>
    <x v="6"/>
  </r>
  <r>
    <s v="E02670"/>
    <x v="666"/>
    <s v="Director"/>
    <x v="0"/>
    <x v="1"/>
    <x v="0"/>
    <x v="0"/>
    <x v="32"/>
    <d v="2015-06-19T00:00:00"/>
    <n v="168142"/>
    <n v="0.27"/>
    <x v="1"/>
    <x v="9"/>
  </r>
  <r>
    <s v="E02671"/>
    <x v="667"/>
    <s v="Director"/>
    <x v="4"/>
    <x v="1"/>
    <x v="1"/>
    <x v="1"/>
    <x v="24"/>
    <d v="1995-04-10T00:00:00"/>
    <n v="195662"/>
    <n v="0.15"/>
    <x v="0"/>
    <x v="0"/>
  </r>
  <r>
    <s v="E02672"/>
    <x v="668"/>
    <s v="Systems Analyst"/>
    <x v="2"/>
    <x v="0"/>
    <x v="0"/>
    <x v="2"/>
    <x v="20"/>
    <d v="2012-12-17T00:00:00"/>
    <n v="49986"/>
    <n v="0"/>
    <x v="0"/>
    <x v="8"/>
  </r>
  <r>
    <s v="E02673"/>
    <x v="669"/>
    <s v="Vice President"/>
    <x v="3"/>
    <x v="1"/>
    <x v="0"/>
    <x v="1"/>
    <x v="27"/>
    <d v="2020-08-21T00:00:00"/>
    <n v="181587"/>
    <n v="0.38"/>
    <x v="2"/>
    <x v="12"/>
  </r>
  <r>
    <s v="E02674"/>
    <x v="670"/>
    <s v="Vice President"/>
    <x v="6"/>
    <x v="3"/>
    <x v="1"/>
    <x v="0"/>
    <x v="31"/>
    <d v="2000-07-26T00:00:00"/>
    <n v="199736"/>
    <n v="0.35"/>
    <x v="0"/>
    <x v="4"/>
  </r>
  <r>
    <s v="E02675"/>
    <x v="671"/>
    <s v="Vice President"/>
    <x v="3"/>
    <x v="1"/>
    <x v="0"/>
    <x v="0"/>
    <x v="10"/>
    <d v="2014-01-07T00:00:00"/>
    <n v="250639"/>
    <n v="0.34"/>
    <x v="1"/>
    <x v="2"/>
  </r>
  <r>
    <s v="E02676"/>
    <x v="672"/>
    <s v="Sr. Account Representative"/>
    <x v="1"/>
    <x v="1"/>
    <x v="0"/>
    <x v="1"/>
    <x v="2"/>
    <d v="2022-02-15T00:00:00"/>
    <n v="80655"/>
    <n v="0"/>
    <x v="2"/>
    <x v="11"/>
  </r>
  <r>
    <s v="E02677"/>
    <x v="673"/>
    <s v="Analyst II"/>
    <x v="4"/>
    <x v="2"/>
    <x v="1"/>
    <x v="0"/>
    <x v="26"/>
    <d v="2020-11-22T00:00:00"/>
    <n v="64327"/>
    <n v="0"/>
    <x v="1"/>
    <x v="6"/>
  </r>
  <r>
    <s v="E02678"/>
    <x v="674"/>
    <s v="Analyst II"/>
    <x v="3"/>
    <x v="2"/>
    <x v="1"/>
    <x v="2"/>
    <x v="33"/>
    <d v="2018-11-08T00:00:00"/>
    <n v="72005"/>
    <n v="0"/>
    <x v="0"/>
    <x v="4"/>
  </r>
  <r>
    <s v="E02679"/>
    <x v="675"/>
    <s v="Quality Engineer"/>
    <x v="0"/>
    <x v="3"/>
    <x v="1"/>
    <x v="0"/>
    <x v="36"/>
    <d v="2012-04-25T00:00:00"/>
    <n v="62497"/>
    <n v="0"/>
    <x v="0"/>
    <x v="3"/>
  </r>
  <r>
    <s v="E02680"/>
    <x v="676"/>
    <s v="Sr. Account Representative"/>
    <x v="1"/>
    <x v="2"/>
    <x v="0"/>
    <x v="2"/>
    <x v="30"/>
    <d v="2003-02-24T00:00:00"/>
    <n v="74912"/>
    <n v="0"/>
    <x v="0"/>
    <x v="5"/>
  </r>
  <r>
    <s v="E02681"/>
    <x v="677"/>
    <s v="Business Partner"/>
    <x v="6"/>
    <x v="3"/>
    <x v="0"/>
    <x v="2"/>
    <x v="10"/>
    <d v="2001-03-19T00:00:00"/>
    <n v="50393"/>
    <n v="0"/>
    <x v="0"/>
    <x v="8"/>
  </r>
  <r>
    <s v="E02682"/>
    <x v="678"/>
    <s v="Enterprise Architect"/>
    <x v="2"/>
    <x v="0"/>
    <x v="0"/>
    <x v="1"/>
    <x v="23"/>
    <d v="2021-05-14T00:00:00"/>
    <n v="79670"/>
    <n v="0"/>
    <x v="0"/>
    <x v="0"/>
  </r>
  <r>
    <s v="E02683"/>
    <x v="679"/>
    <s v="Sr. Manager"/>
    <x v="3"/>
    <x v="1"/>
    <x v="1"/>
    <x v="3"/>
    <x v="31"/>
    <d v="1999-02-23T00:00:00"/>
    <n v="148942"/>
    <n v="0.13"/>
    <x v="0"/>
    <x v="0"/>
  </r>
  <r>
    <s v="E02684"/>
    <x v="680"/>
    <s v="Service Desk Analyst"/>
    <x v="2"/>
    <x v="2"/>
    <x v="0"/>
    <x v="2"/>
    <x v="13"/>
    <d v="2018-04-09T00:00:00"/>
    <n v="98504"/>
    <n v="0"/>
    <x v="0"/>
    <x v="8"/>
  </r>
  <r>
    <s v="E02685"/>
    <x v="681"/>
    <s v="Service Desk Analyst"/>
    <x v="2"/>
    <x v="0"/>
    <x v="0"/>
    <x v="2"/>
    <x v="6"/>
    <d v="2015-12-20T00:00:00"/>
    <n v="70588"/>
    <n v="0"/>
    <x v="0"/>
    <x v="8"/>
  </r>
  <r>
    <s v="E02686"/>
    <x v="682"/>
    <s v="Analyst"/>
    <x v="3"/>
    <x v="1"/>
    <x v="1"/>
    <x v="2"/>
    <x v="1"/>
    <d v="2001-11-21T00:00:00"/>
    <n v="58336"/>
    <n v="0"/>
    <x v="0"/>
    <x v="8"/>
  </r>
  <r>
    <s v="E02687"/>
    <x v="683"/>
    <s v="Development Engineer"/>
    <x v="0"/>
    <x v="1"/>
    <x v="1"/>
    <x v="0"/>
    <x v="10"/>
    <d v="2011-09-09T00:00:00"/>
    <n v="86001"/>
    <n v="0"/>
    <x v="0"/>
    <x v="4"/>
  </r>
  <r>
    <s v="E02688"/>
    <x v="684"/>
    <s v="Sr. Analyst"/>
    <x v="1"/>
    <x v="3"/>
    <x v="0"/>
    <x v="0"/>
    <x v="8"/>
    <d v="2015-09-13T00:00:00"/>
    <n v="91121"/>
    <n v="0"/>
    <x v="0"/>
    <x v="3"/>
  </r>
  <r>
    <s v="E02689"/>
    <x v="685"/>
    <s v="Director"/>
    <x v="6"/>
    <x v="1"/>
    <x v="1"/>
    <x v="0"/>
    <x v="19"/>
    <d v="2011-08-30T00:00:00"/>
    <n v="183308"/>
    <n v="0.24"/>
    <x v="0"/>
    <x v="8"/>
  </r>
  <r>
    <s v="E02690"/>
    <x v="686"/>
    <s v="Network Architect"/>
    <x v="2"/>
    <x v="0"/>
    <x v="0"/>
    <x v="2"/>
    <x v="23"/>
    <d v="2021-03-05T00:00:00"/>
    <n v="71674"/>
    <n v="0"/>
    <x v="0"/>
    <x v="1"/>
  </r>
  <r>
    <s v="E02691"/>
    <x v="687"/>
    <s v="Automation Engineer"/>
    <x v="0"/>
    <x v="0"/>
    <x v="0"/>
    <x v="0"/>
    <x v="13"/>
    <d v="2017-01-03T00:00:00"/>
    <n v="118639"/>
    <n v="0"/>
    <x v="0"/>
    <x v="5"/>
  </r>
  <r>
    <s v="E02692"/>
    <x v="688"/>
    <s v="Enterprise Architect"/>
    <x v="2"/>
    <x v="1"/>
    <x v="0"/>
    <x v="0"/>
    <x v="2"/>
    <d v="2018-11-10T00:00:00"/>
    <n v="71808"/>
    <n v="0"/>
    <x v="1"/>
    <x v="7"/>
  </r>
  <r>
    <s v="E02693"/>
    <x v="689"/>
    <s v="Sr. Manager"/>
    <x v="6"/>
    <x v="0"/>
    <x v="0"/>
    <x v="0"/>
    <x v="19"/>
    <d v="2019-05-26T00:00:00"/>
    <n v="156374"/>
    <n v="0.15"/>
    <x v="1"/>
    <x v="9"/>
  </r>
  <r>
    <s v="E02694"/>
    <x v="690"/>
    <s v="Systems Analyst"/>
    <x v="2"/>
    <x v="0"/>
    <x v="1"/>
    <x v="0"/>
    <x v="27"/>
    <d v="2021-03-10T00:00:00"/>
    <n v="51133"/>
    <n v="0"/>
    <x v="0"/>
    <x v="1"/>
  </r>
  <r>
    <s v="E02695"/>
    <x v="691"/>
    <s v="Quality Engineer"/>
    <x v="0"/>
    <x v="3"/>
    <x v="0"/>
    <x v="1"/>
    <x v="29"/>
    <d v="2008-06-25T00:00:00"/>
    <n v="86761"/>
    <n v="0"/>
    <x v="2"/>
    <x v="10"/>
  </r>
  <r>
    <s v="E02696"/>
    <x v="692"/>
    <s v="Manager"/>
    <x v="2"/>
    <x v="0"/>
    <x v="1"/>
    <x v="0"/>
    <x v="28"/>
    <d v="1994-07-05T00:00:00"/>
    <n v="125213"/>
    <n v="7.0000000000000007E-2"/>
    <x v="0"/>
    <x v="3"/>
  </r>
  <r>
    <s v="E02697"/>
    <x v="693"/>
    <s v="Manager"/>
    <x v="1"/>
    <x v="0"/>
    <x v="0"/>
    <x v="0"/>
    <x v="14"/>
    <d v="2008-09-26T00:00:00"/>
    <n v="120305"/>
    <n v="7.0000000000000007E-2"/>
    <x v="1"/>
    <x v="2"/>
  </r>
  <r>
    <s v="E02698"/>
    <x v="694"/>
    <s v="Sr. Manager"/>
    <x v="5"/>
    <x v="2"/>
    <x v="1"/>
    <x v="2"/>
    <x v="10"/>
    <d v="2013-09-17T00:00:00"/>
    <n v="138355"/>
    <n v="0.14000000000000001"/>
    <x v="0"/>
    <x v="0"/>
  </r>
  <r>
    <s v="E02699"/>
    <x v="695"/>
    <s v="Network Engineer"/>
    <x v="2"/>
    <x v="1"/>
    <x v="0"/>
    <x v="0"/>
    <x v="34"/>
    <d v="2021-07-04T00:00:00"/>
    <n v="70996"/>
    <n v="0"/>
    <x v="0"/>
    <x v="4"/>
  </r>
  <r>
    <s v="E02700"/>
    <x v="696"/>
    <s v="Computer Systems Manager"/>
    <x v="2"/>
    <x v="0"/>
    <x v="0"/>
    <x v="2"/>
    <x v="2"/>
    <d v="2014-12-29T00:00:00"/>
    <n v="77024"/>
    <n v="0.09"/>
    <x v="0"/>
    <x v="5"/>
  </r>
  <r>
    <s v="E02701"/>
    <x v="697"/>
    <s v="IT Coordinator"/>
    <x v="2"/>
    <x v="3"/>
    <x v="0"/>
    <x v="3"/>
    <x v="15"/>
    <d v="2017-04-18T00:00:00"/>
    <n v="50022"/>
    <n v="0"/>
    <x v="0"/>
    <x v="8"/>
  </r>
  <r>
    <s v="E02702"/>
    <x v="698"/>
    <s v="Vice President"/>
    <x v="1"/>
    <x v="3"/>
    <x v="0"/>
    <x v="1"/>
    <x v="13"/>
    <d v="2017-01-06T00:00:00"/>
    <n v="204534"/>
    <n v="0.38"/>
    <x v="0"/>
    <x v="1"/>
  </r>
  <r>
    <s v="E02703"/>
    <x v="699"/>
    <s v="Sr. Account Representative"/>
    <x v="1"/>
    <x v="2"/>
    <x v="0"/>
    <x v="1"/>
    <x v="8"/>
    <d v="2005-12-22T00:00:00"/>
    <n v="75814"/>
    <n v="0"/>
    <x v="0"/>
    <x v="1"/>
  </r>
  <r>
    <s v="E02704"/>
    <x v="700"/>
    <s v="Director"/>
    <x v="1"/>
    <x v="0"/>
    <x v="0"/>
    <x v="0"/>
    <x v="0"/>
    <d v="2019-07-15T00:00:00"/>
    <n v="169487"/>
    <n v="0.23"/>
    <x v="0"/>
    <x v="0"/>
  </r>
  <r>
    <s v="E02705"/>
    <x v="701"/>
    <s v="Sr. Manager"/>
    <x v="2"/>
    <x v="1"/>
    <x v="1"/>
    <x v="2"/>
    <x v="36"/>
    <d v="2002-05-06T00:00:00"/>
    <n v="156435"/>
    <n v="0.1"/>
    <x v="0"/>
    <x v="1"/>
  </r>
  <r>
    <s v="E02706"/>
    <x v="702"/>
    <s v="Account Representative"/>
    <x v="1"/>
    <x v="3"/>
    <x v="0"/>
    <x v="0"/>
    <x v="7"/>
    <d v="2006-12-20T00:00:00"/>
    <n v="59845"/>
    <n v="0"/>
    <x v="1"/>
    <x v="9"/>
  </r>
  <r>
    <s v="E02707"/>
    <x v="703"/>
    <s v="System Administrator "/>
    <x v="2"/>
    <x v="0"/>
    <x v="1"/>
    <x v="1"/>
    <x v="33"/>
    <d v="2020-03-06T00:00:00"/>
    <n v="93656"/>
    <n v="0"/>
    <x v="0"/>
    <x v="0"/>
  </r>
  <r>
    <s v="E02708"/>
    <x v="704"/>
    <s v="Test Engineer"/>
    <x v="0"/>
    <x v="0"/>
    <x v="0"/>
    <x v="2"/>
    <x v="17"/>
    <d v="1998-03-06T00:00:00"/>
    <n v="99035"/>
    <n v="0"/>
    <x v="0"/>
    <x v="8"/>
  </r>
  <r>
    <s v="E02709"/>
    <x v="705"/>
    <s v="Sr. Manager"/>
    <x v="5"/>
    <x v="1"/>
    <x v="0"/>
    <x v="2"/>
    <x v="27"/>
    <d v="2021-06-17T00:00:00"/>
    <n v="137997"/>
    <n v="0.12"/>
    <x v="0"/>
    <x v="5"/>
  </r>
  <r>
    <s v="E02710"/>
    <x v="706"/>
    <s v="Network Engineer"/>
    <x v="2"/>
    <x v="0"/>
    <x v="1"/>
    <x v="0"/>
    <x v="34"/>
    <d v="2019-06-21T00:00:00"/>
    <n v="61573"/>
    <n v="0"/>
    <x v="0"/>
    <x v="1"/>
  </r>
  <r>
    <s v="E02711"/>
    <x v="707"/>
    <s v="Analyst"/>
    <x v="1"/>
    <x v="0"/>
    <x v="0"/>
    <x v="0"/>
    <x v="17"/>
    <d v="2015-05-06T00:00:00"/>
    <n v="41102"/>
    <n v="0"/>
    <x v="0"/>
    <x v="3"/>
  </r>
  <r>
    <s v="E02712"/>
    <x v="708"/>
    <s v="Manager"/>
    <x v="6"/>
    <x v="2"/>
    <x v="1"/>
    <x v="0"/>
    <x v="38"/>
    <d v="2011-09-16T00:00:00"/>
    <n v="129866"/>
    <n v="0.06"/>
    <x v="1"/>
    <x v="9"/>
  </r>
  <r>
    <s v="E02713"/>
    <x v="709"/>
    <s v="Director"/>
    <x v="6"/>
    <x v="3"/>
    <x v="1"/>
    <x v="2"/>
    <x v="34"/>
    <d v="2020-01-22T00:00:00"/>
    <n v="161868"/>
    <n v="0.21"/>
    <x v="0"/>
    <x v="4"/>
  </r>
  <r>
    <s v="E02714"/>
    <x v="710"/>
    <s v="Field Engineer"/>
    <x v="0"/>
    <x v="1"/>
    <x v="1"/>
    <x v="0"/>
    <x v="17"/>
    <d v="1995-05-16T00:00:00"/>
    <n v="67131"/>
    <n v="0"/>
    <x v="0"/>
    <x v="4"/>
  </r>
  <r>
    <s v="E02715"/>
    <x v="711"/>
    <s v="Quality Engineer"/>
    <x v="0"/>
    <x v="2"/>
    <x v="0"/>
    <x v="3"/>
    <x v="38"/>
    <d v="2019-10-15T00:00:00"/>
    <n v="71345"/>
    <n v="0"/>
    <x v="0"/>
    <x v="8"/>
  </r>
  <r>
    <s v="E02716"/>
    <x v="712"/>
    <s v="Vice President"/>
    <x v="1"/>
    <x v="1"/>
    <x v="1"/>
    <x v="0"/>
    <x v="37"/>
    <d v="2019-10-09T00:00:00"/>
    <n v="246757"/>
    <n v="0.4"/>
    <x v="0"/>
    <x v="8"/>
  </r>
  <r>
    <s v="E02717"/>
    <x v="713"/>
    <s v="Manager"/>
    <x v="5"/>
    <x v="2"/>
    <x v="1"/>
    <x v="0"/>
    <x v="9"/>
    <d v="2005-03-28T00:00:00"/>
    <n v="106880"/>
    <n v="0.08"/>
    <x v="0"/>
    <x v="4"/>
  </r>
  <r>
    <s v="E02718"/>
    <x v="714"/>
    <s v="IT Systems Architect"/>
    <x v="2"/>
    <x v="0"/>
    <x v="1"/>
    <x v="0"/>
    <x v="11"/>
    <d v="2018-08-28T00:00:00"/>
    <n v="98733"/>
    <n v="0"/>
    <x v="1"/>
    <x v="9"/>
  </r>
  <r>
    <s v="E02719"/>
    <x v="715"/>
    <s v="Sr. Manager"/>
    <x v="3"/>
    <x v="2"/>
    <x v="0"/>
    <x v="1"/>
    <x v="34"/>
    <d v="2019-04-26T00:00:00"/>
    <n v="141675"/>
    <n v="0.12"/>
    <x v="2"/>
    <x v="10"/>
  </r>
  <r>
    <s v="E02720"/>
    <x v="716"/>
    <s v="Analyst II"/>
    <x v="3"/>
    <x v="2"/>
    <x v="0"/>
    <x v="0"/>
    <x v="34"/>
    <d v="2018-06-23T00:00:00"/>
    <n v="53210"/>
    <n v="0"/>
    <x v="0"/>
    <x v="3"/>
  </r>
  <r>
    <s v="E02721"/>
    <x v="717"/>
    <s v="Manager"/>
    <x v="4"/>
    <x v="3"/>
    <x v="1"/>
    <x v="1"/>
    <x v="27"/>
    <d v="2021-09-02T00:00:00"/>
    <n v="107114"/>
    <n v="0.1"/>
    <x v="2"/>
    <x v="10"/>
  </r>
  <r>
    <s v="E02722"/>
    <x v="718"/>
    <s v="Business Partner"/>
    <x v="6"/>
    <x v="3"/>
    <x v="1"/>
    <x v="3"/>
    <x v="2"/>
    <d v="2022-09-12T00:00:00"/>
    <n v="57483"/>
    <n v="0"/>
    <x v="0"/>
    <x v="3"/>
  </r>
  <r>
    <s v="E02723"/>
    <x v="719"/>
    <s v="Network Architect"/>
    <x v="2"/>
    <x v="3"/>
    <x v="0"/>
    <x v="1"/>
    <x v="32"/>
    <d v="1994-04-20T00:00:00"/>
    <n v="75226"/>
    <n v="0"/>
    <x v="2"/>
    <x v="10"/>
  </r>
  <r>
    <s v="E02724"/>
    <x v="720"/>
    <s v="Controls Engineer"/>
    <x v="0"/>
    <x v="1"/>
    <x v="0"/>
    <x v="2"/>
    <x v="19"/>
    <d v="2012-01-15T00:00:00"/>
    <n v="87727"/>
    <n v="0"/>
    <x v="0"/>
    <x v="8"/>
  </r>
  <r>
    <s v="E02725"/>
    <x v="721"/>
    <s v="Solutions Architect"/>
    <x v="2"/>
    <x v="0"/>
    <x v="0"/>
    <x v="1"/>
    <x v="31"/>
    <d v="2018-06-21T00:00:00"/>
    <n v="87897"/>
    <n v="0"/>
    <x v="0"/>
    <x v="5"/>
  </r>
  <r>
    <s v="E02726"/>
    <x v="722"/>
    <s v="IT Systems Architect"/>
    <x v="2"/>
    <x v="2"/>
    <x v="1"/>
    <x v="0"/>
    <x v="27"/>
    <d v="2021-11-19T00:00:00"/>
    <n v="99612"/>
    <n v="0"/>
    <x v="1"/>
    <x v="2"/>
  </r>
  <r>
    <s v="E02727"/>
    <x v="723"/>
    <s v="Analyst"/>
    <x v="3"/>
    <x v="2"/>
    <x v="1"/>
    <x v="1"/>
    <x v="26"/>
    <d v="2019-03-27T00:00:00"/>
    <n v="56938"/>
    <n v="0"/>
    <x v="2"/>
    <x v="11"/>
  </r>
  <r>
    <s v="E02728"/>
    <x v="724"/>
    <s v="Sr. Business Partner"/>
    <x v="6"/>
    <x v="1"/>
    <x v="0"/>
    <x v="2"/>
    <x v="30"/>
    <d v="2012-01-20T00:00:00"/>
    <n v="92247"/>
    <n v="0"/>
    <x v="0"/>
    <x v="8"/>
  </r>
  <r>
    <s v="E02729"/>
    <x v="725"/>
    <s v="Vice President"/>
    <x v="6"/>
    <x v="1"/>
    <x v="1"/>
    <x v="0"/>
    <x v="31"/>
    <d v="2005-10-17T00:00:00"/>
    <n v="193672"/>
    <n v="0.36"/>
    <x v="0"/>
    <x v="0"/>
  </r>
  <r>
    <s v="E02730"/>
    <x v="726"/>
    <s v="Systems Analyst"/>
    <x v="2"/>
    <x v="0"/>
    <x v="0"/>
    <x v="0"/>
    <x v="15"/>
    <d v="2018-10-06T00:00:00"/>
    <n v="46098"/>
    <n v="0"/>
    <x v="1"/>
    <x v="2"/>
  </r>
  <r>
    <s v="E02731"/>
    <x v="727"/>
    <s v="Vice President"/>
    <x v="1"/>
    <x v="0"/>
    <x v="0"/>
    <x v="2"/>
    <x v="10"/>
    <d v="2014-11-23T00:00:00"/>
    <n v="239980"/>
    <n v="0.31"/>
    <x v="0"/>
    <x v="4"/>
  </r>
  <r>
    <s v="E02732"/>
    <x v="728"/>
    <s v="Manager"/>
    <x v="4"/>
    <x v="1"/>
    <x v="0"/>
    <x v="0"/>
    <x v="6"/>
    <d v="2011-07-13T00:00:00"/>
    <n v="121546"/>
    <n v="0.1"/>
    <x v="1"/>
    <x v="2"/>
  </r>
  <r>
    <s v="E02733"/>
    <x v="729"/>
    <s v="Manager"/>
    <x v="3"/>
    <x v="3"/>
    <x v="1"/>
    <x v="1"/>
    <x v="4"/>
    <d v="2010-02-20T00:00:00"/>
    <n v="128714"/>
    <n v="7.0000000000000007E-2"/>
    <x v="2"/>
    <x v="11"/>
  </r>
  <r>
    <s v="E02734"/>
    <x v="730"/>
    <s v="Development Engineer"/>
    <x v="0"/>
    <x v="0"/>
    <x v="0"/>
    <x v="1"/>
    <x v="14"/>
    <d v="2018-09-13T00:00:00"/>
    <n v="91537"/>
    <n v="0"/>
    <x v="0"/>
    <x v="1"/>
  </r>
  <r>
    <s v="E02735"/>
    <x v="731"/>
    <s v="Director"/>
    <x v="2"/>
    <x v="1"/>
    <x v="0"/>
    <x v="2"/>
    <x v="34"/>
    <d v="2020-05-07T00:00:00"/>
    <n v="178300"/>
    <n v="0.24"/>
    <x v="0"/>
    <x v="4"/>
  </r>
  <r>
    <s v="E02736"/>
    <x v="732"/>
    <s v="Analyst II"/>
    <x v="4"/>
    <x v="2"/>
    <x v="1"/>
    <x v="0"/>
    <x v="39"/>
    <d v="2018-05-21T00:00:00"/>
    <n v="50260"/>
    <n v="0"/>
    <x v="1"/>
    <x v="7"/>
  </r>
  <r>
    <s v="E02737"/>
    <x v="733"/>
    <s v="Director"/>
    <x v="0"/>
    <x v="2"/>
    <x v="0"/>
    <x v="0"/>
    <x v="26"/>
    <d v="2016-08-06T00:00:00"/>
    <n v="161800"/>
    <n v="0.19"/>
    <x v="1"/>
    <x v="6"/>
  </r>
  <r>
    <s v="E02738"/>
    <x v="734"/>
    <s v="Sr. Manager"/>
    <x v="4"/>
    <x v="1"/>
    <x v="0"/>
    <x v="0"/>
    <x v="23"/>
    <d v="2020-10-09T00:00:00"/>
    <n v="157616"/>
    <n v="0.1"/>
    <x v="1"/>
    <x v="2"/>
  </r>
  <r>
    <s v="E02739"/>
    <x v="735"/>
    <s v="Quality Engineer"/>
    <x v="0"/>
    <x v="1"/>
    <x v="0"/>
    <x v="0"/>
    <x v="10"/>
    <d v="2008-12-19T00:00:00"/>
    <n v="82697"/>
    <n v="0"/>
    <x v="1"/>
    <x v="9"/>
  </r>
  <r>
    <s v="E02740"/>
    <x v="736"/>
    <s v="Sr. Manager"/>
    <x v="2"/>
    <x v="1"/>
    <x v="1"/>
    <x v="0"/>
    <x v="26"/>
    <d v="2018-09-21T00:00:00"/>
    <n v="124404"/>
    <n v="0.12"/>
    <x v="1"/>
    <x v="6"/>
  </r>
  <r>
    <s v="E02741"/>
    <x v="737"/>
    <s v="Sr. Manager"/>
    <x v="2"/>
    <x v="3"/>
    <x v="0"/>
    <x v="0"/>
    <x v="14"/>
    <d v="2012-03-30T00:00:00"/>
    <n v="158750"/>
    <n v="0.12"/>
    <x v="1"/>
    <x v="6"/>
  </r>
  <r>
    <s v="E02742"/>
    <x v="738"/>
    <s v="Analyst II"/>
    <x v="1"/>
    <x v="0"/>
    <x v="1"/>
    <x v="2"/>
    <x v="5"/>
    <d v="2015-11-08T00:00:00"/>
    <n v="69057"/>
    <n v="0"/>
    <x v="0"/>
    <x v="1"/>
  </r>
  <r>
    <s v="E02743"/>
    <x v="739"/>
    <s v="Sr. Manager"/>
    <x v="5"/>
    <x v="3"/>
    <x v="1"/>
    <x v="1"/>
    <x v="11"/>
    <d v="2019-01-08T00:00:00"/>
    <n v="157976"/>
    <n v="0.1"/>
    <x v="2"/>
    <x v="10"/>
  </r>
  <r>
    <s v="E02744"/>
    <x v="740"/>
    <s v="Analyst"/>
    <x v="1"/>
    <x v="1"/>
    <x v="1"/>
    <x v="1"/>
    <x v="11"/>
    <d v="2020-06-28T00:00:00"/>
    <n v="54355"/>
    <n v="0"/>
    <x v="0"/>
    <x v="5"/>
  </r>
  <r>
    <s v="E02745"/>
    <x v="741"/>
    <s v="Field Engineer"/>
    <x v="0"/>
    <x v="0"/>
    <x v="1"/>
    <x v="0"/>
    <x v="15"/>
    <d v="2022-07-09T00:00:00"/>
    <n v="72475"/>
    <n v="0"/>
    <x v="0"/>
    <x v="5"/>
  </r>
  <r>
    <s v="E02746"/>
    <x v="742"/>
    <s v="Engineering Manager"/>
    <x v="0"/>
    <x v="0"/>
    <x v="0"/>
    <x v="0"/>
    <x v="5"/>
    <d v="2003-12-13T00:00:00"/>
    <n v="80132"/>
    <n v="0.14000000000000001"/>
    <x v="1"/>
    <x v="6"/>
  </r>
  <r>
    <s v="E02747"/>
    <x v="743"/>
    <s v="Analyst"/>
    <x v="3"/>
    <x v="2"/>
    <x v="0"/>
    <x v="0"/>
    <x v="37"/>
    <d v="2018-10-13T00:00:00"/>
    <n v="52292"/>
    <n v="0"/>
    <x v="1"/>
    <x v="7"/>
  </r>
  <r>
    <s v="E02748"/>
    <x v="744"/>
    <s v="Cloud Infrastructure Architect"/>
    <x v="2"/>
    <x v="3"/>
    <x v="1"/>
    <x v="2"/>
    <x v="30"/>
    <d v="2022-01-08T00:00:00"/>
    <n v="69110"/>
    <n v="0"/>
    <x v="0"/>
    <x v="3"/>
  </r>
  <r>
    <s v="E02749"/>
    <x v="745"/>
    <s v="Technical Architect"/>
    <x v="2"/>
    <x v="0"/>
    <x v="1"/>
    <x v="1"/>
    <x v="6"/>
    <d v="2013-02-24T00:00:00"/>
    <n v="68676"/>
    <n v="0"/>
    <x v="2"/>
    <x v="11"/>
  </r>
  <r>
    <s v="E02750"/>
    <x v="746"/>
    <s v="Test Engineer"/>
    <x v="0"/>
    <x v="0"/>
    <x v="1"/>
    <x v="2"/>
    <x v="1"/>
    <d v="2002-12-23T00:00:00"/>
    <n v="86094"/>
    <n v="0"/>
    <x v="0"/>
    <x v="0"/>
  </r>
  <r>
    <s v="E02751"/>
    <x v="747"/>
    <s v="Enterprise Architect"/>
    <x v="2"/>
    <x v="3"/>
    <x v="1"/>
    <x v="2"/>
    <x v="27"/>
    <d v="2022-05-06T00:00:00"/>
    <n v="77607"/>
    <n v="0"/>
    <x v="0"/>
    <x v="8"/>
  </r>
  <r>
    <s v="E02752"/>
    <x v="748"/>
    <s v="Sr. Manager"/>
    <x v="6"/>
    <x v="3"/>
    <x v="0"/>
    <x v="1"/>
    <x v="12"/>
    <d v="1993-04-30T00:00:00"/>
    <n v="157672"/>
    <n v="0.11"/>
    <x v="0"/>
    <x v="8"/>
  </r>
  <r>
    <s v="E02753"/>
    <x v="749"/>
    <s v="Analyst"/>
    <x v="4"/>
    <x v="3"/>
    <x v="0"/>
    <x v="0"/>
    <x v="18"/>
    <d v="2016-11-29T00:00:00"/>
    <n v="43785"/>
    <n v="0"/>
    <x v="1"/>
    <x v="6"/>
  </r>
  <r>
    <s v="E02754"/>
    <x v="750"/>
    <s v="System Administrator "/>
    <x v="2"/>
    <x v="1"/>
    <x v="0"/>
    <x v="2"/>
    <x v="28"/>
    <d v="2015-06-15T00:00:00"/>
    <n v="75439"/>
    <n v="0"/>
    <x v="0"/>
    <x v="3"/>
  </r>
  <r>
    <s v="E02755"/>
    <x v="751"/>
    <s v="Sr. Manager"/>
    <x v="2"/>
    <x v="0"/>
    <x v="1"/>
    <x v="2"/>
    <x v="33"/>
    <d v="2021-11-18T00:00:00"/>
    <n v="139987"/>
    <n v="0.13"/>
    <x v="0"/>
    <x v="3"/>
  </r>
  <r>
    <s v="E02756"/>
    <x v="752"/>
    <s v="Vice President"/>
    <x v="3"/>
    <x v="3"/>
    <x v="0"/>
    <x v="1"/>
    <x v="24"/>
    <d v="1994-09-04T00:00:00"/>
    <n v="257489"/>
    <n v="0.34"/>
    <x v="2"/>
    <x v="10"/>
  </r>
  <r>
    <s v="E02757"/>
    <x v="649"/>
    <s v="System Administrator "/>
    <x v="2"/>
    <x v="3"/>
    <x v="0"/>
    <x v="0"/>
    <x v="24"/>
    <d v="2009-01-30T00:00:00"/>
    <n v="91639"/>
    <n v="0"/>
    <x v="0"/>
    <x v="3"/>
  </r>
  <r>
    <s v="E02758"/>
    <x v="753"/>
    <s v="Analyst II"/>
    <x v="4"/>
    <x v="3"/>
    <x v="1"/>
    <x v="0"/>
    <x v="22"/>
    <d v="2022-12-25T00:00:00"/>
    <n v="66563"/>
    <n v="0"/>
    <x v="1"/>
    <x v="7"/>
  </r>
  <r>
    <s v="E02759"/>
    <x v="754"/>
    <s v="Vice President"/>
    <x v="5"/>
    <x v="1"/>
    <x v="1"/>
    <x v="1"/>
    <x v="13"/>
    <d v="2021-02-10T00:00:00"/>
    <n v="235047"/>
    <n v="0.36"/>
    <x v="0"/>
    <x v="5"/>
  </r>
  <r>
    <s v="E02760"/>
    <x v="755"/>
    <s v="Vice President"/>
    <x v="6"/>
    <x v="1"/>
    <x v="0"/>
    <x v="2"/>
    <x v="33"/>
    <d v="2015-02-10T00:00:00"/>
    <n v="214782"/>
    <n v="0.32"/>
    <x v="0"/>
    <x v="1"/>
  </r>
  <r>
    <s v="E02761"/>
    <x v="756"/>
    <s v="Director"/>
    <x v="3"/>
    <x v="2"/>
    <x v="1"/>
    <x v="3"/>
    <x v="33"/>
    <d v="2011-05-01T00:00:00"/>
    <n v="180544"/>
    <n v="0.27"/>
    <x v="0"/>
    <x v="1"/>
  </r>
  <r>
    <s v="E02762"/>
    <x v="757"/>
    <s v="Sr. Manager"/>
    <x v="5"/>
    <x v="2"/>
    <x v="0"/>
    <x v="1"/>
    <x v="5"/>
    <d v="2000-06-23T00:00:00"/>
    <n v="158614"/>
    <n v="0.14000000000000001"/>
    <x v="2"/>
    <x v="10"/>
  </r>
  <r>
    <s v="E02763"/>
    <x v="758"/>
    <s v="Quality Engineer"/>
    <x v="0"/>
    <x v="1"/>
    <x v="0"/>
    <x v="0"/>
    <x v="32"/>
    <d v="1998-11-30T00:00:00"/>
    <n v="63187"/>
    <n v="0"/>
    <x v="0"/>
    <x v="1"/>
  </r>
  <r>
    <s v="E02764"/>
    <x v="759"/>
    <s v="Sr. Analyst"/>
    <x v="5"/>
    <x v="0"/>
    <x v="0"/>
    <x v="1"/>
    <x v="28"/>
    <d v="2004-12-08T00:00:00"/>
    <n v="93857"/>
    <n v="0"/>
    <x v="0"/>
    <x v="5"/>
  </r>
  <r>
    <s v="E02765"/>
    <x v="760"/>
    <s v="Vice President"/>
    <x v="2"/>
    <x v="0"/>
    <x v="0"/>
    <x v="1"/>
    <x v="11"/>
    <d v="2021-03-11T00:00:00"/>
    <n v="253741"/>
    <n v="0.34"/>
    <x v="2"/>
    <x v="10"/>
  </r>
  <r>
    <s v="E02766"/>
    <x v="761"/>
    <s v="Sr. Analyst"/>
    <x v="5"/>
    <x v="3"/>
    <x v="1"/>
    <x v="1"/>
    <x v="30"/>
    <d v="2010-11-17T00:00:00"/>
    <n v="92833"/>
    <n v="0"/>
    <x v="2"/>
    <x v="10"/>
  </r>
  <r>
    <s v="E02767"/>
    <x v="762"/>
    <s v="Service Desk Analyst"/>
    <x v="2"/>
    <x v="3"/>
    <x v="1"/>
    <x v="1"/>
    <x v="17"/>
    <d v="2018-12-15T00:00:00"/>
    <n v="95400"/>
    <n v="0"/>
    <x v="2"/>
    <x v="12"/>
  </r>
  <r>
    <s v="E02768"/>
    <x v="763"/>
    <s v="Quality Engineer"/>
    <x v="0"/>
    <x v="3"/>
    <x v="1"/>
    <x v="3"/>
    <x v="9"/>
    <d v="2013-10-04T00:00:00"/>
    <n v="88230"/>
    <n v="0"/>
    <x v="0"/>
    <x v="8"/>
  </r>
  <r>
    <s v="E02769"/>
    <x v="764"/>
    <s v="Field Engineer"/>
    <x v="0"/>
    <x v="2"/>
    <x v="1"/>
    <x v="0"/>
    <x v="24"/>
    <d v="2003-02-25T00:00:00"/>
    <n v="62179"/>
    <n v="0"/>
    <x v="1"/>
    <x v="2"/>
  </r>
  <r>
    <s v="E02770"/>
    <x v="765"/>
    <s v="IT Coordinator"/>
    <x v="2"/>
    <x v="2"/>
    <x v="1"/>
    <x v="2"/>
    <x v="22"/>
    <d v="2020-02-18T00:00:00"/>
    <n v="42343"/>
    <n v="0"/>
    <x v="0"/>
    <x v="8"/>
  </r>
  <r>
    <s v="E02771"/>
    <x v="766"/>
    <s v="Sr. Analyst"/>
    <x v="3"/>
    <x v="1"/>
    <x v="0"/>
    <x v="2"/>
    <x v="22"/>
    <d v="2022-05-07T00:00:00"/>
    <n v="70275"/>
    <n v="0"/>
    <x v="0"/>
    <x v="0"/>
  </r>
  <r>
    <s v="E02772"/>
    <x v="767"/>
    <s v="Analyst II"/>
    <x v="1"/>
    <x v="1"/>
    <x v="1"/>
    <x v="1"/>
    <x v="2"/>
    <d v="2012-04-08T00:00:00"/>
    <n v="51448"/>
    <n v="0"/>
    <x v="2"/>
    <x v="12"/>
  </r>
  <r>
    <s v="E02773"/>
    <x v="768"/>
    <s v="Vice President"/>
    <x v="0"/>
    <x v="0"/>
    <x v="1"/>
    <x v="0"/>
    <x v="16"/>
    <d v="2009-04-09T00:00:00"/>
    <n v="185363"/>
    <n v="0.33"/>
    <x v="1"/>
    <x v="2"/>
  </r>
  <r>
    <s v="E02774"/>
    <x v="769"/>
    <s v="Enterprise Architect"/>
    <x v="2"/>
    <x v="0"/>
    <x v="0"/>
    <x v="2"/>
    <x v="7"/>
    <d v="2018-09-20T00:00:00"/>
    <n v="60784"/>
    <n v="0"/>
    <x v="0"/>
    <x v="4"/>
  </r>
  <r>
    <s v="E02775"/>
    <x v="770"/>
    <s v="Analyst"/>
    <x v="3"/>
    <x v="3"/>
    <x v="1"/>
    <x v="1"/>
    <x v="10"/>
    <d v="2004-04-07T00:00:00"/>
    <n v="45323"/>
    <n v="0"/>
    <x v="2"/>
    <x v="10"/>
  </r>
  <r>
    <s v="E02776"/>
    <x v="109"/>
    <s v="Manager"/>
    <x v="4"/>
    <x v="3"/>
    <x v="1"/>
    <x v="1"/>
    <x v="31"/>
    <d v="2012-09-10T00:00:00"/>
    <n v="129727"/>
    <n v="0.08"/>
    <x v="0"/>
    <x v="5"/>
  </r>
  <r>
    <s v="E02777"/>
    <x v="771"/>
    <s v="Account Representative"/>
    <x v="1"/>
    <x v="3"/>
    <x v="1"/>
    <x v="0"/>
    <x v="14"/>
    <d v="2006-09-30T00:00:00"/>
    <n v="63229"/>
    <n v="0"/>
    <x v="0"/>
    <x v="8"/>
  </r>
  <r>
    <s v="E02778"/>
    <x v="772"/>
    <s v="Director"/>
    <x v="3"/>
    <x v="1"/>
    <x v="0"/>
    <x v="2"/>
    <x v="24"/>
    <d v="2004-02-12T00:00:00"/>
    <n v="194221"/>
    <n v="0.16"/>
    <x v="0"/>
    <x v="4"/>
  </r>
  <r>
    <s v="E02779"/>
    <x v="773"/>
    <s v="Sr. Analyst"/>
    <x v="1"/>
    <x v="2"/>
    <x v="1"/>
    <x v="2"/>
    <x v="24"/>
    <d v="2018-12-12T00:00:00"/>
    <n v="78020"/>
    <n v="0"/>
    <x v="0"/>
    <x v="0"/>
  </r>
  <r>
    <s v="E02780"/>
    <x v="774"/>
    <s v="Vice President"/>
    <x v="3"/>
    <x v="3"/>
    <x v="0"/>
    <x v="2"/>
    <x v="40"/>
    <d v="2022-10-07T00:00:00"/>
    <n v="197331"/>
    <n v="0.33"/>
    <x v="0"/>
    <x v="3"/>
  </r>
  <r>
    <s v="E02781"/>
    <x v="775"/>
    <s v="Analyst II"/>
    <x v="3"/>
    <x v="0"/>
    <x v="0"/>
    <x v="1"/>
    <x v="28"/>
    <d v="1998-02-16T00:00:00"/>
    <n v="63346"/>
    <n v="0"/>
    <x v="2"/>
    <x v="10"/>
  </r>
  <r>
    <s v="E02782"/>
    <x v="776"/>
    <s v="Controls Engineer"/>
    <x v="0"/>
    <x v="0"/>
    <x v="0"/>
    <x v="1"/>
    <x v="35"/>
    <d v="2014-07-11T00:00:00"/>
    <n v="105574"/>
    <n v="0"/>
    <x v="0"/>
    <x v="8"/>
  </r>
  <r>
    <s v="E02783"/>
    <x v="777"/>
    <s v="Operations Engineer"/>
    <x v="0"/>
    <x v="1"/>
    <x v="0"/>
    <x v="0"/>
    <x v="15"/>
    <d v="2015-04-12T00:00:00"/>
    <n v="101941"/>
    <n v="0"/>
    <x v="1"/>
    <x v="9"/>
  </r>
  <r>
    <s v="E02784"/>
    <x v="778"/>
    <s v="Solutions Architect"/>
    <x v="2"/>
    <x v="2"/>
    <x v="0"/>
    <x v="3"/>
    <x v="10"/>
    <d v="2005-07-17T00:00:00"/>
    <n v="74777"/>
    <n v="0"/>
    <x v="0"/>
    <x v="4"/>
  </r>
  <r>
    <s v="E02785"/>
    <x v="779"/>
    <s v="Analyst"/>
    <x v="1"/>
    <x v="2"/>
    <x v="0"/>
    <x v="2"/>
    <x v="35"/>
    <d v="2021-09-15T00:00:00"/>
    <n v="59447"/>
    <n v="0"/>
    <x v="0"/>
    <x v="4"/>
  </r>
  <r>
    <s v="E02786"/>
    <x v="780"/>
    <s v="Manager"/>
    <x v="5"/>
    <x v="0"/>
    <x v="0"/>
    <x v="0"/>
    <x v="40"/>
    <d v="2021-12-08T00:00:00"/>
    <n v="105072"/>
    <n v="0.06"/>
    <x v="1"/>
    <x v="7"/>
  </r>
  <r>
    <s v="E02787"/>
    <x v="781"/>
    <s v="Sr. Manager"/>
    <x v="2"/>
    <x v="2"/>
    <x v="0"/>
    <x v="1"/>
    <x v="32"/>
    <d v="1999-05-24T00:00:00"/>
    <n v="150893"/>
    <n v="0.13"/>
    <x v="0"/>
    <x v="1"/>
  </r>
  <r>
    <s v="E02788"/>
    <x v="782"/>
    <s v="Director"/>
    <x v="5"/>
    <x v="1"/>
    <x v="1"/>
    <x v="1"/>
    <x v="8"/>
    <d v="2013-02-08T00:00:00"/>
    <n v="156276"/>
    <n v="0.22"/>
    <x v="0"/>
    <x v="4"/>
  </r>
  <r>
    <s v="E02789"/>
    <x v="783"/>
    <s v="Vice President"/>
    <x v="3"/>
    <x v="2"/>
    <x v="1"/>
    <x v="0"/>
    <x v="15"/>
    <d v="2022-10-27T00:00:00"/>
    <n v="191755"/>
    <n v="0.4"/>
    <x v="0"/>
    <x v="8"/>
  </r>
  <r>
    <s v="E02790"/>
    <x v="784"/>
    <s v="Network Engineer"/>
    <x v="2"/>
    <x v="3"/>
    <x v="1"/>
    <x v="2"/>
    <x v="26"/>
    <d v="2020-11-04T00:00:00"/>
    <n v="81070"/>
    <n v="0"/>
    <x v="0"/>
    <x v="8"/>
  </r>
  <r>
    <s v="E02791"/>
    <x v="785"/>
    <s v="Director"/>
    <x v="3"/>
    <x v="1"/>
    <x v="0"/>
    <x v="1"/>
    <x v="35"/>
    <d v="2021-12-01T00:00:00"/>
    <n v="176533"/>
    <n v="0.25"/>
    <x v="0"/>
    <x v="4"/>
  </r>
  <r>
    <s v="E02792"/>
    <x v="786"/>
    <s v="Service Desk Analyst"/>
    <x v="2"/>
    <x v="0"/>
    <x v="1"/>
    <x v="0"/>
    <x v="13"/>
    <d v="2020-08-26T00:00:00"/>
    <n v="60919"/>
    <n v="0"/>
    <x v="0"/>
    <x v="0"/>
  </r>
  <r>
    <s v="E02793"/>
    <x v="787"/>
    <s v="Automation Engineer"/>
    <x v="0"/>
    <x v="3"/>
    <x v="0"/>
    <x v="0"/>
    <x v="31"/>
    <d v="2004-07-20T00:00:00"/>
    <n v="88288"/>
    <n v="0"/>
    <x v="1"/>
    <x v="6"/>
  </r>
  <r>
    <s v="E02794"/>
    <x v="788"/>
    <s v="Analyst"/>
    <x v="1"/>
    <x v="0"/>
    <x v="1"/>
    <x v="0"/>
    <x v="15"/>
    <d v="2021-11-19T00:00:00"/>
    <n v="53638"/>
    <n v="0"/>
    <x v="0"/>
    <x v="1"/>
  </r>
  <r>
    <s v="E02795"/>
    <x v="789"/>
    <s v="Sr. Analyst"/>
    <x v="3"/>
    <x v="3"/>
    <x v="1"/>
    <x v="0"/>
    <x v="38"/>
    <d v="2009-03-25T00:00:00"/>
    <n v="75362"/>
    <n v="0"/>
    <x v="0"/>
    <x v="1"/>
  </r>
  <r>
    <s v="E02796"/>
    <x v="790"/>
    <s v="Account Representative"/>
    <x v="1"/>
    <x v="0"/>
    <x v="1"/>
    <x v="2"/>
    <x v="6"/>
    <d v="2022-05-24T00:00:00"/>
    <n v="60799"/>
    <n v="0"/>
    <x v="0"/>
    <x v="3"/>
  </r>
  <r>
    <s v="E02797"/>
    <x v="791"/>
    <s v="Manager"/>
    <x v="3"/>
    <x v="1"/>
    <x v="1"/>
    <x v="0"/>
    <x v="13"/>
    <d v="2022-02-01T00:00:00"/>
    <n v="129172"/>
    <n v="0.08"/>
    <x v="1"/>
    <x v="9"/>
  </r>
  <r>
    <s v="E02798"/>
    <x v="792"/>
    <s v="Analyst"/>
    <x v="3"/>
    <x v="1"/>
    <x v="1"/>
    <x v="0"/>
    <x v="8"/>
    <d v="2021-02-11T00:00:00"/>
    <n v="50012"/>
    <n v="0"/>
    <x v="0"/>
    <x v="3"/>
  </r>
  <r>
    <s v="E02799"/>
    <x v="793"/>
    <s v="Sr. Manager"/>
    <x v="1"/>
    <x v="2"/>
    <x v="1"/>
    <x v="0"/>
    <x v="38"/>
    <d v="2018-05-09T00:00:00"/>
    <n v="122441"/>
    <n v="0.15"/>
    <x v="0"/>
    <x v="0"/>
  </r>
  <r>
    <s v="E02800"/>
    <x v="794"/>
    <s v="Controls Engineer"/>
    <x v="0"/>
    <x v="3"/>
    <x v="0"/>
    <x v="1"/>
    <x v="10"/>
    <d v="2003-03-12T00:00:00"/>
    <n v="85822"/>
    <n v="0"/>
    <x v="0"/>
    <x v="5"/>
  </r>
  <r>
    <s v="E02801"/>
    <x v="459"/>
    <s v="Analyst"/>
    <x v="1"/>
    <x v="3"/>
    <x v="0"/>
    <x v="1"/>
    <x v="1"/>
    <d v="2007-05-21T00:00:00"/>
    <n v="43803"/>
    <n v="0"/>
    <x v="0"/>
    <x v="8"/>
  </r>
  <r>
    <s v="E02802"/>
    <x v="795"/>
    <s v="Sr. Analyst"/>
    <x v="3"/>
    <x v="3"/>
    <x v="0"/>
    <x v="0"/>
    <x v="13"/>
    <d v="2019-11-29T00:00:00"/>
    <n v="72620"/>
    <n v="0"/>
    <x v="1"/>
    <x v="6"/>
  </r>
  <r>
    <s v="E02803"/>
    <x v="796"/>
    <s v="Analyst II"/>
    <x v="5"/>
    <x v="1"/>
    <x v="1"/>
    <x v="1"/>
    <x v="40"/>
    <d v="2021-08-24T00:00:00"/>
    <n v="71222"/>
    <n v="0"/>
    <x v="2"/>
    <x v="12"/>
  </r>
  <r>
    <s v="E02804"/>
    <x v="797"/>
    <s v="Director"/>
    <x v="0"/>
    <x v="0"/>
    <x v="1"/>
    <x v="2"/>
    <x v="5"/>
    <d v="1994-12-26T00:00:00"/>
    <n v="155332"/>
    <n v="0.2"/>
    <x v="0"/>
    <x v="4"/>
  </r>
  <r>
    <s v="E02805"/>
    <x v="798"/>
    <s v="Manager"/>
    <x v="4"/>
    <x v="0"/>
    <x v="0"/>
    <x v="1"/>
    <x v="26"/>
    <d v="2016-11-21T00:00:00"/>
    <n v="107202"/>
    <n v="0.06"/>
    <x v="0"/>
    <x v="0"/>
  </r>
  <r>
    <s v="E02806"/>
    <x v="799"/>
    <s v="Manager"/>
    <x v="3"/>
    <x v="0"/>
    <x v="0"/>
    <x v="1"/>
    <x v="36"/>
    <d v="2015-12-26T00:00:00"/>
    <n v="121751"/>
    <n v="0.08"/>
    <x v="0"/>
    <x v="0"/>
  </r>
  <r>
    <s v="E02807"/>
    <x v="800"/>
    <s v="Manager"/>
    <x v="4"/>
    <x v="1"/>
    <x v="1"/>
    <x v="1"/>
    <x v="10"/>
    <d v="2010-09-29T00:00:00"/>
    <n v="115591"/>
    <n v="0.05"/>
    <x v="0"/>
    <x v="1"/>
  </r>
  <r>
    <s v="E02808"/>
    <x v="801"/>
    <s v="Manager"/>
    <x v="6"/>
    <x v="2"/>
    <x v="1"/>
    <x v="1"/>
    <x v="34"/>
    <d v="2021-03-11T00:00:00"/>
    <n v="108601"/>
    <n v="0.05"/>
    <x v="2"/>
    <x v="10"/>
  </r>
  <r>
    <s v="E02809"/>
    <x v="802"/>
    <s v="Sr. Manager"/>
    <x v="6"/>
    <x v="0"/>
    <x v="1"/>
    <x v="0"/>
    <x v="37"/>
    <d v="2019-03-18T00:00:00"/>
    <n v="159823"/>
    <n v="0.11"/>
    <x v="0"/>
    <x v="3"/>
  </r>
  <r>
    <s v="E02810"/>
    <x v="6"/>
    <s v="Analyst"/>
    <x v="5"/>
    <x v="2"/>
    <x v="1"/>
    <x v="0"/>
    <x v="10"/>
    <d v="2001-12-15T00:00:00"/>
    <n v="53526"/>
    <n v="0"/>
    <x v="0"/>
    <x v="3"/>
  </r>
  <r>
    <s v="E02811"/>
    <x v="803"/>
    <s v="IT Systems Architect"/>
    <x v="2"/>
    <x v="3"/>
    <x v="0"/>
    <x v="1"/>
    <x v="26"/>
    <d v="2016-12-03T00:00:00"/>
    <n v="90084"/>
    <n v="0"/>
    <x v="0"/>
    <x v="0"/>
  </r>
  <r>
    <s v="E02812"/>
    <x v="804"/>
    <s v="Vice President"/>
    <x v="3"/>
    <x v="0"/>
    <x v="0"/>
    <x v="2"/>
    <x v="20"/>
    <d v="2011-03-25T00:00:00"/>
    <n v="210085"/>
    <n v="0.39"/>
    <x v="0"/>
    <x v="1"/>
  </r>
  <r>
    <s v="E02813"/>
    <x v="805"/>
    <s v="Sr. Manager"/>
    <x v="1"/>
    <x v="3"/>
    <x v="0"/>
    <x v="0"/>
    <x v="26"/>
    <d v="2015-02-07T00:00:00"/>
    <n v="133908"/>
    <n v="0.15"/>
    <x v="0"/>
    <x v="1"/>
  </r>
  <r>
    <s v="E02814"/>
    <x v="806"/>
    <s v="Manager"/>
    <x v="5"/>
    <x v="0"/>
    <x v="1"/>
    <x v="0"/>
    <x v="16"/>
    <d v="2013-03-22T00:00:00"/>
    <n v="100652"/>
    <n v="7.0000000000000007E-2"/>
    <x v="0"/>
    <x v="8"/>
  </r>
  <r>
    <s v="E02815"/>
    <x v="807"/>
    <s v="Vice President"/>
    <x v="6"/>
    <x v="1"/>
    <x v="1"/>
    <x v="1"/>
    <x v="16"/>
    <d v="2013-07-26T00:00:00"/>
    <n v="225725"/>
    <n v="0.37"/>
    <x v="0"/>
    <x v="5"/>
  </r>
  <r>
    <s v="E02816"/>
    <x v="808"/>
    <s v="Vice President"/>
    <x v="6"/>
    <x v="3"/>
    <x v="1"/>
    <x v="2"/>
    <x v="20"/>
    <d v="2007-05-10T00:00:00"/>
    <n v="224989"/>
    <n v="0.33"/>
    <x v="0"/>
    <x v="3"/>
  </r>
  <r>
    <s v="E02817"/>
    <x v="809"/>
    <s v="Operations Engineer"/>
    <x v="0"/>
    <x v="3"/>
    <x v="1"/>
    <x v="2"/>
    <x v="33"/>
    <d v="2022-09-11T00:00:00"/>
    <n v="109680"/>
    <n v="0"/>
    <x v="0"/>
    <x v="3"/>
  </r>
  <r>
    <s v="E02818"/>
    <x v="810"/>
    <s v="Sr. Account Representative"/>
    <x v="1"/>
    <x v="2"/>
    <x v="0"/>
    <x v="1"/>
    <x v="17"/>
    <d v="2003-09-28T00:00:00"/>
    <n v="74216"/>
    <n v="0"/>
    <x v="2"/>
    <x v="12"/>
  </r>
  <r>
    <s v="E02819"/>
    <x v="811"/>
    <s v="Sr. Manager"/>
    <x v="5"/>
    <x v="1"/>
    <x v="1"/>
    <x v="0"/>
    <x v="33"/>
    <d v="2021-05-04T00:00:00"/>
    <n v="151363"/>
    <n v="0.12"/>
    <x v="0"/>
    <x v="8"/>
  </r>
  <r>
    <s v="E02820"/>
    <x v="812"/>
    <s v="HRIS Analyst"/>
    <x v="6"/>
    <x v="2"/>
    <x v="1"/>
    <x v="1"/>
    <x v="1"/>
    <d v="2000-01-29T00:00:00"/>
    <n v="62686"/>
    <n v="0"/>
    <x v="0"/>
    <x v="5"/>
  </r>
  <r>
    <s v="E02821"/>
    <x v="813"/>
    <s v="Director"/>
    <x v="6"/>
    <x v="2"/>
    <x v="1"/>
    <x v="3"/>
    <x v="31"/>
    <d v="2015-01-12T00:00:00"/>
    <n v="178218"/>
    <n v="0.27"/>
    <x v="0"/>
    <x v="8"/>
  </r>
  <r>
    <s v="E02822"/>
    <x v="814"/>
    <s v="Test Engineer"/>
    <x v="0"/>
    <x v="1"/>
    <x v="1"/>
    <x v="0"/>
    <x v="33"/>
    <d v="2013-10-26T00:00:00"/>
    <n v="69125"/>
    <n v="0"/>
    <x v="0"/>
    <x v="4"/>
  </r>
  <r>
    <s v="E02823"/>
    <x v="815"/>
    <s v="Director"/>
    <x v="4"/>
    <x v="3"/>
    <x v="1"/>
    <x v="0"/>
    <x v="14"/>
    <d v="2006-01-07T00:00:00"/>
    <n v="161376"/>
    <n v="0.24"/>
    <x v="1"/>
    <x v="9"/>
  </r>
  <r>
    <s v="E02824"/>
    <x v="816"/>
    <s v="Account Representative"/>
    <x v="1"/>
    <x v="2"/>
    <x v="1"/>
    <x v="2"/>
    <x v="22"/>
    <d v="2022-06-16T00:00:00"/>
    <n v="59436"/>
    <n v="0"/>
    <x v="0"/>
    <x v="0"/>
  </r>
  <r>
    <s v="E02825"/>
    <x v="817"/>
    <s v="Account Representative"/>
    <x v="1"/>
    <x v="2"/>
    <x v="0"/>
    <x v="2"/>
    <x v="25"/>
    <d v="2016-08-24T00:00:00"/>
    <n v="58733"/>
    <n v="0"/>
    <x v="0"/>
    <x v="8"/>
  </r>
  <r>
    <s v="E02826"/>
    <x v="818"/>
    <s v="Sr. Analyst"/>
    <x v="3"/>
    <x v="1"/>
    <x v="0"/>
    <x v="0"/>
    <x v="12"/>
    <d v="1997-10-14T00:00:00"/>
    <n v="88681"/>
    <n v="0"/>
    <x v="1"/>
    <x v="2"/>
  </r>
  <r>
    <s v="E02827"/>
    <x v="819"/>
    <s v="Director"/>
    <x v="4"/>
    <x v="3"/>
    <x v="0"/>
    <x v="0"/>
    <x v="21"/>
    <d v="2008-02-09T00:00:00"/>
    <n v="186854"/>
    <n v="0.3"/>
    <x v="0"/>
    <x v="5"/>
  </r>
  <r>
    <s v="E02828"/>
    <x v="87"/>
    <s v="Sr. Analyst"/>
    <x v="4"/>
    <x v="0"/>
    <x v="1"/>
    <x v="0"/>
    <x v="28"/>
    <d v="1997-07-10T00:00:00"/>
    <n v="96897"/>
    <n v="0"/>
    <x v="1"/>
    <x v="7"/>
  </r>
  <r>
    <s v="E02829"/>
    <x v="820"/>
    <s v="Manager"/>
    <x v="6"/>
    <x v="1"/>
    <x v="1"/>
    <x v="2"/>
    <x v="17"/>
    <d v="2005-01-17T00:00:00"/>
    <n v="128954"/>
    <n v="0.05"/>
    <x v="0"/>
    <x v="5"/>
  </r>
  <r>
    <s v="E02830"/>
    <x v="821"/>
    <s v="Account Representative"/>
    <x v="1"/>
    <x v="3"/>
    <x v="0"/>
    <x v="0"/>
    <x v="31"/>
    <d v="1999-05-22T00:00:00"/>
    <n v="67418"/>
    <n v="0"/>
    <x v="1"/>
    <x v="2"/>
  </r>
  <r>
    <s v="E02831"/>
    <x v="822"/>
    <s v="Manager"/>
    <x v="3"/>
    <x v="3"/>
    <x v="0"/>
    <x v="2"/>
    <x v="32"/>
    <d v="2014-08-10T00:00:00"/>
    <n v="125545"/>
    <n v="0.06"/>
    <x v="0"/>
    <x v="4"/>
  </r>
  <r>
    <s v="E02832"/>
    <x v="823"/>
    <s v="Manager"/>
    <x v="2"/>
    <x v="2"/>
    <x v="1"/>
    <x v="1"/>
    <x v="0"/>
    <d v="2000-01-27T00:00:00"/>
    <n v="125641"/>
    <n v="0.05"/>
    <x v="0"/>
    <x v="3"/>
  </r>
  <r>
    <s v="E02833"/>
    <x v="824"/>
    <s v="Manager"/>
    <x v="3"/>
    <x v="1"/>
    <x v="0"/>
    <x v="0"/>
    <x v="32"/>
    <d v="1993-12-08T00:00:00"/>
    <n v="100666"/>
    <n v="0.1"/>
    <x v="1"/>
    <x v="9"/>
  </r>
  <r>
    <s v="E02834"/>
    <x v="825"/>
    <s v="HRIS Analyst"/>
    <x v="6"/>
    <x v="3"/>
    <x v="0"/>
    <x v="0"/>
    <x v="6"/>
    <d v="2010-01-12T00:00:00"/>
    <n v="71235"/>
    <n v="0"/>
    <x v="1"/>
    <x v="6"/>
  </r>
  <r>
    <s v="E02835"/>
    <x v="826"/>
    <s v="Sr. Business Partner"/>
    <x v="6"/>
    <x v="1"/>
    <x v="0"/>
    <x v="0"/>
    <x v="34"/>
    <d v="2021-01-15T00:00:00"/>
    <n v="83235"/>
    <n v="0"/>
    <x v="0"/>
    <x v="4"/>
  </r>
  <r>
    <s v="E02836"/>
    <x v="827"/>
    <s v="Analyst"/>
    <x v="1"/>
    <x v="1"/>
    <x v="1"/>
    <x v="1"/>
    <x v="23"/>
    <d v="2014-09-08T00:00:00"/>
    <n v="42075"/>
    <n v="0"/>
    <x v="2"/>
    <x v="10"/>
  </r>
  <r>
    <s v="E02837"/>
    <x v="828"/>
    <s v="Systems Analyst"/>
    <x v="2"/>
    <x v="3"/>
    <x v="1"/>
    <x v="0"/>
    <x v="7"/>
    <d v="2022-10-23T00:00:00"/>
    <n v="55020"/>
    <n v="0"/>
    <x v="1"/>
    <x v="6"/>
  </r>
  <r>
    <s v="E02838"/>
    <x v="829"/>
    <s v="Sr. Analyst"/>
    <x v="5"/>
    <x v="1"/>
    <x v="1"/>
    <x v="2"/>
    <x v="18"/>
    <d v="2003-05-13T00:00:00"/>
    <n v="76506"/>
    <n v="0"/>
    <x v="0"/>
    <x v="4"/>
  </r>
  <r>
    <s v="E02839"/>
    <x v="671"/>
    <s v="Manager"/>
    <x v="3"/>
    <x v="0"/>
    <x v="0"/>
    <x v="0"/>
    <x v="17"/>
    <d v="2007-03-03T00:00:00"/>
    <n v="100051"/>
    <n v="7.0000000000000007E-2"/>
    <x v="1"/>
    <x v="7"/>
  </r>
  <r>
    <s v="E02840"/>
    <x v="830"/>
    <s v="Vice President"/>
    <x v="4"/>
    <x v="1"/>
    <x v="1"/>
    <x v="0"/>
    <x v="6"/>
    <d v="2014-04-19T00:00:00"/>
    <n v="256509"/>
    <n v="0.39"/>
    <x v="1"/>
    <x v="2"/>
  </r>
  <r>
    <s v="E02841"/>
    <x v="831"/>
    <s v="Operations Engineer"/>
    <x v="0"/>
    <x v="3"/>
    <x v="1"/>
    <x v="1"/>
    <x v="37"/>
    <d v="2020-02-16T00:00:00"/>
    <n v="76904"/>
    <n v="0"/>
    <x v="2"/>
    <x v="10"/>
  </r>
  <r>
    <s v="E02842"/>
    <x v="832"/>
    <s v="Sr. Analyst"/>
    <x v="1"/>
    <x v="2"/>
    <x v="0"/>
    <x v="0"/>
    <x v="14"/>
    <d v="2018-11-08T00:00:00"/>
    <n v="87914"/>
    <n v="0"/>
    <x v="1"/>
    <x v="2"/>
  </r>
  <r>
    <s v="E02843"/>
    <x v="833"/>
    <s v="Vice President"/>
    <x v="4"/>
    <x v="0"/>
    <x v="0"/>
    <x v="0"/>
    <x v="35"/>
    <d v="2010-03-05T00:00:00"/>
    <n v="235994"/>
    <n v="0.33"/>
    <x v="1"/>
    <x v="9"/>
  </r>
  <r>
    <s v="E02844"/>
    <x v="834"/>
    <s v="Automation Engineer"/>
    <x v="0"/>
    <x v="1"/>
    <x v="0"/>
    <x v="2"/>
    <x v="17"/>
    <d v="2015-03-12T00:00:00"/>
    <n v="79620"/>
    <n v="0"/>
    <x v="0"/>
    <x v="1"/>
  </r>
  <r>
    <s v="E02845"/>
    <x v="835"/>
    <s v="Cloud Infrastructure Architect"/>
    <x v="2"/>
    <x v="2"/>
    <x v="1"/>
    <x v="2"/>
    <x v="11"/>
    <d v="2010-06-04T00:00:00"/>
    <n v="62450"/>
    <n v="0"/>
    <x v="0"/>
    <x v="4"/>
  </r>
  <r>
    <s v="E02846"/>
    <x v="836"/>
    <s v="Sr. Manager"/>
    <x v="6"/>
    <x v="2"/>
    <x v="0"/>
    <x v="1"/>
    <x v="0"/>
    <d v="2000-12-29T00:00:00"/>
    <n v="134612"/>
    <n v="0.12"/>
    <x v="0"/>
    <x v="4"/>
  </r>
  <r>
    <s v="E02847"/>
    <x v="837"/>
    <s v="Systems Analyst"/>
    <x v="2"/>
    <x v="2"/>
    <x v="1"/>
    <x v="0"/>
    <x v="21"/>
    <d v="2008-05-21T00:00:00"/>
    <n v="46151"/>
    <n v="0"/>
    <x v="0"/>
    <x v="5"/>
  </r>
  <r>
    <s v="E02848"/>
    <x v="838"/>
    <s v="Network Engineer"/>
    <x v="2"/>
    <x v="0"/>
    <x v="1"/>
    <x v="2"/>
    <x v="35"/>
    <d v="2008-03-03T00:00:00"/>
    <n v="63889"/>
    <n v="0"/>
    <x v="0"/>
    <x v="3"/>
  </r>
  <r>
    <s v="E02849"/>
    <x v="839"/>
    <s v="Test Engineer"/>
    <x v="0"/>
    <x v="1"/>
    <x v="1"/>
    <x v="1"/>
    <x v="32"/>
    <d v="2009-04-17T00:00:00"/>
    <n v="75060"/>
    <n v="0"/>
    <x v="0"/>
    <x v="0"/>
  </r>
  <r>
    <s v="E02850"/>
    <x v="840"/>
    <s v="Director"/>
    <x v="2"/>
    <x v="0"/>
    <x v="1"/>
    <x v="0"/>
    <x v="19"/>
    <d v="2011-04-22T00:00:00"/>
    <n v="175033"/>
    <n v="0.2"/>
    <x v="1"/>
    <x v="9"/>
  </r>
  <r>
    <s v="E02851"/>
    <x v="841"/>
    <s v="Computer Systems Manager"/>
    <x v="2"/>
    <x v="3"/>
    <x v="1"/>
    <x v="2"/>
    <x v="7"/>
    <d v="2014-01-28T00:00:00"/>
    <n v="89379"/>
    <n v="0.1"/>
    <x v="0"/>
    <x v="3"/>
  </r>
  <r>
    <s v="E02852"/>
    <x v="842"/>
    <s v="Controls Engineer"/>
    <x v="0"/>
    <x v="1"/>
    <x v="1"/>
    <x v="3"/>
    <x v="35"/>
    <d v="2011-04-09T00:00:00"/>
    <n v="98594"/>
    <n v="0"/>
    <x v="0"/>
    <x v="5"/>
  </r>
  <r>
    <s v="E02853"/>
    <x v="843"/>
    <s v="Vice President"/>
    <x v="5"/>
    <x v="2"/>
    <x v="1"/>
    <x v="2"/>
    <x v="3"/>
    <d v="2021-10-05T00:00:00"/>
    <n v="224435"/>
    <n v="0.33"/>
    <x v="0"/>
    <x v="3"/>
  </r>
  <r>
    <s v="E02854"/>
    <x v="844"/>
    <s v="Technical Architect"/>
    <x v="2"/>
    <x v="1"/>
    <x v="0"/>
    <x v="1"/>
    <x v="15"/>
    <d v="2015-01-21T00:00:00"/>
    <n v="63644"/>
    <n v="0"/>
    <x v="2"/>
    <x v="12"/>
  </r>
  <r>
    <s v="E02855"/>
    <x v="845"/>
    <s v="Manager"/>
    <x v="3"/>
    <x v="0"/>
    <x v="1"/>
    <x v="0"/>
    <x v="37"/>
    <d v="2018-12-16T00:00:00"/>
    <n v="121234"/>
    <n v="0.05"/>
    <x v="0"/>
    <x v="4"/>
  </r>
  <r>
    <s v="E02856"/>
    <x v="846"/>
    <s v="Sr. Analyst"/>
    <x v="3"/>
    <x v="2"/>
    <x v="0"/>
    <x v="1"/>
    <x v="0"/>
    <d v="2007-09-22T00:00:00"/>
    <n v="83793"/>
    <n v="0"/>
    <x v="0"/>
    <x v="8"/>
  </r>
  <r>
    <s v="E02857"/>
    <x v="847"/>
    <s v="Test Engineer"/>
    <x v="0"/>
    <x v="2"/>
    <x v="1"/>
    <x v="2"/>
    <x v="30"/>
    <d v="2019-11-28T00:00:00"/>
    <n v="99586"/>
    <n v="0"/>
    <x v="0"/>
    <x v="8"/>
  </r>
  <r>
    <s v="E02858"/>
    <x v="848"/>
    <s v="Business Partner"/>
    <x v="6"/>
    <x v="1"/>
    <x v="1"/>
    <x v="1"/>
    <x v="14"/>
    <d v="2006-09-11T00:00:00"/>
    <n v="59514"/>
    <n v="0"/>
    <x v="2"/>
    <x v="10"/>
  </r>
  <r>
    <s v="E02859"/>
    <x v="849"/>
    <s v="Manager"/>
    <x v="5"/>
    <x v="1"/>
    <x v="1"/>
    <x v="2"/>
    <x v="34"/>
    <d v="2020-04-27T00:00:00"/>
    <n v="106043"/>
    <n v="0.1"/>
    <x v="0"/>
    <x v="0"/>
  </r>
  <r>
    <s v="E02860"/>
    <x v="850"/>
    <s v="Solutions Architect"/>
    <x v="2"/>
    <x v="3"/>
    <x v="0"/>
    <x v="0"/>
    <x v="0"/>
    <d v="2005-09-12T00:00:00"/>
    <n v="78985"/>
    <n v="0"/>
    <x v="1"/>
    <x v="9"/>
  </r>
  <r>
    <s v="E02861"/>
    <x v="851"/>
    <s v="Vice President"/>
    <x v="2"/>
    <x v="2"/>
    <x v="1"/>
    <x v="1"/>
    <x v="14"/>
    <d v="2012-11-24T00:00:00"/>
    <n v="226122"/>
    <n v="0.32"/>
    <x v="2"/>
    <x v="12"/>
  </r>
  <r>
    <s v="E02862"/>
    <x v="852"/>
    <s v="Manager"/>
    <x v="4"/>
    <x v="0"/>
    <x v="1"/>
    <x v="3"/>
    <x v="4"/>
    <d v="2012-01-10T00:00:00"/>
    <n v="110720"/>
    <n v="0.09"/>
    <x v="0"/>
    <x v="8"/>
  </r>
  <r>
    <s v="E02863"/>
    <x v="853"/>
    <s v="Director"/>
    <x v="2"/>
    <x v="2"/>
    <x v="0"/>
    <x v="0"/>
    <x v="10"/>
    <d v="2009-10-11T00:00:00"/>
    <n v="152519"/>
    <n v="0.3"/>
    <x v="1"/>
    <x v="6"/>
  </r>
  <r>
    <s v="E02864"/>
    <x v="854"/>
    <s v="Development Engineer"/>
    <x v="0"/>
    <x v="1"/>
    <x v="1"/>
    <x v="2"/>
    <x v="33"/>
    <d v="2010-03-24T00:00:00"/>
    <n v="80015"/>
    <n v="0"/>
    <x v="0"/>
    <x v="1"/>
  </r>
  <r>
    <s v="E02865"/>
    <x v="3"/>
    <s v="Vice President"/>
    <x v="2"/>
    <x v="1"/>
    <x v="1"/>
    <x v="1"/>
    <x v="30"/>
    <d v="2020-09-02T00:00:00"/>
    <n v="192286"/>
    <n v="0.32"/>
    <x v="2"/>
    <x v="10"/>
  </r>
  <r>
    <s v="E02866"/>
    <x v="855"/>
    <s v="Business Partner"/>
    <x v="6"/>
    <x v="3"/>
    <x v="1"/>
    <x v="0"/>
    <x v="8"/>
    <d v="2014-10-15T00:00:00"/>
    <n v="40352"/>
    <n v="0"/>
    <x v="1"/>
    <x v="9"/>
  </r>
  <r>
    <s v="E02867"/>
    <x v="856"/>
    <s v="Sr. Manager"/>
    <x v="6"/>
    <x v="1"/>
    <x v="1"/>
    <x v="2"/>
    <x v="32"/>
    <d v="2008-06-27T00:00:00"/>
    <n v="147813"/>
    <n v="0.13"/>
    <x v="0"/>
    <x v="1"/>
  </r>
  <r>
    <s v="E02868"/>
    <x v="857"/>
    <s v="System Administrator "/>
    <x v="2"/>
    <x v="0"/>
    <x v="1"/>
    <x v="0"/>
    <x v="12"/>
    <d v="2010-06-05T00:00:00"/>
    <n v="96404"/>
    <n v="0"/>
    <x v="1"/>
    <x v="7"/>
  </r>
  <r>
    <s v="E02869"/>
    <x v="858"/>
    <s v="Analyst II"/>
    <x v="3"/>
    <x v="0"/>
    <x v="1"/>
    <x v="0"/>
    <x v="30"/>
    <d v="2001-06-17T00:00:00"/>
    <n v="64882"/>
    <n v="0"/>
    <x v="0"/>
    <x v="1"/>
  </r>
  <r>
    <s v="E02870"/>
    <x v="859"/>
    <s v="Vice President"/>
    <x v="1"/>
    <x v="0"/>
    <x v="1"/>
    <x v="2"/>
    <x v="1"/>
    <d v="2016-10-23T00:00:00"/>
    <n v="203739"/>
    <n v="0.3"/>
    <x v="0"/>
    <x v="8"/>
  </r>
  <r>
    <s v="E02871"/>
    <x v="860"/>
    <s v="Director"/>
    <x v="0"/>
    <x v="2"/>
    <x v="0"/>
    <x v="2"/>
    <x v="2"/>
    <d v="2022-03-16T00:00:00"/>
    <n v="197849"/>
    <n v="0.19"/>
    <x v="0"/>
    <x v="5"/>
  </r>
  <r>
    <s v="E02872"/>
    <x v="861"/>
    <s v="Computer Systems Manager"/>
    <x v="2"/>
    <x v="0"/>
    <x v="1"/>
    <x v="3"/>
    <x v="24"/>
    <d v="2000-10-15T00:00:00"/>
    <n v="60116"/>
    <n v="0.05"/>
    <x v="0"/>
    <x v="1"/>
  </r>
  <r>
    <s v="E02873"/>
    <x v="862"/>
    <s v="Sr. Account Representative"/>
    <x v="1"/>
    <x v="3"/>
    <x v="0"/>
    <x v="0"/>
    <x v="20"/>
    <d v="2009-01-27T00:00:00"/>
    <n v="90881"/>
    <n v="0"/>
    <x v="1"/>
    <x v="2"/>
  </r>
  <r>
    <s v="E02874"/>
    <x v="863"/>
    <s v="Network Architect"/>
    <x v="2"/>
    <x v="3"/>
    <x v="1"/>
    <x v="0"/>
    <x v="34"/>
    <d v="2021-11-10T00:00:00"/>
    <n v="83965"/>
    <n v="0"/>
    <x v="1"/>
    <x v="7"/>
  </r>
  <r>
    <s v="E02875"/>
    <x v="864"/>
    <s v="Development Engineer"/>
    <x v="0"/>
    <x v="1"/>
    <x v="0"/>
    <x v="3"/>
    <x v="5"/>
    <d v="2006-06-30T00:00:00"/>
    <n v="73500"/>
    <n v="0"/>
    <x v="0"/>
    <x v="5"/>
  </r>
  <r>
    <s v="E02876"/>
    <x v="865"/>
    <s v="Director"/>
    <x v="6"/>
    <x v="0"/>
    <x v="0"/>
    <x v="2"/>
    <x v="21"/>
    <d v="2022-07-02T00:00:00"/>
    <n v="175137"/>
    <n v="0.26"/>
    <x v="0"/>
    <x v="1"/>
  </r>
  <r>
    <s v="E02877"/>
    <x v="866"/>
    <s v="Director"/>
    <x v="5"/>
    <x v="0"/>
    <x v="1"/>
    <x v="2"/>
    <x v="25"/>
    <d v="2012-06-07T00:00:00"/>
    <n v="161453"/>
    <n v="0.27"/>
    <x v="0"/>
    <x v="5"/>
  </r>
  <r>
    <s v="E02878"/>
    <x v="867"/>
    <s v="Analyst II"/>
    <x v="5"/>
    <x v="0"/>
    <x v="0"/>
    <x v="1"/>
    <x v="15"/>
    <d v="2020-05-19T00:00:00"/>
    <n v="64234"/>
    <n v="0"/>
    <x v="0"/>
    <x v="3"/>
  </r>
  <r>
    <s v="E02879"/>
    <x v="868"/>
    <s v="Manager"/>
    <x v="2"/>
    <x v="3"/>
    <x v="0"/>
    <x v="0"/>
    <x v="17"/>
    <d v="1994-07-12T00:00:00"/>
    <n v="103726"/>
    <n v="0.08"/>
    <x v="1"/>
    <x v="2"/>
  </r>
  <r>
    <s v="E02880"/>
    <x v="869"/>
    <s v="Automation Engineer"/>
    <x v="0"/>
    <x v="2"/>
    <x v="0"/>
    <x v="0"/>
    <x v="30"/>
    <d v="2000-12-29T00:00:00"/>
    <n v="114260"/>
    <n v="0"/>
    <x v="1"/>
    <x v="7"/>
  </r>
  <r>
    <s v="E02881"/>
    <x v="870"/>
    <s v="Controls Engineer"/>
    <x v="0"/>
    <x v="1"/>
    <x v="0"/>
    <x v="1"/>
    <x v="11"/>
    <d v="2012-04-27T00:00:00"/>
    <n v="116168"/>
    <n v="0"/>
    <x v="0"/>
    <x v="4"/>
  </r>
  <r>
    <s v="E02882"/>
    <x v="871"/>
    <s v="Sr. Manager"/>
    <x v="1"/>
    <x v="2"/>
    <x v="0"/>
    <x v="0"/>
    <x v="27"/>
    <d v="2021-08-09T00:00:00"/>
    <n v="133267"/>
    <n v="0.12"/>
    <x v="0"/>
    <x v="5"/>
  </r>
  <r>
    <s v="E02883"/>
    <x v="872"/>
    <s v="Account Representative"/>
    <x v="1"/>
    <x v="3"/>
    <x v="1"/>
    <x v="0"/>
    <x v="19"/>
    <d v="2016-12-04T00:00:00"/>
    <n v="50038"/>
    <n v="0"/>
    <x v="1"/>
    <x v="6"/>
  </r>
  <r>
    <s v="E02884"/>
    <x v="873"/>
    <s v="Analyst"/>
    <x v="3"/>
    <x v="1"/>
    <x v="0"/>
    <x v="2"/>
    <x v="27"/>
    <d v="2022-01-06T00:00:00"/>
    <n v="52058"/>
    <n v="0"/>
    <x v="0"/>
    <x v="0"/>
  </r>
  <r>
    <s v="E02885"/>
    <x v="874"/>
    <s v="Manager"/>
    <x v="5"/>
    <x v="3"/>
    <x v="0"/>
    <x v="2"/>
    <x v="40"/>
    <d v="2022-11-19T00:00:00"/>
    <n v="112646"/>
    <n v="0.08"/>
    <x v="0"/>
    <x v="0"/>
  </r>
  <r>
    <s v="E02886"/>
    <x v="875"/>
    <s v="Analyst"/>
    <x v="3"/>
    <x v="0"/>
    <x v="0"/>
    <x v="0"/>
    <x v="4"/>
    <d v="2014-12-07T00:00:00"/>
    <n v="53829"/>
    <n v="0"/>
    <x v="1"/>
    <x v="9"/>
  </r>
  <r>
    <s v="E02887"/>
    <x v="876"/>
    <s v="Sr. Account Representative"/>
    <x v="1"/>
    <x v="3"/>
    <x v="1"/>
    <x v="1"/>
    <x v="28"/>
    <d v="1997-11-19T00:00:00"/>
    <n v="90737"/>
    <n v="0"/>
    <x v="2"/>
    <x v="11"/>
  </r>
  <r>
    <s v="E02888"/>
    <x v="877"/>
    <s v="Sr. Manager"/>
    <x v="6"/>
    <x v="3"/>
    <x v="0"/>
    <x v="0"/>
    <x v="39"/>
    <d v="2012-03-11T00:00:00"/>
    <n v="136723"/>
    <n v="0.11"/>
    <x v="0"/>
    <x v="4"/>
  </r>
  <r>
    <s v="E02889"/>
    <x v="878"/>
    <s v="Manager"/>
    <x v="3"/>
    <x v="0"/>
    <x v="1"/>
    <x v="2"/>
    <x v="38"/>
    <d v="2010-01-09T00:00:00"/>
    <n v="129099"/>
    <n v="0.06"/>
    <x v="0"/>
    <x v="4"/>
  </r>
  <r>
    <s v="E02890"/>
    <x v="879"/>
    <s v="IT Coordinator"/>
    <x v="2"/>
    <x v="1"/>
    <x v="1"/>
    <x v="1"/>
    <x v="33"/>
    <d v="2016-12-20T00:00:00"/>
    <n v="59376"/>
    <n v="0"/>
    <x v="0"/>
    <x v="8"/>
  </r>
  <r>
    <s v="E02891"/>
    <x v="880"/>
    <s v="System Administrator "/>
    <x v="2"/>
    <x v="2"/>
    <x v="1"/>
    <x v="0"/>
    <x v="7"/>
    <d v="2018-12-25T00:00:00"/>
    <n v="98060"/>
    <n v="0"/>
    <x v="0"/>
    <x v="8"/>
  </r>
  <r>
    <s v="E02892"/>
    <x v="881"/>
    <s v="Sr. Manager"/>
    <x v="6"/>
    <x v="1"/>
    <x v="0"/>
    <x v="1"/>
    <x v="8"/>
    <d v="2014-02-21T00:00:00"/>
    <n v="152911"/>
    <n v="0.1"/>
    <x v="2"/>
    <x v="10"/>
  </r>
  <r>
    <s v="E02893"/>
    <x v="882"/>
    <s v="Systems Analyst"/>
    <x v="2"/>
    <x v="2"/>
    <x v="0"/>
    <x v="1"/>
    <x v="0"/>
    <d v="2003-12-15T00:00:00"/>
    <n v="42994"/>
    <n v="0"/>
    <x v="2"/>
    <x v="11"/>
  </r>
  <r>
    <s v="E02894"/>
    <x v="883"/>
    <s v="Analyst"/>
    <x v="3"/>
    <x v="0"/>
    <x v="1"/>
    <x v="0"/>
    <x v="4"/>
    <d v="2019-03-28T00:00:00"/>
    <n v="59853"/>
    <n v="0"/>
    <x v="1"/>
    <x v="7"/>
  </r>
  <r>
    <s v="E02895"/>
    <x v="884"/>
    <s v="Systems Analyst"/>
    <x v="2"/>
    <x v="0"/>
    <x v="0"/>
    <x v="3"/>
    <x v="12"/>
    <d v="2011-12-07T00:00:00"/>
    <n v="41220"/>
    <n v="0"/>
    <x v="0"/>
    <x v="1"/>
  </r>
  <r>
    <s v="E02896"/>
    <x v="885"/>
    <s v="Sr. Analyst"/>
    <x v="3"/>
    <x v="1"/>
    <x v="1"/>
    <x v="0"/>
    <x v="26"/>
    <d v="2020-02-18T00:00:00"/>
    <n v="97261"/>
    <n v="0"/>
    <x v="1"/>
    <x v="9"/>
  </r>
  <r>
    <s v="E02897"/>
    <x v="886"/>
    <s v="Manager"/>
    <x v="6"/>
    <x v="0"/>
    <x v="0"/>
    <x v="3"/>
    <x v="10"/>
    <d v="2018-07-19T00:00:00"/>
    <n v="127363"/>
    <n v="0.09"/>
    <x v="0"/>
    <x v="0"/>
  </r>
  <r>
    <s v="E02898"/>
    <x v="887"/>
    <s v="Manager"/>
    <x v="5"/>
    <x v="3"/>
    <x v="0"/>
    <x v="2"/>
    <x v="37"/>
    <d v="2019-10-13T00:00:00"/>
    <n v="111274"/>
    <n v="0.06"/>
    <x v="0"/>
    <x v="3"/>
  </r>
  <r>
    <s v="E02899"/>
    <x v="888"/>
    <s v="Computer Systems Manager"/>
    <x v="2"/>
    <x v="1"/>
    <x v="0"/>
    <x v="1"/>
    <x v="32"/>
    <d v="2018-04-17T00:00:00"/>
    <n v="90554"/>
    <n v="7.0000000000000007E-2"/>
    <x v="2"/>
    <x v="10"/>
  </r>
  <r>
    <s v="E02900"/>
    <x v="889"/>
    <s v="Manager"/>
    <x v="4"/>
    <x v="2"/>
    <x v="0"/>
    <x v="1"/>
    <x v="5"/>
    <d v="1997-12-12T00:00:00"/>
    <n v="100226"/>
    <n v="0.1"/>
    <x v="0"/>
    <x v="3"/>
  </r>
  <r>
    <s v="E02901"/>
    <x v="890"/>
    <s v="Field Engineer"/>
    <x v="0"/>
    <x v="0"/>
    <x v="1"/>
    <x v="0"/>
    <x v="33"/>
    <d v="2017-04-21T00:00:00"/>
    <n v="93348"/>
    <n v="0"/>
    <x v="1"/>
    <x v="6"/>
  </r>
  <r>
    <s v="E02902"/>
    <x v="891"/>
    <s v="Network Engineer"/>
    <x v="2"/>
    <x v="2"/>
    <x v="1"/>
    <x v="1"/>
    <x v="5"/>
    <d v="1993-06-25T00:00:00"/>
    <n v="78059"/>
    <n v="0"/>
    <x v="0"/>
    <x v="5"/>
  </r>
  <r>
    <s v="E02903"/>
    <x v="892"/>
    <s v="Business Partner"/>
    <x v="6"/>
    <x v="2"/>
    <x v="1"/>
    <x v="1"/>
    <x v="9"/>
    <d v="2001-06-29T00:00:00"/>
    <n v="58480"/>
    <n v="0"/>
    <x v="2"/>
    <x v="12"/>
  </r>
  <r>
    <s v="E02904"/>
    <x v="893"/>
    <s v="Vice President"/>
    <x v="4"/>
    <x v="1"/>
    <x v="1"/>
    <x v="0"/>
    <x v="3"/>
    <d v="2017-04-24T00:00:00"/>
    <n v="218052"/>
    <n v="0.39"/>
    <x v="1"/>
    <x v="7"/>
  </r>
  <r>
    <s v="E02905"/>
    <x v="894"/>
    <s v="Manager"/>
    <x v="3"/>
    <x v="0"/>
    <x v="0"/>
    <x v="3"/>
    <x v="7"/>
    <d v="2002-05-23T00:00:00"/>
    <n v="129231"/>
    <n v="0.09"/>
    <x v="0"/>
    <x v="8"/>
  </r>
  <r>
    <s v="E02906"/>
    <x v="895"/>
    <s v="Director"/>
    <x v="5"/>
    <x v="3"/>
    <x v="0"/>
    <x v="0"/>
    <x v="24"/>
    <d v="2010-10-10T00:00:00"/>
    <n v="161878"/>
    <n v="0.22"/>
    <x v="1"/>
    <x v="6"/>
  </r>
  <r>
    <s v="E02907"/>
    <x v="896"/>
    <s v="Vice President"/>
    <x v="5"/>
    <x v="1"/>
    <x v="1"/>
    <x v="2"/>
    <x v="23"/>
    <d v="2015-03-04T00:00:00"/>
    <n v="241722"/>
    <n v="0.38"/>
    <x v="0"/>
    <x v="1"/>
  </r>
  <r>
    <s v="E02908"/>
    <x v="897"/>
    <s v="Solutions Architect"/>
    <x v="2"/>
    <x v="1"/>
    <x v="0"/>
    <x v="2"/>
    <x v="36"/>
    <d v="2018-03-12T00:00:00"/>
    <n v="91835"/>
    <n v="0"/>
    <x v="0"/>
    <x v="3"/>
  </r>
  <r>
    <s v="E02909"/>
    <x v="898"/>
    <s v="Sr. Analyst"/>
    <x v="1"/>
    <x v="0"/>
    <x v="0"/>
    <x v="2"/>
    <x v="0"/>
    <d v="2011-01-07T00:00:00"/>
    <n v="93910"/>
    <n v="0"/>
    <x v="0"/>
    <x v="8"/>
  </r>
  <r>
    <s v="E02910"/>
    <x v="899"/>
    <s v="Sr. Analyst"/>
    <x v="1"/>
    <x v="2"/>
    <x v="1"/>
    <x v="1"/>
    <x v="10"/>
    <d v="2005-11-18T00:00:00"/>
    <n v="86303"/>
    <n v="0"/>
    <x v="0"/>
    <x v="5"/>
  </r>
  <r>
    <s v="E02911"/>
    <x v="900"/>
    <s v="Sr. Manager"/>
    <x v="4"/>
    <x v="1"/>
    <x v="1"/>
    <x v="0"/>
    <x v="36"/>
    <d v="1995-05-01T00:00:00"/>
    <n v="122731"/>
    <n v="0.13"/>
    <x v="0"/>
    <x v="3"/>
  </r>
  <r>
    <s v="E02912"/>
    <x v="901"/>
    <s v="Sr. Manager"/>
    <x v="4"/>
    <x v="1"/>
    <x v="0"/>
    <x v="1"/>
    <x v="6"/>
    <d v="2018-12-29T00:00:00"/>
    <n v="147867"/>
    <n v="0.12"/>
    <x v="0"/>
    <x v="8"/>
  </r>
  <r>
    <s v="E02913"/>
    <x v="902"/>
    <s v="Manager"/>
    <x v="6"/>
    <x v="2"/>
    <x v="0"/>
    <x v="2"/>
    <x v="0"/>
    <d v="2004-08-30T00:00:00"/>
    <n v="123790"/>
    <n v="0.05"/>
    <x v="0"/>
    <x v="4"/>
  </r>
  <r>
    <s v="E02914"/>
    <x v="903"/>
    <s v="Sr. Business Partner"/>
    <x v="6"/>
    <x v="3"/>
    <x v="0"/>
    <x v="1"/>
    <x v="31"/>
    <d v="2000-04-28T00:00:00"/>
    <n v="77153"/>
    <n v="0"/>
    <x v="0"/>
    <x v="8"/>
  </r>
  <r>
    <s v="E02915"/>
    <x v="904"/>
    <s v="Enterprise Architect"/>
    <x v="2"/>
    <x v="2"/>
    <x v="0"/>
    <x v="2"/>
    <x v="7"/>
    <d v="1994-08-15T00:00:00"/>
    <n v="73779"/>
    <n v="0"/>
    <x v="0"/>
    <x v="1"/>
  </r>
  <r>
    <s v="E02916"/>
    <x v="905"/>
    <s v="Vice President"/>
    <x v="3"/>
    <x v="1"/>
    <x v="1"/>
    <x v="1"/>
    <x v="36"/>
    <d v="2018-10-07T00:00:00"/>
    <n v="231699"/>
    <n v="0.32"/>
    <x v="2"/>
    <x v="12"/>
  </r>
  <r>
    <s v="E02917"/>
    <x v="906"/>
    <s v="Vice President"/>
    <x v="4"/>
    <x v="1"/>
    <x v="0"/>
    <x v="3"/>
    <x v="33"/>
    <d v="2009-05-16T00:00:00"/>
    <n v="199512"/>
    <n v="0.35"/>
    <x v="0"/>
    <x v="4"/>
  </r>
  <r>
    <s v="E02918"/>
    <x v="907"/>
    <s v="Network Architect"/>
    <x v="2"/>
    <x v="1"/>
    <x v="0"/>
    <x v="2"/>
    <x v="13"/>
    <d v="2022-04-09T00:00:00"/>
    <n v="77557"/>
    <n v="0"/>
    <x v="0"/>
    <x v="8"/>
  </r>
  <r>
    <s v="E02919"/>
    <x v="908"/>
    <s v="Sr. Analyst"/>
    <x v="1"/>
    <x v="2"/>
    <x v="1"/>
    <x v="0"/>
    <x v="21"/>
    <d v="2021-02-18T00:00:00"/>
    <n v="99760"/>
    <n v="0"/>
    <x v="1"/>
    <x v="6"/>
  </r>
  <r>
    <s v="E02920"/>
    <x v="909"/>
    <s v="Sr. Analyst"/>
    <x v="5"/>
    <x v="3"/>
    <x v="0"/>
    <x v="0"/>
    <x v="19"/>
    <d v="1996-09-08T00:00:00"/>
    <n v="96297"/>
    <n v="0"/>
    <x v="0"/>
    <x v="8"/>
  </r>
  <r>
    <s v="E02921"/>
    <x v="910"/>
    <s v="IT Coordinator"/>
    <x v="2"/>
    <x v="3"/>
    <x v="0"/>
    <x v="0"/>
    <x v="16"/>
    <d v="2010-12-27T00:00:00"/>
    <n v="53593"/>
    <n v="0"/>
    <x v="1"/>
    <x v="7"/>
  </r>
  <r>
    <s v="E02922"/>
    <x v="911"/>
    <s v="Director"/>
    <x v="5"/>
    <x v="0"/>
    <x v="1"/>
    <x v="1"/>
    <x v="38"/>
    <d v="2018-03-03T00:00:00"/>
    <n v="167660"/>
    <n v="0.28999999999999998"/>
    <x v="2"/>
    <x v="11"/>
  </r>
  <r>
    <s v="E02923"/>
    <x v="912"/>
    <s v="Analyst"/>
    <x v="1"/>
    <x v="3"/>
    <x v="0"/>
    <x v="2"/>
    <x v="13"/>
    <d v="2021-07-18T00:00:00"/>
    <n v="43084"/>
    <n v="0"/>
    <x v="0"/>
    <x v="3"/>
  </r>
  <r>
    <s v="E02924"/>
    <x v="913"/>
    <s v="Sr. Manager"/>
    <x v="2"/>
    <x v="0"/>
    <x v="0"/>
    <x v="2"/>
    <x v="29"/>
    <d v="1996-07-09T00:00:00"/>
    <n v="154707"/>
    <n v="0.13"/>
    <x v="0"/>
    <x v="4"/>
  </r>
  <r>
    <s v="E02925"/>
    <x v="914"/>
    <s v="Vice President"/>
    <x v="2"/>
    <x v="2"/>
    <x v="0"/>
    <x v="0"/>
    <x v="36"/>
    <d v="2011-03-11T00:00:00"/>
    <n v="184780"/>
    <n v="0.38"/>
    <x v="0"/>
    <x v="4"/>
  </r>
  <r>
    <s v="E02926"/>
    <x v="915"/>
    <s v="Manager"/>
    <x v="5"/>
    <x v="0"/>
    <x v="1"/>
    <x v="1"/>
    <x v="15"/>
    <d v="2015-10-19T00:00:00"/>
    <n v="109925"/>
    <n v="7.0000000000000007E-2"/>
    <x v="2"/>
    <x v="12"/>
  </r>
  <r>
    <s v="E02927"/>
    <x v="916"/>
    <s v="Sr. Manager"/>
    <x v="4"/>
    <x v="1"/>
    <x v="0"/>
    <x v="0"/>
    <x v="32"/>
    <d v="2015-03-09T00:00:00"/>
    <n v="151706"/>
    <n v="0.11"/>
    <x v="1"/>
    <x v="7"/>
  </r>
  <r>
    <s v="E02928"/>
    <x v="917"/>
    <s v="Manager"/>
    <x v="3"/>
    <x v="0"/>
    <x v="0"/>
    <x v="1"/>
    <x v="22"/>
    <d v="2022-12-19T00:00:00"/>
    <n v="102066"/>
    <n v="0.1"/>
    <x v="0"/>
    <x v="4"/>
  </r>
  <r>
    <s v="E02929"/>
    <x v="918"/>
    <s v="Vice President"/>
    <x v="5"/>
    <x v="2"/>
    <x v="0"/>
    <x v="0"/>
    <x v="15"/>
    <d v="2021-05-13T00:00:00"/>
    <n v="234203"/>
    <n v="0.36"/>
    <x v="0"/>
    <x v="3"/>
  </r>
  <r>
    <s v="E02930"/>
    <x v="919"/>
    <s v="Sr. Manager"/>
    <x v="5"/>
    <x v="1"/>
    <x v="0"/>
    <x v="1"/>
    <x v="16"/>
    <d v="2019-07-12T00:00:00"/>
    <n v="121884"/>
    <n v="0.12"/>
    <x v="0"/>
    <x v="4"/>
  </r>
  <r>
    <s v="E02931"/>
    <x v="920"/>
    <s v="Vice President"/>
    <x v="5"/>
    <x v="2"/>
    <x v="0"/>
    <x v="0"/>
    <x v="12"/>
    <d v="2014-04-20T00:00:00"/>
    <n v="209680"/>
    <n v="0.34"/>
    <x v="1"/>
    <x v="2"/>
  </r>
  <r>
    <s v="E02932"/>
    <x v="921"/>
    <s v="Vice President"/>
    <x v="2"/>
    <x v="2"/>
    <x v="1"/>
    <x v="2"/>
    <x v="4"/>
    <d v="2011-07-09T00:00:00"/>
    <n v="240940"/>
    <n v="0.34"/>
    <x v="0"/>
    <x v="5"/>
  </r>
  <r>
    <s v="E02933"/>
    <x v="922"/>
    <s v="Network Administrator"/>
    <x v="2"/>
    <x v="0"/>
    <x v="1"/>
    <x v="2"/>
    <x v="19"/>
    <d v="2013-12-16T00:00:00"/>
    <n v="63884"/>
    <n v="0"/>
    <x v="0"/>
    <x v="8"/>
  </r>
  <r>
    <s v="E02934"/>
    <x v="923"/>
    <s v="Cloud Infrastructure Architect"/>
    <x v="2"/>
    <x v="3"/>
    <x v="1"/>
    <x v="2"/>
    <x v="30"/>
    <d v="2012-03-20T00:00:00"/>
    <n v="74026"/>
    <n v="0"/>
    <x v="0"/>
    <x v="5"/>
  </r>
  <r>
    <s v="E02935"/>
    <x v="924"/>
    <s v="Service Desk Analyst"/>
    <x v="2"/>
    <x v="3"/>
    <x v="1"/>
    <x v="1"/>
    <x v="19"/>
    <d v="2007-11-12T00:00:00"/>
    <n v="67756"/>
    <n v="0"/>
    <x v="0"/>
    <x v="1"/>
  </r>
  <r>
    <s v="E02936"/>
    <x v="925"/>
    <s v="Director"/>
    <x v="1"/>
    <x v="1"/>
    <x v="1"/>
    <x v="1"/>
    <x v="5"/>
    <d v="2012-01-23T00:00:00"/>
    <n v="180256"/>
    <n v="0.2"/>
    <x v="0"/>
    <x v="5"/>
  </r>
  <r>
    <s v="E02937"/>
    <x v="926"/>
    <s v="Director"/>
    <x v="0"/>
    <x v="3"/>
    <x v="1"/>
    <x v="2"/>
    <x v="10"/>
    <d v="2019-03-14T00:00:00"/>
    <n v="183165"/>
    <n v="0.18"/>
    <x v="0"/>
    <x v="8"/>
  </r>
  <r>
    <s v="E02938"/>
    <x v="927"/>
    <s v="Director"/>
    <x v="3"/>
    <x v="3"/>
    <x v="0"/>
    <x v="1"/>
    <x v="2"/>
    <d v="2012-02-07T00:00:00"/>
    <n v="195194"/>
    <n v="0.23"/>
    <x v="0"/>
    <x v="1"/>
  </r>
  <r>
    <s v="E02939"/>
    <x v="928"/>
    <s v="Analyst"/>
    <x v="5"/>
    <x v="1"/>
    <x v="1"/>
    <x v="1"/>
    <x v="25"/>
    <d v="2012-05-22T00:00:00"/>
    <n v="46569"/>
    <n v="0"/>
    <x v="0"/>
    <x v="4"/>
  </r>
  <r>
    <s v="E02940"/>
    <x v="929"/>
    <s v="IT Systems Architect"/>
    <x v="2"/>
    <x v="1"/>
    <x v="0"/>
    <x v="2"/>
    <x v="20"/>
    <d v="2006-08-19T00:00:00"/>
    <n v="70566"/>
    <n v="0"/>
    <x v="0"/>
    <x v="8"/>
  </r>
  <r>
    <s v="E02941"/>
    <x v="930"/>
    <s v="Cloud Infrastructure Architect"/>
    <x v="2"/>
    <x v="1"/>
    <x v="1"/>
    <x v="0"/>
    <x v="36"/>
    <d v="1993-07-05T00:00:00"/>
    <n v="75435"/>
    <n v="0"/>
    <x v="0"/>
    <x v="4"/>
  </r>
  <r>
    <s v="E02942"/>
    <x v="931"/>
    <s v="Development Engineer"/>
    <x v="0"/>
    <x v="2"/>
    <x v="1"/>
    <x v="2"/>
    <x v="15"/>
    <d v="2020-05-23T00:00:00"/>
    <n v="69108"/>
    <n v="0"/>
    <x v="0"/>
    <x v="8"/>
  </r>
  <r>
    <s v="E02943"/>
    <x v="932"/>
    <s v="Sr. Manager"/>
    <x v="4"/>
    <x v="2"/>
    <x v="1"/>
    <x v="1"/>
    <x v="35"/>
    <d v="2008-05-01T00:00:00"/>
    <n v="140589"/>
    <n v="0.14000000000000001"/>
    <x v="2"/>
    <x v="12"/>
  </r>
  <r>
    <s v="E02944"/>
    <x v="933"/>
    <s v="Vice President"/>
    <x v="3"/>
    <x v="3"/>
    <x v="0"/>
    <x v="0"/>
    <x v="31"/>
    <d v="2006-06-28T00:00:00"/>
    <n v="206423"/>
    <n v="0.36"/>
    <x v="1"/>
    <x v="9"/>
  </r>
  <r>
    <s v="E02945"/>
    <x v="934"/>
    <s v="Operations Engineer"/>
    <x v="0"/>
    <x v="3"/>
    <x v="1"/>
    <x v="0"/>
    <x v="8"/>
    <d v="2021-06-09T00:00:00"/>
    <n v="123738"/>
    <n v="0"/>
    <x v="0"/>
    <x v="5"/>
  </r>
  <r>
    <s v="E02946"/>
    <x v="935"/>
    <s v="HRIS Analyst"/>
    <x v="6"/>
    <x v="2"/>
    <x v="0"/>
    <x v="2"/>
    <x v="2"/>
    <d v="2019-01-13T00:00:00"/>
    <n v="58120"/>
    <n v="0"/>
    <x v="0"/>
    <x v="4"/>
  </r>
  <r>
    <s v="E02947"/>
    <x v="936"/>
    <s v="Network Administrator"/>
    <x v="2"/>
    <x v="1"/>
    <x v="1"/>
    <x v="2"/>
    <x v="16"/>
    <d v="2000-05-19T00:00:00"/>
    <n v="62672"/>
    <n v="0"/>
    <x v="0"/>
    <x v="1"/>
  </r>
  <r>
    <s v="E02948"/>
    <x v="937"/>
    <s v="Test Engineer"/>
    <x v="0"/>
    <x v="2"/>
    <x v="1"/>
    <x v="1"/>
    <x v="10"/>
    <d v="2007-05-08T00:00:00"/>
    <n v="92037"/>
    <n v="0"/>
    <x v="0"/>
    <x v="5"/>
  </r>
  <r>
    <s v="E02949"/>
    <x v="938"/>
    <s v="Vice President"/>
    <x v="6"/>
    <x v="3"/>
    <x v="1"/>
    <x v="0"/>
    <x v="32"/>
    <d v="2009-04-22T00:00:00"/>
    <n v="258722"/>
    <n v="0.36"/>
    <x v="0"/>
    <x v="5"/>
  </r>
  <r>
    <s v="E02950"/>
    <x v="939"/>
    <s v="Development Engineer"/>
    <x v="0"/>
    <x v="1"/>
    <x v="1"/>
    <x v="1"/>
    <x v="17"/>
    <d v="2003-02-21T00:00:00"/>
    <n v="64809"/>
    <n v="0"/>
    <x v="2"/>
    <x v="10"/>
  </r>
  <r>
    <s v="E02951"/>
    <x v="940"/>
    <s v="Quality Engineer"/>
    <x v="0"/>
    <x v="1"/>
    <x v="1"/>
    <x v="0"/>
    <x v="36"/>
    <d v="2022-01-01T00:00:00"/>
    <n v="95577"/>
    <n v="0"/>
    <x v="1"/>
    <x v="2"/>
  </r>
  <r>
    <s v="E02952"/>
    <x v="941"/>
    <s v="Development Engineer"/>
    <x v="0"/>
    <x v="2"/>
    <x v="1"/>
    <x v="0"/>
    <x v="20"/>
    <d v="2005-08-13T00:00:00"/>
    <n v="73059"/>
    <n v="0"/>
    <x v="1"/>
    <x v="2"/>
  </r>
  <r>
    <s v="E02953"/>
    <x v="942"/>
    <s v="Analyst"/>
    <x v="1"/>
    <x v="3"/>
    <x v="0"/>
    <x v="1"/>
    <x v="17"/>
    <d v="2002-07-14T00:00:00"/>
    <n v="54641"/>
    <n v="0"/>
    <x v="2"/>
    <x v="11"/>
  </r>
  <r>
    <s v="E02954"/>
    <x v="943"/>
    <s v="Quality Engineer"/>
    <x v="0"/>
    <x v="3"/>
    <x v="0"/>
    <x v="0"/>
    <x v="4"/>
    <d v="2015-05-14T00:00:00"/>
    <n v="93851"/>
    <n v="0"/>
    <x v="0"/>
    <x v="8"/>
  </r>
  <r>
    <s v="E02955"/>
    <x v="944"/>
    <s v="Sr. Analyst"/>
    <x v="1"/>
    <x v="2"/>
    <x v="0"/>
    <x v="3"/>
    <x v="37"/>
    <d v="2022-01-17T00:00:00"/>
    <n v="96010"/>
    <n v="0"/>
    <x v="0"/>
    <x v="1"/>
  </r>
  <r>
    <s v="E02956"/>
    <x v="945"/>
    <s v="Network Administrator"/>
    <x v="2"/>
    <x v="2"/>
    <x v="0"/>
    <x v="0"/>
    <x v="38"/>
    <d v="2004-03-08T00:00:00"/>
    <n v="73386"/>
    <n v="0"/>
    <x v="1"/>
    <x v="6"/>
  </r>
  <r>
    <s v="E02957"/>
    <x v="946"/>
    <s v="Sr. Analyst"/>
    <x v="3"/>
    <x v="2"/>
    <x v="1"/>
    <x v="0"/>
    <x v="8"/>
    <d v="1999-10-15T00:00:00"/>
    <n v="95033"/>
    <n v="0"/>
    <x v="0"/>
    <x v="4"/>
  </r>
  <r>
    <s v="E02958"/>
    <x v="947"/>
    <s v="Vice President"/>
    <x v="0"/>
    <x v="3"/>
    <x v="1"/>
    <x v="1"/>
    <x v="14"/>
    <d v="2011-11-11T00:00:00"/>
    <n v="185211"/>
    <n v="0.39"/>
    <x v="2"/>
    <x v="11"/>
  </r>
  <r>
    <s v="E02959"/>
    <x v="948"/>
    <s v="Manager"/>
    <x v="5"/>
    <x v="3"/>
    <x v="1"/>
    <x v="0"/>
    <x v="32"/>
    <d v="2014-04-05T00:00:00"/>
    <n v="125099"/>
    <n v="0.08"/>
    <x v="1"/>
    <x v="7"/>
  </r>
  <r>
    <s v="E02960"/>
    <x v="949"/>
    <s v="Sr. Analyst"/>
    <x v="1"/>
    <x v="0"/>
    <x v="0"/>
    <x v="1"/>
    <x v="20"/>
    <d v="2011-05-19T00:00:00"/>
    <n v="84627"/>
    <n v="0"/>
    <x v="2"/>
    <x v="12"/>
  </r>
  <r>
    <s v="E02961"/>
    <x v="950"/>
    <s v="Vice President"/>
    <x v="0"/>
    <x v="1"/>
    <x v="0"/>
    <x v="0"/>
    <x v="22"/>
    <d v="2020-03-02T00:00:00"/>
    <n v="211114"/>
    <n v="0.3"/>
    <x v="0"/>
    <x v="8"/>
  </r>
  <r>
    <s v="E02962"/>
    <x v="951"/>
    <s v="Sr. Analyst"/>
    <x v="5"/>
    <x v="2"/>
    <x v="1"/>
    <x v="0"/>
    <x v="39"/>
    <d v="1996-01-23T00:00:00"/>
    <n v="73117"/>
    <n v="0"/>
    <x v="0"/>
    <x v="0"/>
  </r>
  <r>
    <s v="E02963"/>
    <x v="952"/>
    <s v="Analyst"/>
    <x v="5"/>
    <x v="3"/>
    <x v="0"/>
    <x v="1"/>
    <x v="20"/>
    <d v="2018-02-20T00:00:00"/>
    <n v="55330"/>
    <n v="0"/>
    <x v="0"/>
    <x v="4"/>
  </r>
  <r>
    <s v="E02964"/>
    <x v="953"/>
    <s v="Director"/>
    <x v="2"/>
    <x v="3"/>
    <x v="0"/>
    <x v="0"/>
    <x v="21"/>
    <d v="2017-05-04T00:00:00"/>
    <n v="190570"/>
    <n v="0.17"/>
    <x v="1"/>
    <x v="9"/>
  </r>
  <r>
    <s v="E02965"/>
    <x v="954"/>
    <s v="Director"/>
    <x v="2"/>
    <x v="3"/>
    <x v="1"/>
    <x v="0"/>
    <x v="21"/>
    <d v="2005-06-01T00:00:00"/>
    <n v="198745"/>
    <n v="0.25"/>
    <x v="0"/>
    <x v="5"/>
  </r>
  <r>
    <s v="E02966"/>
    <x v="955"/>
    <s v="Business Partner"/>
    <x v="6"/>
    <x v="0"/>
    <x v="1"/>
    <x v="1"/>
    <x v="24"/>
    <d v="2015-11-26T00:00:00"/>
    <n v="52901"/>
    <n v="0"/>
    <x v="2"/>
    <x v="11"/>
  </r>
  <r>
    <s v="E02967"/>
    <x v="956"/>
    <s v="Sr. Manager"/>
    <x v="6"/>
    <x v="1"/>
    <x v="1"/>
    <x v="0"/>
    <x v="38"/>
    <d v="2022-10-12T00:00:00"/>
    <n v="137426"/>
    <n v="0.14000000000000001"/>
    <x v="1"/>
    <x v="6"/>
  </r>
  <r>
    <s v="E02968"/>
    <x v="957"/>
    <s v="Manager"/>
    <x v="5"/>
    <x v="3"/>
    <x v="1"/>
    <x v="1"/>
    <x v="17"/>
    <d v="2022-07-08T00:00:00"/>
    <n v="117912"/>
    <n v="0.05"/>
    <x v="2"/>
    <x v="10"/>
  </r>
  <r>
    <s v="E02969"/>
    <x v="958"/>
    <s v="Director"/>
    <x v="2"/>
    <x v="2"/>
    <x v="1"/>
    <x v="0"/>
    <x v="37"/>
    <d v="2021-10-03T00:00:00"/>
    <n v="154475"/>
    <n v="0.15"/>
    <x v="1"/>
    <x v="6"/>
  </r>
  <r>
    <s v="E02970"/>
    <x v="959"/>
    <s v="Account Representative"/>
    <x v="1"/>
    <x v="3"/>
    <x v="0"/>
    <x v="1"/>
    <x v="38"/>
    <d v="2020-10-25T00:00:00"/>
    <n v="62184"/>
    <n v="0"/>
    <x v="2"/>
    <x v="11"/>
  </r>
  <r>
    <s v="E02971"/>
    <x v="960"/>
    <s v="Analyst"/>
    <x v="5"/>
    <x v="3"/>
    <x v="1"/>
    <x v="2"/>
    <x v="39"/>
    <d v="2008-08-13T00:00:00"/>
    <n v="51415"/>
    <n v="0"/>
    <x v="0"/>
    <x v="0"/>
  </r>
  <r>
    <s v="E02972"/>
    <x v="961"/>
    <s v="Operations Engineer"/>
    <x v="0"/>
    <x v="1"/>
    <x v="0"/>
    <x v="1"/>
    <x v="1"/>
    <d v="2006-03-17T00:00:00"/>
    <n v="77441"/>
    <n v="0"/>
    <x v="0"/>
    <x v="3"/>
  </r>
  <r>
    <s v="E02973"/>
    <x v="962"/>
    <s v="Operations Engineer"/>
    <x v="0"/>
    <x v="0"/>
    <x v="1"/>
    <x v="0"/>
    <x v="21"/>
    <d v="2008-08-20T00:00:00"/>
    <n v="98794"/>
    <n v="0"/>
    <x v="0"/>
    <x v="1"/>
  </r>
  <r>
    <s v="E02974"/>
    <x v="963"/>
    <s v="System Administrator "/>
    <x v="2"/>
    <x v="0"/>
    <x v="1"/>
    <x v="0"/>
    <x v="29"/>
    <d v="2000-01-22T00:00:00"/>
    <n v="77843"/>
    <n v="0"/>
    <x v="0"/>
    <x v="0"/>
  </r>
  <r>
    <s v="E02975"/>
    <x v="964"/>
    <s v="Network Administrator"/>
    <x v="2"/>
    <x v="2"/>
    <x v="1"/>
    <x v="3"/>
    <x v="23"/>
    <d v="2019-06-07T00:00:00"/>
    <n v="65666"/>
    <n v="0"/>
    <x v="0"/>
    <x v="0"/>
  </r>
  <r>
    <s v="E02976"/>
    <x v="965"/>
    <s v="Automation Engineer"/>
    <x v="0"/>
    <x v="0"/>
    <x v="1"/>
    <x v="2"/>
    <x v="20"/>
    <d v="2011-09-13T00:00:00"/>
    <n v="95598"/>
    <n v="0"/>
    <x v="0"/>
    <x v="0"/>
  </r>
  <r>
    <s v="E02977"/>
    <x v="966"/>
    <s v="Network Engineer"/>
    <x v="2"/>
    <x v="3"/>
    <x v="0"/>
    <x v="0"/>
    <x v="3"/>
    <d v="2012-05-05T00:00:00"/>
    <n v="91144"/>
    <n v="0"/>
    <x v="0"/>
    <x v="0"/>
  </r>
  <r>
    <s v="E02978"/>
    <x v="967"/>
    <s v="Sr. Analyst"/>
    <x v="5"/>
    <x v="3"/>
    <x v="1"/>
    <x v="1"/>
    <x v="3"/>
    <d v="2020-08-13T00:00:00"/>
    <n v="76759"/>
    <n v="0"/>
    <x v="0"/>
    <x v="8"/>
  </r>
  <r>
    <s v="E02979"/>
    <x v="968"/>
    <s v="Engineering Manager"/>
    <x v="0"/>
    <x v="2"/>
    <x v="0"/>
    <x v="0"/>
    <x v="15"/>
    <d v="2016-09-07T00:00:00"/>
    <n v="118644"/>
    <n v="0.13"/>
    <x v="0"/>
    <x v="5"/>
  </r>
  <r>
    <s v="E02980"/>
    <x v="969"/>
    <s v="Sr. Analyst"/>
    <x v="1"/>
    <x v="2"/>
    <x v="1"/>
    <x v="0"/>
    <x v="23"/>
    <d v="2015-10-17T00:00:00"/>
    <n v="79773"/>
    <n v="0"/>
    <x v="1"/>
    <x v="9"/>
  </r>
  <r>
    <s v="E02981"/>
    <x v="970"/>
    <s v="Sr. Manager"/>
    <x v="3"/>
    <x v="2"/>
    <x v="0"/>
    <x v="0"/>
    <x v="30"/>
    <d v="2018-12-20T00:00:00"/>
    <n v="128845"/>
    <n v="0.13"/>
    <x v="1"/>
    <x v="2"/>
  </r>
  <r>
    <s v="E02982"/>
    <x v="971"/>
    <s v="Manager"/>
    <x v="2"/>
    <x v="3"/>
    <x v="1"/>
    <x v="1"/>
    <x v="18"/>
    <d v="2014-10-04T00:00:00"/>
    <n v="120704"/>
    <n v="0.08"/>
    <x v="0"/>
    <x v="8"/>
  </r>
  <r>
    <s v="E02983"/>
    <x v="972"/>
    <s v="Director"/>
    <x v="6"/>
    <x v="3"/>
    <x v="1"/>
    <x v="2"/>
    <x v="32"/>
    <d v="1999-01-08T00:00:00"/>
    <n v="173624"/>
    <n v="0.17"/>
    <x v="0"/>
    <x v="8"/>
  </r>
  <r>
    <s v="E02984"/>
    <x v="973"/>
    <s v="Sr. Analyst"/>
    <x v="1"/>
    <x v="0"/>
    <x v="0"/>
    <x v="1"/>
    <x v="2"/>
    <d v="2018-11-06T00:00:00"/>
    <n v="80772"/>
    <n v="0"/>
    <x v="0"/>
    <x v="8"/>
  </r>
  <r>
    <s v="E02985"/>
    <x v="974"/>
    <s v="Manager"/>
    <x v="6"/>
    <x v="3"/>
    <x v="0"/>
    <x v="0"/>
    <x v="3"/>
    <d v="2008-07-27T00:00:00"/>
    <n v="126350"/>
    <n v="0.05"/>
    <x v="0"/>
    <x v="4"/>
  </r>
  <r>
    <s v="E02986"/>
    <x v="975"/>
    <s v="Sr. Account Representative"/>
    <x v="1"/>
    <x v="1"/>
    <x v="0"/>
    <x v="2"/>
    <x v="40"/>
    <d v="2021-05-05T00:00:00"/>
    <n v="72693"/>
    <n v="0"/>
    <x v="0"/>
    <x v="3"/>
  </r>
  <r>
    <s v="E02987"/>
    <x v="976"/>
    <s v="Solutions Architect"/>
    <x v="2"/>
    <x v="3"/>
    <x v="1"/>
    <x v="0"/>
    <x v="10"/>
    <d v="2015-03-15T00:00:00"/>
    <n v="92820"/>
    <n v="0"/>
    <x v="1"/>
    <x v="6"/>
  </r>
  <r>
    <s v="E02988"/>
    <x v="977"/>
    <s v="Sr. Manager"/>
    <x v="4"/>
    <x v="1"/>
    <x v="1"/>
    <x v="1"/>
    <x v="12"/>
    <d v="1997-04-17T00:00:00"/>
    <n v="135561"/>
    <n v="0.13"/>
    <x v="2"/>
    <x v="12"/>
  </r>
  <r>
    <s v="E02989"/>
    <x v="978"/>
    <s v="Sr. Manager"/>
    <x v="3"/>
    <x v="1"/>
    <x v="0"/>
    <x v="0"/>
    <x v="38"/>
    <d v="2007-08-24T00:00:00"/>
    <n v="121788"/>
    <n v="0.13"/>
    <x v="0"/>
    <x v="5"/>
  </r>
  <r>
    <s v="E02990"/>
    <x v="979"/>
    <s v="Cloud Infrastructure Architect"/>
    <x v="2"/>
    <x v="0"/>
    <x v="1"/>
    <x v="3"/>
    <x v="21"/>
    <d v="1993-11-19T00:00:00"/>
    <n v="92216"/>
    <n v="0"/>
    <x v="0"/>
    <x v="1"/>
  </r>
  <r>
    <s v="E02991"/>
    <x v="980"/>
    <s v="Operations Engineer"/>
    <x v="0"/>
    <x v="0"/>
    <x v="0"/>
    <x v="1"/>
    <x v="2"/>
    <d v="2021-02-25T00:00:00"/>
    <n v="104586"/>
    <n v="0"/>
    <x v="2"/>
    <x v="11"/>
  </r>
  <r>
    <s v="E02992"/>
    <x v="981"/>
    <s v="Account Representative"/>
    <x v="1"/>
    <x v="1"/>
    <x v="1"/>
    <x v="3"/>
    <x v="10"/>
    <d v="2002-12-23T00:00:00"/>
    <n v="70439"/>
    <n v="0"/>
    <x v="0"/>
    <x v="5"/>
  </r>
  <r>
    <s v="E02993"/>
    <x v="982"/>
    <s v="Analyst"/>
    <x v="1"/>
    <x v="2"/>
    <x v="0"/>
    <x v="0"/>
    <x v="25"/>
    <d v="2021-05-25T00:00:00"/>
    <n v="52232"/>
    <n v="0"/>
    <x v="0"/>
    <x v="0"/>
  </r>
  <r>
    <s v="E02994"/>
    <x v="983"/>
    <s v="Vice President"/>
    <x v="5"/>
    <x v="3"/>
    <x v="1"/>
    <x v="0"/>
    <x v="4"/>
    <d v="2014-09-22T00:00:00"/>
    <n v="226646"/>
    <n v="0.31"/>
    <x v="0"/>
    <x v="4"/>
  </r>
  <r>
    <s v="E02995"/>
    <x v="984"/>
    <s v="Sr. Manager"/>
    <x v="4"/>
    <x v="3"/>
    <x v="0"/>
    <x v="0"/>
    <x v="6"/>
    <d v="2012-10-28T00:00:00"/>
    <n v="152253"/>
    <n v="0.12"/>
    <x v="0"/>
    <x v="3"/>
  </r>
  <r>
    <s v="E02996"/>
    <x v="985"/>
    <s v="Vice President"/>
    <x v="0"/>
    <x v="3"/>
    <x v="0"/>
    <x v="0"/>
    <x v="30"/>
    <d v="2007-08-28T00:00:00"/>
    <n v="195471"/>
    <n v="0.36"/>
    <x v="0"/>
    <x v="5"/>
  </r>
  <r>
    <s v="E02997"/>
    <x v="986"/>
    <s v="Network Architect"/>
    <x v="2"/>
    <x v="3"/>
    <x v="1"/>
    <x v="1"/>
    <x v="16"/>
    <d v="2012-11-28T00:00:00"/>
    <n v="71632"/>
    <n v="0"/>
    <x v="2"/>
    <x v="10"/>
  </r>
  <r>
    <s v="E02998"/>
    <x v="987"/>
    <s v="Analyst"/>
    <x v="4"/>
    <x v="1"/>
    <x v="1"/>
    <x v="0"/>
    <x v="9"/>
    <d v="2010-06-13T00:00:00"/>
    <n v="45337"/>
    <n v="0"/>
    <x v="0"/>
    <x v="3"/>
  </r>
  <r>
    <s v="E02999"/>
    <x v="988"/>
    <s v="Sr. Account Representative"/>
    <x v="1"/>
    <x v="2"/>
    <x v="1"/>
    <x v="0"/>
    <x v="15"/>
    <d v="2018-08-27T00:00:00"/>
    <n v="89573"/>
    <n v="0"/>
    <x v="0"/>
    <x v="8"/>
  </r>
  <r>
    <s v="E03000"/>
    <x v="989"/>
    <s v="Controls Engineer"/>
    <x v="0"/>
    <x v="0"/>
    <x v="0"/>
    <x v="0"/>
    <x v="7"/>
    <d v="2022-11-18T00:00:00"/>
    <n v="75775"/>
    <n v="0"/>
    <x v="0"/>
    <x v="3"/>
  </r>
  <r>
    <s v="E03001"/>
    <x v="990"/>
    <s v="Account Representative"/>
    <x v="1"/>
    <x v="1"/>
    <x v="1"/>
    <x v="3"/>
    <x v="27"/>
    <d v="2021-02-08T00:00:00"/>
    <n v="51321"/>
    <n v="0"/>
    <x v="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Kai Le"/>
    <x v="0"/>
    <x v="0"/>
    <s v="Manufacturing"/>
    <x v="0"/>
    <s v="Asian"/>
    <n v="47"/>
    <x v="0"/>
    <n v="751"/>
    <n v="0"/>
    <x v="0"/>
    <x v="0"/>
  </r>
  <r>
    <x v="1"/>
    <s v="Robert Patel"/>
    <x v="1"/>
    <x v="1"/>
    <s v="Corporate"/>
    <x v="0"/>
    <s v="Asian"/>
    <n v="58"/>
    <x v="1"/>
    <n v="781"/>
    <n v="0"/>
    <x v="0"/>
    <x v="1"/>
  </r>
  <r>
    <x v="2"/>
    <s v="Cameron Lo"/>
    <x v="2"/>
    <x v="2"/>
    <s v="Research &amp; Development"/>
    <x v="0"/>
    <s v="Asian"/>
    <n v="34"/>
    <x v="2"/>
    <n v="884"/>
    <n v="0"/>
    <x v="1"/>
    <x v="2"/>
  </r>
  <r>
    <x v="3"/>
    <s v="Harper Castillo"/>
    <x v="3"/>
    <x v="2"/>
    <s v="Corporate"/>
    <x v="1"/>
    <s v="Latino"/>
    <n v="39"/>
    <x v="3"/>
    <n v="764"/>
    <n v="0"/>
    <x v="0"/>
    <x v="3"/>
  </r>
  <r>
    <x v="4"/>
    <s v="Harper Dominguez"/>
    <x v="4"/>
    <x v="0"/>
    <s v="Corporate"/>
    <x v="1"/>
    <s v="Latino"/>
    <n v="42"/>
    <x v="4"/>
    <n v="671"/>
    <n v="0.24"/>
    <x v="0"/>
    <x v="4"/>
  </r>
  <r>
    <x v="5"/>
    <s v="Ezra Vu"/>
    <x v="2"/>
    <x v="2"/>
    <s v="Manufacturing"/>
    <x v="0"/>
    <s v="Asian"/>
    <n v="62"/>
    <x v="5"/>
    <n v="746"/>
    <n v="0"/>
    <x v="0"/>
    <x v="5"/>
  </r>
  <r>
    <x v="6"/>
    <s v="Jade Hu"/>
    <x v="5"/>
    <x v="3"/>
    <s v="Specialty Products"/>
    <x v="1"/>
    <s v="Asian"/>
    <n v="58"/>
    <x v="6"/>
    <n v="787"/>
    <n v="0"/>
    <x v="1"/>
    <x v="6"/>
  </r>
  <r>
    <x v="7"/>
    <s v="Miles Chang"/>
    <x v="6"/>
    <x v="4"/>
    <s v="Corporate"/>
    <x v="0"/>
    <s v="Asian"/>
    <n v="62"/>
    <x v="7"/>
    <n v="755"/>
    <n v="0"/>
    <x v="1"/>
    <x v="7"/>
  </r>
  <r>
    <x v="8"/>
    <s v="Gianna Holmes"/>
    <x v="7"/>
    <x v="2"/>
    <s v="Manufacturing"/>
    <x v="1"/>
    <s v="Caucasian"/>
    <n v="38"/>
    <x v="8"/>
    <n v="939"/>
    <n v="0"/>
    <x v="0"/>
    <x v="3"/>
  </r>
  <r>
    <x v="9"/>
    <s v="Jameson Thomas"/>
    <x v="8"/>
    <x v="4"/>
    <s v="Specialty Products"/>
    <x v="0"/>
    <s v="Caucasian"/>
    <n v="52"/>
    <x v="9"/>
    <n v="653"/>
    <n v="0.1"/>
    <x v="0"/>
    <x v="8"/>
  </r>
  <r>
    <x v="10"/>
    <s v="Jameson Pena"/>
    <x v="9"/>
    <x v="2"/>
    <s v="Manufacturing"/>
    <x v="0"/>
    <s v="Latino"/>
    <n v="49"/>
    <x v="10"/>
    <n v="939"/>
    <n v="0"/>
    <x v="0"/>
    <x v="8"/>
  </r>
  <r>
    <x v="11"/>
    <s v="Bella Wu"/>
    <x v="5"/>
    <x v="4"/>
    <s v="Specialty Products"/>
    <x v="1"/>
    <s v="Asian"/>
    <n v="63"/>
    <x v="11"/>
    <n v="606"/>
    <n v="0"/>
    <x v="0"/>
    <x v="5"/>
  </r>
  <r>
    <x v="12"/>
    <s v="Jose Wong"/>
    <x v="4"/>
    <x v="2"/>
    <s v="Manufacturing"/>
    <x v="0"/>
    <s v="Asian"/>
    <n v="45"/>
    <x v="12"/>
    <n v="975"/>
    <n v="0.23"/>
    <x v="1"/>
    <x v="6"/>
  </r>
  <r>
    <x v="13"/>
    <s v="Lucas Richardson"/>
    <x v="8"/>
    <x v="5"/>
    <s v="Corporate"/>
    <x v="0"/>
    <s v="Caucasian"/>
    <n v="36"/>
    <x v="13"/>
    <n v="849"/>
    <n v="0.08"/>
    <x v="0"/>
    <x v="8"/>
  </r>
  <r>
    <x v="14"/>
    <s v="Jacob Moore"/>
    <x v="10"/>
    <x v="5"/>
    <s v="Corporate"/>
    <x v="0"/>
    <s v="Black"/>
    <n v="42"/>
    <x v="14"/>
    <n v="666"/>
    <n v="0.15"/>
    <x v="0"/>
    <x v="5"/>
  </r>
  <r>
    <x v="15"/>
    <s v="Luna Lu"/>
    <x v="3"/>
    <x v="2"/>
    <s v="Corporate"/>
    <x v="1"/>
    <s v="Asian"/>
    <n v="62"/>
    <x v="15"/>
    <n v="912"/>
    <n v="0"/>
    <x v="0"/>
    <x v="8"/>
  </r>
  <r>
    <x v="16"/>
    <s v="Bella Tran"/>
    <x v="11"/>
    <x v="0"/>
    <s v="Specialty Products"/>
    <x v="1"/>
    <s v="Asian"/>
    <n v="45"/>
    <x v="16"/>
    <n v="842"/>
    <n v="0.33"/>
    <x v="1"/>
    <x v="7"/>
  </r>
  <r>
    <x v="17"/>
    <s v="Ivy Chau"/>
    <x v="1"/>
    <x v="1"/>
    <s v="Specialty Products"/>
    <x v="1"/>
    <s v="Asian"/>
    <n v="61"/>
    <x v="17"/>
    <n v="735"/>
    <n v="0"/>
    <x v="1"/>
    <x v="6"/>
  </r>
  <r>
    <x v="18"/>
    <s v="Jordan Kumar"/>
    <x v="12"/>
    <x v="2"/>
    <s v="Specialty Products"/>
    <x v="0"/>
    <s v="Asian"/>
    <n v="29"/>
    <x v="18"/>
    <n v="773"/>
    <n v="0"/>
    <x v="0"/>
    <x v="3"/>
  </r>
  <r>
    <x v="19"/>
    <s v="Sophia Gutierrez"/>
    <x v="8"/>
    <x v="3"/>
    <s v="Specialty Products"/>
    <x v="1"/>
    <s v="Latino"/>
    <n v="63"/>
    <x v="19"/>
    <n v="815"/>
    <n v="0.06"/>
    <x v="0"/>
    <x v="4"/>
  </r>
  <r>
    <x v="20"/>
    <s v="Eli Dang"/>
    <x v="10"/>
    <x v="3"/>
    <s v="Specialty Products"/>
    <x v="0"/>
    <s v="Asian"/>
    <n v="45"/>
    <x v="20"/>
    <n v="926"/>
    <n v="0.12"/>
    <x v="0"/>
    <x v="1"/>
  </r>
  <r>
    <x v="21"/>
    <s v="Lillian Lewis"/>
    <x v="13"/>
    <x v="2"/>
    <s v="Research &amp; Development"/>
    <x v="1"/>
    <s v="Black"/>
    <n v="43"/>
    <x v="21"/>
    <n v="848"/>
    <n v="0"/>
    <x v="0"/>
    <x v="5"/>
  </r>
  <r>
    <x v="22"/>
    <s v="Serenity Cao"/>
    <x v="14"/>
    <x v="1"/>
    <s v="Manufacturing"/>
    <x v="1"/>
    <s v="Asian"/>
    <n v="31"/>
    <x v="22"/>
    <n v="536"/>
    <n v="0"/>
    <x v="1"/>
    <x v="2"/>
  </r>
  <r>
    <x v="23"/>
    <s v="Parker Lai"/>
    <x v="11"/>
    <x v="3"/>
    <s v="Specialty Products"/>
    <x v="0"/>
    <s v="Asian"/>
    <n v="48"/>
    <x v="23"/>
    <n v="891"/>
    <n v="0.36"/>
    <x v="1"/>
    <x v="6"/>
  </r>
  <r>
    <x v="24"/>
    <s v="Charles Simmons"/>
    <x v="8"/>
    <x v="1"/>
    <s v="Specialty Products"/>
    <x v="0"/>
    <s v="Caucasian"/>
    <n v="55"/>
    <x v="24"/>
    <n v="987"/>
    <n v="0.06"/>
    <x v="0"/>
    <x v="8"/>
  </r>
  <r>
    <x v="25"/>
    <s v="Jayden Luu"/>
    <x v="4"/>
    <x v="3"/>
    <s v="Manufacturing"/>
    <x v="0"/>
    <s v="Asian"/>
    <n v="64"/>
    <x v="25"/>
    <n v="700"/>
    <n v="0.22"/>
    <x v="1"/>
    <x v="9"/>
  </r>
  <r>
    <x v="26"/>
    <s v="Brooks Richardson"/>
    <x v="4"/>
    <x v="5"/>
    <s v="Specialty Products"/>
    <x v="0"/>
    <s v="Caucasian"/>
    <n v="58"/>
    <x v="26"/>
    <n v="805"/>
    <n v="0.22"/>
    <x v="0"/>
    <x v="3"/>
  </r>
  <r>
    <x v="27"/>
    <s v="Ivy Thompson"/>
    <x v="8"/>
    <x v="5"/>
    <s v="Manufacturing"/>
    <x v="1"/>
    <s v="Caucasian"/>
    <n v="50"/>
    <x v="27"/>
    <n v="503"/>
    <n v="0.05"/>
    <x v="0"/>
    <x v="3"/>
  </r>
  <r>
    <x v="28"/>
    <s v="Peyton Wright"/>
    <x v="10"/>
    <x v="5"/>
    <s v="Corporate"/>
    <x v="1"/>
    <s v="Black"/>
    <n v="41"/>
    <x v="28"/>
    <n v="511"/>
    <n v="0.1"/>
    <x v="0"/>
    <x v="1"/>
  </r>
  <r>
    <x v="29"/>
    <s v="Wyatt Dinh"/>
    <x v="7"/>
    <x v="2"/>
    <s v="Specialty Products"/>
    <x v="0"/>
    <s v="Asian"/>
    <n v="50"/>
    <x v="29"/>
    <n v="773"/>
    <n v="0"/>
    <x v="1"/>
    <x v="2"/>
  </r>
  <r>
    <x v="30"/>
    <s v="Ruby Alexander"/>
    <x v="11"/>
    <x v="4"/>
    <s v="Research &amp; Development"/>
    <x v="1"/>
    <s v="Caucasian"/>
    <n v="59"/>
    <x v="30"/>
    <n v="994"/>
    <n v="0.36"/>
    <x v="0"/>
    <x v="5"/>
  </r>
  <r>
    <x v="31"/>
    <s v="Axel Oh"/>
    <x v="5"/>
    <x v="1"/>
    <s v="Corporate"/>
    <x v="0"/>
    <s v="Asian"/>
    <n v="26"/>
    <x v="31"/>
    <n v="527"/>
    <n v="0"/>
    <x v="1"/>
    <x v="7"/>
  </r>
  <r>
    <x v="32"/>
    <s v="Axel Ramirez"/>
    <x v="8"/>
    <x v="6"/>
    <s v="Specialty Products"/>
    <x v="0"/>
    <s v="Latino"/>
    <n v="55"/>
    <x v="32"/>
    <n v="675"/>
    <n v="7.0000000000000007E-2"/>
    <x v="0"/>
    <x v="3"/>
  </r>
  <r>
    <x v="33"/>
    <s v="Liliana Chang"/>
    <x v="12"/>
    <x v="2"/>
    <s v="Corporate"/>
    <x v="1"/>
    <s v="Asian"/>
    <n v="32"/>
    <x v="33"/>
    <n v="986"/>
    <n v="0"/>
    <x v="1"/>
    <x v="2"/>
  </r>
  <r>
    <x v="34"/>
    <s v="Leonardo Carter"/>
    <x v="15"/>
    <x v="6"/>
    <s v="Specialty Products"/>
    <x v="0"/>
    <s v="Caucasian"/>
    <n v="50"/>
    <x v="34"/>
    <n v="936"/>
    <n v="0"/>
    <x v="0"/>
    <x v="4"/>
  </r>
  <r>
    <x v="35"/>
    <s v="Landon Gonzales"/>
    <x v="16"/>
    <x v="0"/>
    <s v="Specialty Products"/>
    <x v="0"/>
    <s v="Latino"/>
    <n v="54"/>
    <x v="35"/>
    <n v="601"/>
    <n v="0"/>
    <x v="0"/>
    <x v="5"/>
  </r>
  <r>
    <x v="36"/>
    <s v="Amelia Dominguez"/>
    <x v="10"/>
    <x v="3"/>
    <s v="Corporate"/>
    <x v="1"/>
    <s v="Latino"/>
    <n v="31"/>
    <x v="36"/>
    <n v="765"/>
    <n v="0.15"/>
    <x v="2"/>
    <x v="10"/>
  </r>
  <r>
    <x v="37"/>
    <s v="Silas Ross"/>
    <x v="1"/>
    <x v="5"/>
    <s v="Research &amp; Development"/>
    <x v="0"/>
    <s v="Caucasian"/>
    <n v="47"/>
    <x v="37"/>
    <n v="605"/>
    <n v="0"/>
    <x v="0"/>
    <x v="4"/>
  </r>
  <r>
    <x v="38"/>
    <s v="Jeremiah Cheng"/>
    <x v="5"/>
    <x v="5"/>
    <s v="Specialty Products"/>
    <x v="0"/>
    <s v="Asian"/>
    <n v="26"/>
    <x v="0"/>
    <n v="699"/>
    <n v="0"/>
    <x v="1"/>
    <x v="2"/>
  </r>
  <r>
    <x v="39"/>
    <s v="Chloe Chin"/>
    <x v="10"/>
    <x v="4"/>
    <s v="Specialty Products"/>
    <x v="1"/>
    <s v="Asian"/>
    <n v="62"/>
    <x v="38"/>
    <n v="674"/>
    <n v="0.1"/>
    <x v="0"/>
    <x v="3"/>
  </r>
  <r>
    <x v="40"/>
    <s v="Ella Martinez"/>
    <x v="5"/>
    <x v="4"/>
    <s v="Research &amp; Development"/>
    <x v="1"/>
    <s v="Latino"/>
    <n v="35"/>
    <x v="39"/>
    <n v="811"/>
    <n v="0"/>
    <x v="0"/>
    <x v="1"/>
  </r>
  <r>
    <x v="41"/>
    <s v="Gianna Jones"/>
    <x v="8"/>
    <x v="3"/>
    <s v="Research &amp; Development"/>
    <x v="1"/>
    <s v="Caucasian"/>
    <n v="48"/>
    <x v="40"/>
    <n v="915"/>
    <n v="0.09"/>
    <x v="0"/>
    <x v="0"/>
  </r>
  <r>
    <x v="42"/>
    <s v="Austin Chow"/>
    <x v="11"/>
    <x v="3"/>
    <s v="Manufacturing"/>
    <x v="0"/>
    <s v="Asian"/>
    <n v="35"/>
    <x v="41"/>
    <n v="981"/>
    <n v="0.32"/>
    <x v="1"/>
    <x v="6"/>
  </r>
  <r>
    <x v="43"/>
    <s v="Ella Chen"/>
    <x v="8"/>
    <x v="3"/>
    <s v="Specialty Products"/>
    <x v="1"/>
    <s v="Asian"/>
    <n v="45"/>
    <x v="42"/>
    <n v="983"/>
    <n v="0.08"/>
    <x v="0"/>
    <x v="5"/>
  </r>
  <r>
    <x v="44"/>
    <s v="Ruby Kaur"/>
    <x v="16"/>
    <x v="0"/>
    <s v="Research &amp; Development"/>
    <x v="1"/>
    <s v="Asian"/>
    <n v="26"/>
    <x v="43"/>
    <n v="722"/>
    <n v="0"/>
    <x v="1"/>
    <x v="9"/>
  </r>
  <r>
    <x v="45"/>
    <s v="Savannah Morales"/>
    <x v="6"/>
    <x v="5"/>
    <s v="Corporate"/>
    <x v="1"/>
    <s v="Latino"/>
    <n v="48"/>
    <x v="44"/>
    <n v="799"/>
    <n v="0"/>
    <x v="0"/>
    <x v="1"/>
  </r>
  <r>
    <x v="46"/>
    <s v="Luca Powell"/>
    <x v="17"/>
    <x v="2"/>
    <s v="Specialty Products"/>
    <x v="0"/>
    <s v="Caucasian"/>
    <n v="33"/>
    <x v="45"/>
    <n v="689"/>
    <n v="0"/>
    <x v="0"/>
    <x v="8"/>
  </r>
  <r>
    <x v="47"/>
    <s v="Parker Thao"/>
    <x v="6"/>
    <x v="1"/>
    <s v="Corporate"/>
    <x v="0"/>
    <s v="Asian"/>
    <n v="55"/>
    <x v="46"/>
    <n v="599"/>
    <n v="0"/>
    <x v="1"/>
    <x v="6"/>
  </r>
  <r>
    <x v="48"/>
    <s v="Ryan Vo"/>
    <x v="18"/>
    <x v="2"/>
    <s v="Research &amp; Development"/>
    <x v="0"/>
    <s v="Asian"/>
    <n v="38"/>
    <x v="47"/>
    <n v="784"/>
    <n v="0"/>
    <x v="0"/>
    <x v="5"/>
  </r>
  <r>
    <x v="49"/>
    <s v="Isabella Ngo"/>
    <x v="8"/>
    <x v="3"/>
    <s v="Specialty Products"/>
    <x v="1"/>
    <s v="Asian"/>
    <n v="49"/>
    <x v="48"/>
    <n v="672"/>
    <n v="0.09"/>
    <x v="0"/>
    <x v="8"/>
  </r>
  <r>
    <x v="50"/>
    <s v="Leah Vega"/>
    <x v="18"/>
    <x v="2"/>
    <s v="Corporate"/>
    <x v="1"/>
    <s v="Latino"/>
    <n v="52"/>
    <x v="49"/>
    <n v="987"/>
    <n v="0"/>
    <x v="0"/>
    <x v="8"/>
  </r>
  <r>
    <x v="51"/>
    <s v="Jaxson Liu"/>
    <x v="11"/>
    <x v="4"/>
    <s v="Corporate"/>
    <x v="0"/>
    <s v="Asian"/>
    <n v="27"/>
    <x v="50"/>
    <n v="534"/>
    <n v="0.36"/>
    <x v="0"/>
    <x v="1"/>
  </r>
  <r>
    <x v="52"/>
    <s v="Santiago f Ross"/>
    <x v="19"/>
    <x v="2"/>
    <s v="Specialty Products"/>
    <x v="0"/>
    <s v="Caucasian"/>
    <n v="34"/>
    <x v="51"/>
    <n v="842"/>
    <n v="0"/>
    <x v="0"/>
    <x v="0"/>
  </r>
  <r>
    <x v="53"/>
    <s v="Layla Bell"/>
    <x v="11"/>
    <x v="0"/>
    <s v="Corporate"/>
    <x v="1"/>
    <s v="Caucasian"/>
    <n v="65"/>
    <x v="52"/>
    <n v="747"/>
    <n v="0.31"/>
    <x v="0"/>
    <x v="1"/>
  </r>
  <r>
    <x v="54"/>
    <s v="Bella Morales"/>
    <x v="4"/>
    <x v="1"/>
    <s v="Specialty Products"/>
    <x v="1"/>
    <s v="Latino"/>
    <n v="38"/>
    <x v="53"/>
    <n v="791"/>
    <n v="0.24"/>
    <x v="0"/>
    <x v="4"/>
  </r>
  <r>
    <x v="55"/>
    <s v="Eliza Kang"/>
    <x v="20"/>
    <x v="2"/>
    <s v="Manufacturing"/>
    <x v="1"/>
    <s v="Asian"/>
    <n v="63"/>
    <x v="54"/>
    <n v="531"/>
    <n v="0.05"/>
    <x v="0"/>
    <x v="5"/>
  </r>
  <r>
    <x v="56"/>
    <s v="Gabriel Reyes"/>
    <x v="8"/>
    <x v="1"/>
    <s v="Corporate"/>
    <x v="0"/>
    <s v="Latino"/>
    <n v="42"/>
    <x v="55"/>
    <n v="937"/>
    <n v="0.08"/>
    <x v="2"/>
    <x v="11"/>
  </r>
  <r>
    <x v="57"/>
    <s v="Piper Garcia"/>
    <x v="10"/>
    <x v="1"/>
    <s v="Research &amp; Development"/>
    <x v="1"/>
    <s v="Latino"/>
    <n v="60"/>
    <x v="56"/>
    <n v="910"/>
    <n v="0.12"/>
    <x v="2"/>
    <x v="11"/>
  </r>
  <r>
    <x v="58"/>
    <s v="Jacob Cheng"/>
    <x v="4"/>
    <x v="1"/>
    <s v="Manufacturing"/>
    <x v="0"/>
    <s v="Asian"/>
    <n v="47"/>
    <x v="57"/>
    <n v="974"/>
    <n v="0.17"/>
    <x v="0"/>
    <x v="0"/>
  </r>
  <r>
    <x v="59"/>
    <s v="Nathan Hong"/>
    <x v="4"/>
    <x v="4"/>
    <s v="Corporate"/>
    <x v="0"/>
    <s v="Asian"/>
    <n v="50"/>
    <x v="58"/>
    <n v="780"/>
    <n v="0.17"/>
    <x v="0"/>
    <x v="5"/>
  </r>
  <r>
    <x v="60"/>
    <s v="Chloe Kim"/>
    <x v="5"/>
    <x v="1"/>
    <s v="Specialty Products"/>
    <x v="1"/>
    <s v="Asian"/>
    <n v="39"/>
    <x v="59"/>
    <n v="763"/>
    <n v="0"/>
    <x v="0"/>
    <x v="8"/>
  </r>
  <r>
    <x v="61"/>
    <s v="Isaac Guzman"/>
    <x v="14"/>
    <x v="1"/>
    <s v="Corporate"/>
    <x v="0"/>
    <s v="Latino"/>
    <n v="46"/>
    <x v="60"/>
    <n v="612"/>
    <n v="0"/>
    <x v="0"/>
    <x v="5"/>
  </r>
  <r>
    <x v="62"/>
    <s v="Julian Ford"/>
    <x v="6"/>
    <x v="1"/>
    <s v="Manufacturing"/>
    <x v="0"/>
    <s v="Caucasian"/>
    <n v="50"/>
    <x v="61"/>
    <n v="584"/>
    <n v="0"/>
    <x v="0"/>
    <x v="8"/>
  </r>
  <r>
    <x v="63"/>
    <s v="Kinsley Liang"/>
    <x v="21"/>
    <x v="0"/>
    <s v="Manufacturing"/>
    <x v="1"/>
    <s v="Asian"/>
    <n v="55"/>
    <x v="62"/>
    <n v="622"/>
    <n v="0"/>
    <x v="1"/>
    <x v="2"/>
  </r>
  <r>
    <x v="64"/>
    <s v="Wesley Yu"/>
    <x v="10"/>
    <x v="1"/>
    <s v="Specialty Products"/>
    <x v="0"/>
    <s v="Asian"/>
    <n v="43"/>
    <x v="63"/>
    <n v="995"/>
    <n v="0.12"/>
    <x v="0"/>
    <x v="3"/>
  </r>
  <r>
    <x v="65"/>
    <s v="Serenity Martin"/>
    <x v="5"/>
    <x v="4"/>
    <s v="Manufacturing"/>
    <x v="1"/>
    <s v="Black"/>
    <n v="26"/>
    <x v="64"/>
    <n v="543"/>
    <n v="0"/>
    <x v="0"/>
    <x v="5"/>
  </r>
  <r>
    <x v="66"/>
    <s v="Ethan Sanchez"/>
    <x v="5"/>
    <x v="5"/>
    <s v="Research &amp; Development"/>
    <x v="0"/>
    <s v="Latino"/>
    <n v="34"/>
    <x v="65"/>
    <n v="742"/>
    <n v="0"/>
    <x v="0"/>
    <x v="5"/>
  </r>
  <r>
    <x v="67"/>
    <s v="David Sanchez"/>
    <x v="4"/>
    <x v="1"/>
    <s v="Specialty Products"/>
    <x v="0"/>
    <s v="Latino"/>
    <n v="38"/>
    <x v="66"/>
    <n v="674"/>
    <n v="0.27"/>
    <x v="2"/>
    <x v="10"/>
  </r>
  <r>
    <x v="68"/>
    <s v="Elias Hsu"/>
    <x v="5"/>
    <x v="5"/>
    <s v="Specialty Products"/>
    <x v="0"/>
    <s v="Asian"/>
    <n v="35"/>
    <x v="67"/>
    <n v="740"/>
    <n v="0"/>
    <x v="1"/>
    <x v="7"/>
  </r>
  <r>
    <x v="69"/>
    <s v="Luca Phan"/>
    <x v="8"/>
    <x v="5"/>
    <s v="Corporate"/>
    <x v="0"/>
    <s v="Asian"/>
    <n v="39"/>
    <x v="68"/>
    <n v="594"/>
    <n v="0.09"/>
    <x v="1"/>
    <x v="9"/>
  </r>
  <r>
    <x v="70"/>
    <s v="Olivia Xi"/>
    <x v="8"/>
    <x v="1"/>
    <s v="Specialty Products"/>
    <x v="1"/>
    <s v="Asian"/>
    <n v="26"/>
    <x v="69"/>
    <n v="586"/>
    <n v="0.06"/>
    <x v="0"/>
    <x v="1"/>
  </r>
  <r>
    <x v="71"/>
    <s v="Alice Luu"/>
    <x v="7"/>
    <x v="2"/>
    <s v="Research &amp; Development"/>
    <x v="1"/>
    <s v="Asian"/>
    <n v="60"/>
    <x v="70"/>
    <n v="911"/>
    <n v="0"/>
    <x v="0"/>
    <x v="0"/>
  </r>
  <r>
    <x v="72"/>
    <s v="Leonardo Ng"/>
    <x v="1"/>
    <x v="5"/>
    <s v="Corporate"/>
    <x v="0"/>
    <s v="Asian"/>
    <n v="32"/>
    <x v="71"/>
    <n v="853"/>
    <n v="0"/>
    <x v="1"/>
    <x v="7"/>
  </r>
  <r>
    <x v="73"/>
    <s v="Peyton Edwards"/>
    <x v="6"/>
    <x v="4"/>
    <s v="Manufacturing"/>
    <x v="1"/>
    <s v="Caucasian"/>
    <n v="65"/>
    <x v="72"/>
    <n v="643"/>
    <n v="0"/>
    <x v="0"/>
    <x v="0"/>
  </r>
  <r>
    <x v="74"/>
    <s v="Axel Patel"/>
    <x v="5"/>
    <x v="1"/>
    <s v="Research &amp; Development"/>
    <x v="0"/>
    <s v="Asian"/>
    <n v="27"/>
    <x v="73"/>
    <n v="713"/>
    <n v="0"/>
    <x v="0"/>
    <x v="8"/>
  </r>
  <r>
    <x v="75"/>
    <s v="Eva Chavez"/>
    <x v="3"/>
    <x v="2"/>
    <s v="Specialty Products"/>
    <x v="1"/>
    <s v="Latino"/>
    <n v="63"/>
    <x v="74"/>
    <n v="855"/>
    <n v="0"/>
    <x v="2"/>
    <x v="11"/>
  </r>
  <r>
    <x v="76"/>
    <s v="Savannah Lee"/>
    <x v="8"/>
    <x v="6"/>
    <s v="Research &amp; Development"/>
    <x v="1"/>
    <s v="Asian"/>
    <n v="51"/>
    <x v="75"/>
    <n v="724"/>
    <n v="0.1"/>
    <x v="1"/>
    <x v="9"/>
  </r>
  <r>
    <x v="77"/>
    <s v="Mia Grant"/>
    <x v="22"/>
    <x v="2"/>
    <s v="Corporate"/>
    <x v="1"/>
    <s v="Caucasian"/>
    <n v="43"/>
    <x v="76"/>
    <n v="751"/>
    <n v="0"/>
    <x v="0"/>
    <x v="0"/>
  </r>
  <r>
    <x v="78"/>
    <s v="Eli Richardson"/>
    <x v="10"/>
    <x v="5"/>
    <s v="Specialty Products"/>
    <x v="0"/>
    <s v="Black"/>
    <n v="31"/>
    <x v="77"/>
    <n v="910"/>
    <n v="0.14000000000000001"/>
    <x v="0"/>
    <x v="5"/>
  </r>
  <r>
    <x v="79"/>
    <s v="Eloise Perry"/>
    <x v="23"/>
    <x v="6"/>
    <s v="Research &amp; Development"/>
    <x v="1"/>
    <s v="Caucasian"/>
    <n v="26"/>
    <x v="78"/>
    <n v="516"/>
    <n v="0"/>
    <x v="0"/>
    <x v="1"/>
  </r>
  <r>
    <x v="80"/>
    <s v="Ian Cheng"/>
    <x v="10"/>
    <x v="1"/>
    <s v="Specialty Products"/>
    <x v="0"/>
    <s v="Asian"/>
    <n v="46"/>
    <x v="79"/>
    <n v="596"/>
    <n v="0.14000000000000001"/>
    <x v="0"/>
    <x v="5"/>
  </r>
  <r>
    <x v="81"/>
    <s v="Penelope Chan"/>
    <x v="6"/>
    <x v="3"/>
    <s v="Manufacturing"/>
    <x v="1"/>
    <s v="Asian"/>
    <n v="59"/>
    <x v="80"/>
    <n v="921"/>
    <n v="0"/>
    <x v="1"/>
    <x v="2"/>
  </r>
  <r>
    <x v="82"/>
    <s v="Sofia Vasquez"/>
    <x v="4"/>
    <x v="1"/>
    <s v="Research &amp; Development"/>
    <x v="1"/>
    <s v="Latino"/>
    <n v="52"/>
    <x v="81"/>
    <n v="957"/>
    <n v="0.24"/>
    <x v="2"/>
    <x v="11"/>
  </r>
  <r>
    <x v="83"/>
    <s v="Anthony Baker"/>
    <x v="22"/>
    <x v="2"/>
    <s v="Manufacturing"/>
    <x v="0"/>
    <s v="Caucasian"/>
    <n v="31"/>
    <x v="82"/>
    <n v="693"/>
    <n v="0"/>
    <x v="0"/>
    <x v="5"/>
  </r>
  <r>
    <x v="84"/>
    <s v="Lucas Luong"/>
    <x v="1"/>
    <x v="5"/>
    <s v="Specialty Products"/>
    <x v="0"/>
    <s v="Asian"/>
    <n v="42"/>
    <x v="83"/>
    <n v="906"/>
    <n v="0"/>
    <x v="1"/>
    <x v="7"/>
  </r>
  <r>
    <x v="85"/>
    <s v="Xavier Patel"/>
    <x v="4"/>
    <x v="5"/>
    <s v="Specialty Products"/>
    <x v="0"/>
    <s v="Asian"/>
    <n v="53"/>
    <x v="84"/>
    <n v="753"/>
    <n v="0.16"/>
    <x v="0"/>
    <x v="0"/>
  </r>
  <r>
    <x v="86"/>
    <s v="Robert Soto"/>
    <x v="24"/>
    <x v="6"/>
    <s v="Research &amp; Development"/>
    <x v="0"/>
    <s v="Latino"/>
    <n v="47"/>
    <x v="85"/>
    <n v="513"/>
    <n v="0"/>
    <x v="2"/>
    <x v="10"/>
  </r>
  <r>
    <x v="87"/>
    <s v="Nevaeh Jiang"/>
    <x v="10"/>
    <x v="5"/>
    <s v="Corporate"/>
    <x v="1"/>
    <s v="Asian"/>
    <n v="45"/>
    <x v="86"/>
    <n v="707"/>
    <n v="0.12"/>
    <x v="1"/>
    <x v="7"/>
  </r>
  <r>
    <x v="88"/>
    <s v="Chloe Reyes"/>
    <x v="4"/>
    <x v="6"/>
    <s v="Specialty Products"/>
    <x v="1"/>
    <s v="Latino"/>
    <n v="45"/>
    <x v="87"/>
    <n v="890"/>
    <n v="0.17"/>
    <x v="0"/>
    <x v="5"/>
  </r>
  <r>
    <x v="89"/>
    <s v="Lucy Edwards"/>
    <x v="4"/>
    <x v="6"/>
    <s v="Specialty Products"/>
    <x v="1"/>
    <s v="Black"/>
    <n v="33"/>
    <x v="88"/>
    <n v="784"/>
    <n v="0.21"/>
    <x v="0"/>
    <x v="0"/>
  </r>
  <r>
    <x v="90"/>
    <s v="Luna Edwards"/>
    <x v="8"/>
    <x v="1"/>
    <s v="Research &amp; _x000a__x000a_Development"/>
    <x v="1"/>
    <s v="Black"/>
    <n v="42"/>
    <x v="89"/>
    <n v="781"/>
    <n v="0.09"/>
    <x v="0"/>
    <x v="3"/>
  </r>
  <r>
    <x v="91"/>
    <s v="Stella Daniels"/>
    <x v="18"/>
    <x v="2"/>
    <s v="Manufacturing"/>
    <x v="1"/>
    <s v="Black"/>
    <n v="37"/>
    <x v="90"/>
    <n v="983"/>
    <n v="0"/>
    <x v="0"/>
    <x v="0"/>
  </r>
  <r>
    <x v="92"/>
    <s v="Ayla Ma"/>
    <x v="8"/>
    <x v="5"/>
    <s v="Corporate"/>
    <x v="1"/>
    <s v="Asian"/>
    <n v="27"/>
    <x v="91"/>
    <n v="728"/>
    <n v="7.0000000000000007E-2"/>
    <x v="1"/>
    <x v="2"/>
  </r>
  <r>
    <x v="93"/>
    <s v="Matthew Avila"/>
    <x v="20"/>
    <x v="2"/>
    <s v="Manufacturing"/>
    <x v="0"/>
    <s v="Latino"/>
    <n v="55"/>
    <x v="92"/>
    <n v="536"/>
    <n v="0.08"/>
    <x v="2"/>
    <x v="11"/>
  </r>
  <r>
    <x v="94"/>
    <s v="Gianna Lim"/>
    <x v="1"/>
    <x v="3"/>
    <s v="Research &amp; Development"/>
    <x v="1"/>
    <s v="Asian"/>
    <n v="46"/>
    <x v="93"/>
    <n v="1000"/>
    <n v="0"/>
    <x v="1"/>
    <x v="6"/>
  </r>
  <r>
    <x v="95"/>
    <s v="Joseph Tan"/>
    <x v="13"/>
    <x v="2"/>
    <s v="Research &amp; Development"/>
    <x v="0"/>
    <s v="Asian"/>
    <n v="37"/>
    <x v="94"/>
    <n v="866"/>
    <n v="0"/>
    <x v="1"/>
    <x v="2"/>
  </r>
  <r>
    <x v="96"/>
    <s v="Connor Lai"/>
    <x v="25"/>
    <x v="0"/>
    <s v="Corporate"/>
    <x v="0"/>
    <s v="Asian"/>
    <n v="32"/>
    <x v="95"/>
    <n v="793"/>
    <n v="0.12"/>
    <x v="0"/>
    <x v="1"/>
  </r>
  <r>
    <x v="97"/>
    <s v="Ava Owens"/>
    <x v="6"/>
    <x v="4"/>
    <s v="Specialty Products"/>
    <x v="1"/>
    <s v="Caucasian"/>
    <n v="28"/>
    <x v="96"/>
    <n v="585"/>
    <n v="0"/>
    <x v="0"/>
    <x v="3"/>
  </r>
  <r>
    <x v="98"/>
    <s v="Dylan Aguilar"/>
    <x v="4"/>
    <x v="0"/>
    <s v="Corporate"/>
    <x v="0"/>
    <s v="Latino"/>
    <n v="49"/>
    <x v="97"/>
    <n v="556"/>
    <n v="0.27"/>
    <x v="2"/>
    <x v="11"/>
  </r>
  <r>
    <x v="99"/>
    <s v="Leah Zheng"/>
    <x v="4"/>
    <x v="0"/>
    <s v="Corporate"/>
    <x v="1"/>
    <s v="Asian"/>
    <n v="52"/>
    <x v="98"/>
    <n v="794"/>
    <n v="0.23"/>
    <x v="1"/>
    <x v="7"/>
  </r>
  <r>
    <x v="100"/>
    <s v="Jade Pham"/>
    <x v="1"/>
    <x v="3"/>
    <s v="Manufacturing"/>
    <x v="1"/>
    <s v="Asian"/>
    <n v="61"/>
    <x v="99"/>
    <n v="734"/>
    <n v="0"/>
    <x v="1"/>
    <x v="2"/>
  </r>
  <r>
    <x v="101"/>
    <s v="Theodore Bui"/>
    <x v="11"/>
    <x v="1"/>
    <s v="Specialty Products"/>
    <x v="0"/>
    <s v="Asian"/>
    <n v="53"/>
    <x v="100"/>
    <n v="680"/>
    <n v="0.38"/>
    <x v="1"/>
    <x v="9"/>
  </r>
  <r>
    <x v="102"/>
    <s v="Asher Chan"/>
    <x v="23"/>
    <x v="6"/>
    <s v="Corporate"/>
    <x v="0"/>
    <s v="Asian"/>
    <n v="40"/>
    <x v="101"/>
    <n v="980"/>
    <n v="0"/>
    <x v="1"/>
    <x v="2"/>
  </r>
  <r>
    <x v="103"/>
    <s v="Ezekiel Brown"/>
    <x v="8"/>
    <x v="4"/>
    <s v="Corporate"/>
    <x v="0"/>
    <s v="Caucasian"/>
    <n v="27"/>
    <x v="102"/>
    <n v="928"/>
    <n v="0.08"/>
    <x v="0"/>
    <x v="8"/>
  </r>
  <r>
    <x v="104"/>
    <s v="Peyton Allen"/>
    <x v="8"/>
    <x v="5"/>
    <s v="Specialty Products"/>
    <x v="1"/>
    <s v="Caucasian"/>
    <n v="26"/>
    <x v="103"/>
    <n v="700"/>
    <n v="0.05"/>
    <x v="0"/>
    <x v="1"/>
  </r>
  <r>
    <x v="105"/>
    <s v="Parker Joseph"/>
    <x v="9"/>
    <x v="2"/>
    <s v="Specialty Products"/>
    <x v="0"/>
    <s v="Caucasian"/>
    <n v="53"/>
    <x v="104"/>
    <n v="521"/>
    <n v="0"/>
    <x v="0"/>
    <x v="3"/>
  </r>
  <r>
    <x v="106"/>
    <s v="Kayden Ortiz"/>
    <x v="10"/>
    <x v="3"/>
    <s v="Specialty Products"/>
    <x v="0"/>
    <s v="Latino"/>
    <n v="33"/>
    <x v="105"/>
    <n v="821"/>
    <n v="0.15"/>
    <x v="2"/>
    <x v="12"/>
  </r>
  <r>
    <x v="107"/>
    <s v="Lillian Desai"/>
    <x v="26"/>
    <x v="0"/>
    <s v="Manufacturing"/>
    <x v="1"/>
    <s v="Asian"/>
    <n v="27"/>
    <x v="106"/>
    <n v="582"/>
    <n v="0"/>
    <x v="1"/>
    <x v="7"/>
  </r>
  <r>
    <x v="108"/>
    <s v="Avery Gutierrez"/>
    <x v="11"/>
    <x v="5"/>
    <s v="Corporate"/>
    <x v="1"/>
    <s v="Latino"/>
    <n v="56"/>
    <x v="107"/>
    <n v="671"/>
    <n v="0.38"/>
    <x v="0"/>
    <x v="5"/>
  </r>
  <r>
    <x v="109"/>
    <s v="Caroline Sandoval"/>
    <x v="1"/>
    <x v="1"/>
    <s v="Corporate"/>
    <x v="1"/>
    <s v="Latino"/>
    <n v="36"/>
    <x v="108"/>
    <n v="526"/>
    <n v="0"/>
    <x v="2"/>
    <x v="11"/>
  </r>
  <r>
    <x v="110"/>
    <s v="Hailey Lim"/>
    <x v="4"/>
    <x v="5"/>
    <s v="Corporate"/>
    <x v="1"/>
    <s v="Asian"/>
    <n v="47"/>
    <x v="109"/>
    <n v="892"/>
    <n v="0.17"/>
    <x v="1"/>
    <x v="6"/>
  </r>
  <r>
    <x v="111"/>
    <s v="Roman Liang"/>
    <x v="5"/>
    <x v="1"/>
    <s v="Manufacturing"/>
    <x v="0"/>
    <s v="Asian"/>
    <n v="28"/>
    <x v="110"/>
    <n v="948"/>
    <n v="0"/>
    <x v="1"/>
    <x v="6"/>
  </r>
  <r>
    <x v="112"/>
    <s v="Elias Rojas"/>
    <x v="14"/>
    <x v="1"/>
    <s v="Manufacturing"/>
    <x v="0"/>
    <s v="Latino"/>
    <n v="30"/>
    <x v="111"/>
    <n v="817"/>
    <n v="0"/>
    <x v="0"/>
    <x v="1"/>
  </r>
  <r>
    <x v="113"/>
    <s v="Quinn Lai"/>
    <x v="9"/>
    <x v="2"/>
    <s v="Research &amp; Development"/>
    <x v="1"/>
    <s v="Asian"/>
    <n v="58"/>
    <x v="112"/>
    <n v="516"/>
    <n v="0"/>
    <x v="0"/>
    <x v="5"/>
  </r>
  <r>
    <x v="114"/>
    <s v="Clara Le"/>
    <x v="12"/>
    <x v="2"/>
    <s v="Corporate"/>
    <x v="1"/>
    <s v="Asian"/>
    <n v="56"/>
    <x v="113"/>
    <n v="925"/>
    <n v="0"/>
    <x v="1"/>
    <x v="9"/>
  </r>
  <r>
    <x v="115"/>
    <s v="Chloe Yoon"/>
    <x v="2"/>
    <x v="2"/>
    <s v="Corporate"/>
    <x v="1"/>
    <s v="Asian"/>
    <n v="65"/>
    <x v="114"/>
    <n v="889"/>
    <n v="0"/>
    <x v="0"/>
    <x v="3"/>
  </r>
  <r>
    <x v="116"/>
    <s v="Abigail Simmons"/>
    <x v="10"/>
    <x v="2"/>
    <s v="Specialty Products"/>
    <x v="1"/>
    <s v="Caucasian"/>
    <n v="29"/>
    <x v="115"/>
    <n v="799"/>
    <n v="0.15"/>
    <x v="0"/>
    <x v="8"/>
  </r>
  <r>
    <x v="117"/>
    <s v="Ayla Espinoza"/>
    <x v="4"/>
    <x v="6"/>
    <s v="Research &amp; Development"/>
    <x v="1"/>
    <s v="Latino"/>
    <n v="60"/>
    <x v="116"/>
    <n v="533"/>
    <n v="0.26"/>
    <x v="2"/>
    <x v="10"/>
  </r>
  <r>
    <x v="118"/>
    <s v="Nova Lin"/>
    <x v="11"/>
    <x v="1"/>
    <s v="Specialty Products"/>
    <x v="1"/>
    <s v="Asian"/>
    <n v="31"/>
    <x v="117"/>
    <n v="678"/>
    <n v="0.32"/>
    <x v="0"/>
    <x v="4"/>
  </r>
  <r>
    <x v="119"/>
    <s v="Sadie Singh"/>
    <x v="4"/>
    <x v="0"/>
    <s v="Specialty Products"/>
    <x v="1"/>
    <s v="Asian"/>
    <n v="45"/>
    <x v="118"/>
    <n v="911"/>
    <n v="0.26"/>
    <x v="0"/>
    <x v="0"/>
  </r>
  <r>
    <x v="120"/>
    <s v="Aaron Powell"/>
    <x v="19"/>
    <x v="2"/>
    <s v="Research &amp; Development"/>
    <x v="0"/>
    <s v="Black"/>
    <n v="30"/>
    <x v="119"/>
    <n v="966"/>
    <n v="0"/>
    <x v="0"/>
    <x v="1"/>
  </r>
  <r>
    <x v="121"/>
    <s v="Jameson Vargas"/>
    <x v="4"/>
    <x v="6"/>
    <s v="Specialty Products"/>
    <x v="0"/>
    <s v="Latino"/>
    <n v="36"/>
    <x v="120"/>
    <n v="749"/>
    <n v="0.2"/>
    <x v="2"/>
    <x v="10"/>
  </r>
  <r>
    <x v="122"/>
    <s v="Logan Young"/>
    <x v="11"/>
    <x v="2"/>
    <s v="Corporate"/>
    <x v="0"/>
    <s v="Black"/>
    <n v="39"/>
    <x v="121"/>
    <n v="868"/>
    <n v="0.33"/>
    <x v="0"/>
    <x v="3"/>
  </r>
  <r>
    <x v="123"/>
    <s v="Wyatt Cheung"/>
    <x v="6"/>
    <x v="1"/>
    <s v="Specialty Products"/>
    <x v="0"/>
    <s v="Asian"/>
    <n v="44"/>
    <x v="122"/>
    <n v="977"/>
    <n v="0"/>
    <x v="1"/>
    <x v="9"/>
  </r>
  <r>
    <x v="124"/>
    <s v="Lucas Zhu"/>
    <x v="8"/>
    <x v="2"/>
    <s v="Manufacturing"/>
    <x v="0"/>
    <s v="Asian"/>
    <n v="53"/>
    <x v="123"/>
    <n v="973"/>
    <n v="0.08"/>
    <x v="1"/>
    <x v="9"/>
  </r>
  <r>
    <x v="125"/>
    <s v="Emily Hong"/>
    <x v="17"/>
    <x v="2"/>
    <s v="Specialty Products"/>
    <x v="1"/>
    <s v="Asian"/>
    <n v="46"/>
    <x v="124"/>
    <n v="536"/>
    <n v="0"/>
    <x v="1"/>
    <x v="9"/>
  </r>
  <r>
    <x v="126"/>
    <s v="Luke Ramos"/>
    <x v="14"/>
    <x v="1"/>
    <s v="Corporate"/>
    <x v="0"/>
    <s v="Latino"/>
    <n v="30"/>
    <x v="125"/>
    <n v="822"/>
    <n v="0"/>
    <x v="2"/>
    <x v="12"/>
  </r>
  <r>
    <x v="127"/>
    <s v="Maya Gupta"/>
    <x v="26"/>
    <x v="0"/>
    <s v="Corporate"/>
    <x v="1"/>
    <s v="Asian"/>
    <n v="28"/>
    <x v="126"/>
    <n v="707"/>
    <n v="0"/>
    <x v="1"/>
    <x v="9"/>
  </r>
  <r>
    <x v="128"/>
    <s v="Eliana Ha"/>
    <x v="1"/>
    <x v="3"/>
    <s v="Specialty Products"/>
    <x v="1"/>
    <s v="Asian"/>
    <n v="35"/>
    <x v="127"/>
    <n v="564"/>
    <n v="0"/>
    <x v="1"/>
    <x v="7"/>
  </r>
  <r>
    <x v="129"/>
    <s v="Lillian Cheng"/>
    <x v="6"/>
    <x v="4"/>
    <s v="Research &amp; Development"/>
    <x v="1"/>
    <s v="Asian"/>
    <n v="58"/>
    <x v="128"/>
    <n v="866"/>
    <n v="0"/>
    <x v="1"/>
    <x v="7"/>
  </r>
  <r>
    <x v="130"/>
    <s v="Alexander Pena"/>
    <x v="5"/>
    <x v="1"/>
    <s v="Specialty Products"/>
    <x v="0"/>
    <s v="Latino"/>
    <n v="47"/>
    <x v="129"/>
    <n v="758"/>
    <n v="0"/>
    <x v="0"/>
    <x v="1"/>
  </r>
  <r>
    <x v="131"/>
    <s v="Leonardo Mai"/>
    <x v="5"/>
    <x v="5"/>
    <s v="Specialty Products"/>
    <x v="0"/>
    <s v="Asian"/>
    <n v="43"/>
    <x v="130"/>
    <n v="642"/>
    <n v="0"/>
    <x v="1"/>
    <x v="7"/>
  </r>
  <r>
    <x v="132"/>
    <s v="Jack Phillips"/>
    <x v="6"/>
    <x v="4"/>
    <s v="Manufacturing"/>
    <x v="0"/>
    <s v="Black"/>
    <n v="47"/>
    <x v="131"/>
    <n v="997"/>
    <n v="0"/>
    <x v="0"/>
    <x v="5"/>
  </r>
  <r>
    <x v="133"/>
    <s v="Scarlett Delgado"/>
    <x v="18"/>
    <x v="2"/>
    <s v="Research &amp; Development"/>
    <x v="1"/>
    <s v="Latino"/>
    <n v="57"/>
    <x v="132"/>
    <n v="970"/>
    <n v="0"/>
    <x v="2"/>
    <x v="10"/>
  </r>
  <r>
    <x v="134"/>
    <s v="Jack Rogers"/>
    <x v="9"/>
    <x v="2"/>
    <s v="Corporate"/>
    <x v="0"/>
    <s v="Black"/>
    <n v="47"/>
    <x v="133"/>
    <n v="598"/>
    <n v="0"/>
    <x v="0"/>
    <x v="5"/>
  </r>
  <r>
    <x v="135"/>
    <s v="Violet Huynh"/>
    <x v="8"/>
    <x v="1"/>
    <s v="Research &amp; Development"/>
    <x v="1"/>
    <s v="Asian"/>
    <n v="50"/>
    <x v="134"/>
    <n v="593"/>
    <n v="0.1"/>
    <x v="1"/>
    <x v="2"/>
  </r>
  <r>
    <x v="136"/>
    <s v="Victoria Park"/>
    <x v="1"/>
    <x v="5"/>
    <s v="Research &amp; Development"/>
    <x v="1"/>
    <s v="Asian"/>
    <n v="27"/>
    <x v="135"/>
    <n v="906"/>
    <n v="0"/>
    <x v="0"/>
    <x v="1"/>
  </r>
  <r>
    <x v="137"/>
    <s v="Elizabeth Rodriguez"/>
    <x v="10"/>
    <x v="3"/>
    <s v="Corporate"/>
    <x v="1"/>
    <s v="Latino"/>
    <n v="26"/>
    <x v="136"/>
    <n v="811"/>
    <n v="0.13"/>
    <x v="2"/>
    <x v="11"/>
  </r>
  <r>
    <x v="138"/>
    <s v="Samuel Kumar"/>
    <x v="27"/>
    <x v="2"/>
    <s v="Corporate"/>
    <x v="0"/>
    <s v="Asian"/>
    <n v="43"/>
    <x v="137"/>
    <n v="566"/>
    <n v="0"/>
    <x v="1"/>
    <x v="7"/>
  </r>
  <r>
    <x v="139"/>
    <s v="Zoe Maldonado"/>
    <x v="11"/>
    <x v="3"/>
    <s v="Corporate"/>
    <x v="1"/>
    <s v="Latino"/>
    <n v="49"/>
    <x v="138"/>
    <n v="900"/>
    <n v="0.34"/>
    <x v="2"/>
    <x v="11"/>
  </r>
  <r>
    <x v="140"/>
    <s v="Natalia Richardson"/>
    <x v="10"/>
    <x v="1"/>
    <s v="Research &amp; Development"/>
    <x v="1"/>
    <s v="Caucasian"/>
    <n v="36"/>
    <x v="139"/>
    <n v="528"/>
    <n v="0.1"/>
    <x v="0"/>
    <x v="0"/>
  </r>
  <r>
    <x v="141"/>
    <s v="Madeline Contreras"/>
    <x v="1"/>
    <x v="3"/>
    <s v="Corporate"/>
    <x v="1"/>
    <s v="Latino"/>
    <n v="51"/>
    <x v="140"/>
    <n v="991"/>
    <n v="0"/>
    <x v="2"/>
    <x v="11"/>
  </r>
  <r>
    <x v="142"/>
    <s v="Raelynn Espinoza"/>
    <x v="1"/>
    <x v="3"/>
    <s v="Corporate"/>
    <x v="1"/>
    <s v="Latino"/>
    <n v="46"/>
    <x v="141"/>
    <n v="762"/>
    <n v="0"/>
    <x v="2"/>
    <x v="12"/>
  </r>
  <r>
    <x v="143"/>
    <s v="Noah Rojas"/>
    <x v="6"/>
    <x v="4"/>
    <s v="Manufacturing"/>
    <x v="0"/>
    <s v="Latino"/>
    <n v="37"/>
    <x v="142"/>
    <n v="894"/>
    <n v="0"/>
    <x v="0"/>
    <x v="1"/>
  </r>
  <r>
    <x v="144"/>
    <s v="Jack Ramos"/>
    <x v="5"/>
    <x v="4"/>
    <s v="Manufacturing"/>
    <x v="0"/>
    <s v="Latino"/>
    <n v="43"/>
    <x v="143"/>
    <n v="630"/>
    <n v="0"/>
    <x v="2"/>
    <x v="12"/>
  </r>
  <r>
    <x v="145"/>
    <s v="Riley King"/>
    <x v="4"/>
    <x v="5"/>
    <s v="Specialty Products"/>
    <x v="1"/>
    <s v="Black"/>
    <n v="53"/>
    <x v="144"/>
    <n v="589"/>
    <n v="0.15"/>
    <x v="0"/>
    <x v="0"/>
  </r>
  <r>
    <x v="146"/>
    <s v="Naomi Lee"/>
    <x v="7"/>
    <x v="2"/>
    <s v="Research &amp; Development"/>
    <x v="1"/>
    <s v="Asian"/>
    <n v="58"/>
    <x v="145"/>
    <n v="642"/>
    <n v="0"/>
    <x v="1"/>
    <x v="9"/>
  </r>
  <r>
    <x v="147"/>
    <s v="Caleb Jones"/>
    <x v="8"/>
    <x v="5"/>
    <s v="Corporate"/>
    <x v="0"/>
    <s v="Caucasian"/>
    <n v="57"/>
    <x v="146"/>
    <n v="927"/>
    <n v="0.08"/>
    <x v="0"/>
    <x v="8"/>
  </r>
  <r>
    <x v="148"/>
    <s v="Peyton Alvarado"/>
    <x v="12"/>
    <x v="2"/>
    <s v="Manufacturing"/>
    <x v="1"/>
    <s v="Latino"/>
    <n v="31"/>
    <x v="147"/>
    <n v="889"/>
    <n v="0"/>
    <x v="2"/>
    <x v="10"/>
  </r>
  <r>
    <x v="149"/>
    <s v="Luca Liu"/>
    <x v="14"/>
    <x v="1"/>
    <s v="Manufacturing"/>
    <x v="0"/>
    <s v="Asian"/>
    <n v="40"/>
    <x v="148"/>
    <n v="974"/>
    <n v="0"/>
    <x v="1"/>
    <x v="6"/>
  </r>
  <r>
    <x v="150"/>
    <s v="Christian Johnson"/>
    <x v="28"/>
    <x v="2"/>
    <s v="Research &amp; Development"/>
    <x v="0"/>
    <s v="Black"/>
    <n v="47"/>
    <x v="149"/>
    <n v="537"/>
    <n v="0"/>
    <x v="0"/>
    <x v="8"/>
  </r>
  <r>
    <x v="151"/>
    <s v="Kinsley Gonzales"/>
    <x v="9"/>
    <x v="2"/>
    <s v="Manufacturing"/>
    <x v="1"/>
    <s v="Latino"/>
    <n v="51"/>
    <x v="150"/>
    <n v="500"/>
    <n v="0"/>
    <x v="2"/>
    <x v="10"/>
  </r>
  <r>
    <x v="152"/>
    <s v="Hunter Yoon"/>
    <x v="2"/>
    <x v="2"/>
    <s v="Research &amp; Development"/>
    <x v="0"/>
    <s v="Asian"/>
    <n v="57"/>
    <x v="151"/>
    <n v="881"/>
    <n v="0"/>
    <x v="1"/>
    <x v="6"/>
  </r>
  <r>
    <x v="153"/>
    <s v="Elias Dixon"/>
    <x v="17"/>
    <x v="2"/>
    <s v="Corporate"/>
    <x v="0"/>
    <s v="Caucasian"/>
    <n v="46"/>
    <x v="152"/>
    <n v="648"/>
    <n v="0"/>
    <x v="0"/>
    <x v="0"/>
  </r>
  <r>
    <x v="154"/>
    <s v="Owen Guerrero"/>
    <x v="26"/>
    <x v="0"/>
    <s v="Corporate"/>
    <x v="0"/>
    <s v="Latino"/>
    <n v="40"/>
    <x v="153"/>
    <n v="570"/>
    <n v="0"/>
    <x v="0"/>
    <x v="1"/>
  </r>
  <r>
    <x v="155"/>
    <s v="Lucas Lo"/>
    <x v="1"/>
    <x v="3"/>
    <s v="Research &amp; Development"/>
    <x v="0"/>
    <s v="Asian"/>
    <n v="43"/>
    <x v="154"/>
    <n v="621"/>
    <n v="0"/>
    <x v="1"/>
    <x v="9"/>
  </r>
  <r>
    <x v="156"/>
    <s v="Hunter Mitchell"/>
    <x v="17"/>
    <x v="2"/>
    <s v="Research &amp; Development"/>
    <x v="0"/>
    <s v="Caucasian"/>
    <n v="54"/>
    <x v="155"/>
    <n v="619"/>
    <n v="0"/>
    <x v="0"/>
    <x v="0"/>
  </r>
  <r>
    <x v="157"/>
    <s v="Eliana Bailey"/>
    <x v="10"/>
    <x v="1"/>
    <s v="Research &amp; Development"/>
    <x v="1"/>
    <s v="Black"/>
    <n v="27"/>
    <x v="156"/>
    <n v="577"/>
    <n v="0.15"/>
    <x v="0"/>
    <x v="3"/>
  </r>
  <r>
    <x v="158"/>
    <s v="Gabriella Choi"/>
    <x v="6"/>
    <x v="3"/>
    <s v="Manufacturing"/>
    <x v="1"/>
    <s v="Asian"/>
    <n v="56"/>
    <x v="157"/>
    <n v="856"/>
    <n v="0"/>
    <x v="0"/>
    <x v="3"/>
  </r>
  <r>
    <x v="159"/>
    <s v="Evelyn Alvarado"/>
    <x v="2"/>
    <x v="2"/>
    <s v="Specialty Products"/>
    <x v="1"/>
    <s v="Latino"/>
    <n v="36"/>
    <x v="158"/>
    <n v="516"/>
    <n v="0"/>
    <x v="0"/>
    <x v="8"/>
  </r>
  <r>
    <x v="160"/>
    <s v="Wyatt Chan"/>
    <x v="8"/>
    <x v="4"/>
    <s v="Manufacturing"/>
    <x v="0"/>
    <s v="Asian"/>
    <n v="53"/>
    <x v="159"/>
    <n v="912"/>
    <n v="0.08"/>
    <x v="1"/>
    <x v="2"/>
  </r>
  <r>
    <x v="161"/>
    <s v="Sarah Johnson"/>
    <x v="4"/>
    <x v="0"/>
    <s v="Research &amp; Development"/>
    <x v="1"/>
    <s v="Caucasian"/>
    <n v="31"/>
    <x v="160"/>
    <n v="973"/>
    <n v="0.24"/>
    <x v="0"/>
    <x v="4"/>
  </r>
  <r>
    <x v="162"/>
    <s v="Brooks Evans"/>
    <x v="29"/>
    <x v="1"/>
    <s v="Specialty Products"/>
    <x v="0"/>
    <s v="Caucasian"/>
    <n v="45"/>
    <x v="161"/>
    <n v="908"/>
    <n v="0"/>
    <x v="0"/>
    <x v="0"/>
  </r>
  <r>
    <x v="163"/>
    <s v="Isaiah Dixon"/>
    <x v="30"/>
    <x v="0"/>
    <s v="Corporate"/>
    <x v="0"/>
    <s v="Caucasian"/>
    <n v="29"/>
    <x v="162"/>
    <n v="556"/>
    <n v="0"/>
    <x v="0"/>
    <x v="4"/>
  </r>
  <r>
    <x v="164"/>
    <s v="Addison Lo"/>
    <x v="18"/>
    <x v="2"/>
    <s v="Research &amp; Development"/>
    <x v="1"/>
    <s v="Asian"/>
    <n v="27"/>
    <x v="163"/>
    <n v="777"/>
    <n v="0"/>
    <x v="0"/>
    <x v="0"/>
  </r>
  <r>
    <x v="165"/>
    <s v="Nolan Howard"/>
    <x v="31"/>
    <x v="0"/>
    <s v="Research &amp; Development"/>
    <x v="0"/>
    <s v="Caucasian"/>
    <n v="26"/>
    <x v="164"/>
    <n v="892"/>
    <n v="0"/>
    <x v="0"/>
    <x v="4"/>
  </r>
  <r>
    <x v="166"/>
    <s v="Paisley Dominguez"/>
    <x v="25"/>
    <x v="0"/>
    <s v="Research &amp; Development"/>
    <x v="1"/>
    <s v="Latino"/>
    <n v="53"/>
    <x v="165"/>
    <n v="707"/>
    <n v="0.1"/>
    <x v="0"/>
    <x v="4"/>
  </r>
  <r>
    <x v="167"/>
    <s v="Eliana Ho"/>
    <x v="4"/>
    <x v="3"/>
    <s v="Corporate"/>
    <x v="1"/>
    <s v="Asian"/>
    <n v="64"/>
    <x v="166"/>
    <n v="633"/>
    <n v="0.22"/>
    <x v="1"/>
    <x v="7"/>
  </r>
  <r>
    <x v="168"/>
    <s v="Charles Miller"/>
    <x v="4"/>
    <x v="5"/>
    <s v="Manufacturing"/>
    <x v="0"/>
    <s v="Black"/>
    <n v="32"/>
    <x v="49"/>
    <n v="863"/>
    <n v="0.23"/>
    <x v="0"/>
    <x v="0"/>
  </r>
  <r>
    <x v="169"/>
    <s v="Mia Jiang"/>
    <x v="11"/>
    <x v="3"/>
    <s v="Manufacturing"/>
    <x v="1"/>
    <s v="Asian"/>
    <n v="42"/>
    <x v="167"/>
    <n v="823"/>
    <n v="0.38"/>
    <x v="0"/>
    <x v="8"/>
  </r>
  <r>
    <x v="170"/>
    <s v="Skylar Parker"/>
    <x v="13"/>
    <x v="2"/>
    <s v="Corporate"/>
    <x v="1"/>
    <s v="Caucasian"/>
    <n v="31"/>
    <x v="168"/>
    <n v="582"/>
    <n v="0"/>
    <x v="0"/>
    <x v="5"/>
  </r>
  <r>
    <x v="171"/>
    <s v="Zoey Leung"/>
    <x v="2"/>
    <x v="2"/>
    <s v="Research &amp; Development"/>
    <x v="1"/>
    <s v="Asian"/>
    <n v="40"/>
    <x v="169"/>
    <n v="733"/>
    <n v="0"/>
    <x v="1"/>
    <x v="6"/>
  </r>
  <r>
    <x v="172"/>
    <s v="Austin Moua"/>
    <x v="16"/>
    <x v="0"/>
    <s v="Research &amp; Development"/>
    <x v="0"/>
    <s v="Asian"/>
    <n v="46"/>
    <x v="170"/>
    <n v="703"/>
    <n v="0"/>
    <x v="1"/>
    <x v="7"/>
  </r>
  <r>
    <x v="173"/>
    <s v="Christopher Robinson"/>
    <x v="11"/>
    <x v="4"/>
    <s v="Specialty Products"/>
    <x v="0"/>
    <s v="Caucasian"/>
    <n v="35"/>
    <x v="171"/>
    <n v="838"/>
    <n v="0.31"/>
    <x v="0"/>
    <x v="4"/>
  </r>
  <r>
    <x v="174"/>
    <s v="Jayden Zhang"/>
    <x v="19"/>
    <x v="2"/>
    <s v="Specialty Products"/>
    <x v="0"/>
    <s v="Asian"/>
    <n v="64"/>
    <x v="172"/>
    <n v="843"/>
    <n v="0"/>
    <x v="1"/>
    <x v="7"/>
  </r>
  <r>
    <x v="175"/>
    <s v="Cora Mejia"/>
    <x v="5"/>
    <x v="3"/>
    <s v="Research &amp; Development"/>
    <x v="1"/>
    <s v="Latino"/>
    <n v="58"/>
    <x v="173"/>
    <n v="840"/>
    <n v="0"/>
    <x v="2"/>
    <x v="12"/>
  </r>
  <r>
    <x v="176"/>
    <s v="Julian Harris"/>
    <x v="32"/>
    <x v="0"/>
    <s v="Manufacturing"/>
    <x v="0"/>
    <s v="Caucasian"/>
    <n v="61"/>
    <x v="174"/>
    <n v="546"/>
    <n v="0"/>
    <x v="0"/>
    <x v="5"/>
  </r>
  <r>
    <x v="177"/>
    <s v="Anthony Espinoza"/>
    <x v="6"/>
    <x v="4"/>
    <s v="Manufacturing"/>
    <x v="0"/>
    <s v="Latino"/>
    <n v="41"/>
    <x v="175"/>
    <n v="565"/>
    <n v="0"/>
    <x v="2"/>
    <x v="10"/>
  </r>
  <r>
    <x v="178"/>
    <s v="Aubrey Ruiz"/>
    <x v="6"/>
    <x v="5"/>
    <s v="Specialty Products"/>
    <x v="1"/>
    <s v="Latino"/>
    <n v="25"/>
    <x v="176"/>
    <n v="557"/>
    <n v="0"/>
    <x v="2"/>
    <x v="11"/>
  </r>
  <r>
    <x v="179"/>
    <s v="Piper Tang"/>
    <x v="11"/>
    <x v="6"/>
    <s v="Manufacturing"/>
    <x v="1"/>
    <s v="Asian"/>
    <n v="50"/>
    <x v="177"/>
    <n v="822"/>
    <n v="0.33"/>
    <x v="1"/>
    <x v="9"/>
  </r>
  <r>
    <x v="180"/>
    <s v="Colton Delgado"/>
    <x v="10"/>
    <x v="3"/>
    <s v="Research &amp; Development"/>
    <x v="0"/>
    <s v="Latino"/>
    <n v="61"/>
    <x v="178"/>
    <n v="927"/>
    <n v="0.13"/>
    <x v="2"/>
    <x v="10"/>
  </r>
  <r>
    <x v="181"/>
    <s v="Madeline Chung"/>
    <x v="1"/>
    <x v="4"/>
    <s v="Research &amp; Development"/>
    <x v="1"/>
    <s v="Asian"/>
    <n v="63"/>
    <x v="179"/>
    <n v="890"/>
    <n v="0"/>
    <x v="0"/>
    <x v="8"/>
  </r>
  <r>
    <x v="182"/>
    <s v="Ariana Sharma"/>
    <x v="11"/>
    <x v="1"/>
    <s v="Research &amp; Development"/>
    <x v="1"/>
    <s v="Asian"/>
    <n v="45"/>
    <x v="180"/>
    <n v="508"/>
    <n v="0.34"/>
    <x v="0"/>
    <x v="3"/>
  </r>
  <r>
    <x v="183"/>
    <s v="Julian Marquez"/>
    <x v="10"/>
    <x v="3"/>
    <s v="Specialty Products"/>
    <x v="0"/>
    <s v="Latino"/>
    <n v="33"/>
    <x v="181"/>
    <n v="896"/>
    <n v="0.11"/>
    <x v="2"/>
    <x v="10"/>
  </r>
  <r>
    <x v="184"/>
    <s v="Logan Reyes"/>
    <x v="31"/>
    <x v="0"/>
    <s v="Corporate"/>
    <x v="0"/>
    <s v="Latino"/>
    <n v="62"/>
    <x v="182"/>
    <n v="610"/>
    <n v="0"/>
    <x v="2"/>
    <x v="11"/>
  </r>
  <r>
    <x v="185"/>
    <s v="Penelope Mai"/>
    <x v="11"/>
    <x v="1"/>
    <s v="Corporate"/>
    <x v="1"/>
    <s v="Asian"/>
    <n v="43"/>
    <x v="183"/>
    <n v="727"/>
    <n v="0.35"/>
    <x v="0"/>
    <x v="4"/>
  </r>
  <r>
    <x v="186"/>
    <s v="Ryan Reed"/>
    <x v="5"/>
    <x v="1"/>
    <s v="Manufacturing"/>
    <x v="0"/>
    <s v="Black"/>
    <n v="48"/>
    <x v="184"/>
    <n v="897"/>
    <n v="0"/>
    <x v="0"/>
    <x v="4"/>
  </r>
  <r>
    <x v="187"/>
    <s v="Grayson Hwang"/>
    <x v="5"/>
    <x v="4"/>
    <s v="Corporate"/>
    <x v="0"/>
    <s v="Asian"/>
    <n v="42"/>
    <x v="185"/>
    <n v="709"/>
    <n v="0"/>
    <x v="1"/>
    <x v="6"/>
  </r>
  <r>
    <x v="188"/>
    <s v="Ezra Tan"/>
    <x v="10"/>
    <x v="4"/>
    <s v="Corporate"/>
    <x v="0"/>
    <s v="Asian"/>
    <n v="49"/>
    <x v="186"/>
    <n v="914"/>
    <n v="0.12"/>
    <x v="1"/>
    <x v="7"/>
  </r>
  <r>
    <x v="189"/>
    <s v="David Ha"/>
    <x v="29"/>
    <x v="1"/>
    <s v="Corporate"/>
    <x v="0"/>
    <s v="Asian"/>
    <n v="33"/>
    <x v="187"/>
    <n v="806"/>
    <n v="0"/>
    <x v="1"/>
    <x v="6"/>
  </r>
  <r>
    <x v="190"/>
    <s v="Lillian Vang"/>
    <x v="13"/>
    <x v="2"/>
    <s v="Research &amp; Development"/>
    <x v="1"/>
    <s v="Asian"/>
    <n v="39"/>
    <x v="188"/>
    <n v="530"/>
    <n v="0"/>
    <x v="1"/>
    <x v="6"/>
  </r>
  <r>
    <x v="191"/>
    <s v="Sofia Zhang"/>
    <x v="1"/>
    <x v="4"/>
    <s v="Specialty Products"/>
    <x v="1"/>
    <s v="Asian"/>
    <n v="51"/>
    <x v="189"/>
    <n v="610"/>
    <n v="0"/>
    <x v="0"/>
    <x v="1"/>
  </r>
  <r>
    <x v="192"/>
    <s v="Athena Daniels"/>
    <x v="2"/>
    <x v="2"/>
    <s v="Specialty Products"/>
    <x v="1"/>
    <s v="Caucasian"/>
    <n v="49"/>
    <x v="190"/>
    <n v="551"/>
    <n v="0"/>
    <x v="0"/>
    <x v="3"/>
  </r>
  <r>
    <x v="193"/>
    <s v="Jameson Shin"/>
    <x v="5"/>
    <x v="5"/>
    <s v="Research &amp; Development"/>
    <x v="0"/>
    <s v="Asian"/>
    <n v="30"/>
    <x v="191"/>
    <n v="661"/>
    <n v="0"/>
    <x v="1"/>
    <x v="7"/>
  </r>
  <r>
    <x v="194"/>
    <s v="Everly Avila"/>
    <x v="14"/>
    <x v="1"/>
    <s v="Manufacturing"/>
    <x v="1"/>
    <s v="Latino"/>
    <n v="41"/>
    <x v="192"/>
    <n v="516"/>
    <n v="0"/>
    <x v="0"/>
    <x v="8"/>
  </r>
  <r>
    <x v="195"/>
    <s v="Liam Nelson"/>
    <x v="13"/>
    <x v="2"/>
    <s v="Research &amp; Development"/>
    <x v="0"/>
    <s v="Black"/>
    <n v="58"/>
    <x v="193"/>
    <n v="871"/>
    <n v="0"/>
    <x v="0"/>
    <x v="0"/>
  </r>
  <r>
    <x v="196"/>
    <s v="Theodore Lai"/>
    <x v="7"/>
    <x v="2"/>
    <s v="Specialty Products"/>
    <x v="0"/>
    <s v="Asian"/>
    <n v="55"/>
    <x v="194"/>
    <n v="532"/>
    <n v="0"/>
    <x v="1"/>
    <x v="2"/>
  </r>
  <r>
    <x v="197"/>
    <s v="Caroline Do"/>
    <x v="1"/>
    <x v="5"/>
    <s v="Research &amp; Development"/>
    <x v="1"/>
    <s v="Asian"/>
    <n v="40"/>
    <x v="195"/>
    <n v="809"/>
    <n v="0"/>
    <x v="0"/>
    <x v="1"/>
  </r>
  <r>
    <x v="198"/>
    <s v="Josiah Ramos"/>
    <x v="8"/>
    <x v="4"/>
    <s v="Specialty Products"/>
    <x v="0"/>
    <s v="Latino"/>
    <n v="41"/>
    <x v="196"/>
    <n v="882"/>
    <n v="0.06"/>
    <x v="0"/>
    <x v="1"/>
  </r>
  <r>
    <x v="199"/>
    <s v="Colton Alexander"/>
    <x v="26"/>
    <x v="0"/>
    <s v="Research &amp; Development"/>
    <x v="0"/>
    <s v="Caucasian"/>
    <n v="45"/>
    <x v="197"/>
    <n v="939"/>
    <n v="0"/>
    <x v="0"/>
    <x v="5"/>
  </r>
  <r>
    <x v="200"/>
    <s v="Charles Ramos"/>
    <x v="5"/>
    <x v="3"/>
    <s v="Corporate"/>
    <x v="0"/>
    <s v="Latino"/>
    <n v="57"/>
    <x v="198"/>
    <n v="800"/>
    <n v="0"/>
    <x v="0"/>
    <x v="4"/>
  </r>
  <r>
    <x v="201"/>
    <s v="Ellie Wilson"/>
    <x v="4"/>
    <x v="2"/>
    <s v="Manufacturing"/>
    <x v="1"/>
    <s v="Caucasian"/>
    <n v="65"/>
    <x v="199"/>
    <n v="725"/>
    <n v="0.3"/>
    <x v="0"/>
    <x v="0"/>
  </r>
  <r>
    <x v="202"/>
    <s v="Peyton Powell"/>
    <x v="7"/>
    <x v="2"/>
    <s v="Research &amp; Development"/>
    <x v="1"/>
    <s v="Caucasian"/>
    <n v="44"/>
    <x v="200"/>
    <n v="934"/>
    <n v="0"/>
    <x v="0"/>
    <x v="5"/>
  </r>
  <r>
    <x v="203"/>
    <s v="Hailey Rojas"/>
    <x v="1"/>
    <x v="4"/>
    <s v="Specialty Products"/>
    <x v="1"/>
    <s v="Latino"/>
    <n v="52"/>
    <x v="201"/>
    <n v="897"/>
    <n v="0"/>
    <x v="0"/>
    <x v="8"/>
  </r>
  <r>
    <x v="204"/>
    <s v="Kai Singh"/>
    <x v="1"/>
    <x v="4"/>
    <s v="Corporate"/>
    <x v="0"/>
    <s v="Asian"/>
    <n v="52"/>
    <x v="202"/>
    <n v="805"/>
    <n v="0"/>
    <x v="0"/>
    <x v="1"/>
  </r>
  <r>
    <x v="205"/>
    <s v="Ryan Rivera"/>
    <x v="4"/>
    <x v="6"/>
    <s v="Specialty Products"/>
    <x v="0"/>
    <s v="Latino"/>
    <n v="53"/>
    <x v="203"/>
    <n v="758"/>
    <n v="0.16"/>
    <x v="0"/>
    <x v="5"/>
  </r>
  <r>
    <x v="206"/>
    <s v="Everett Lu"/>
    <x v="8"/>
    <x v="5"/>
    <s v="Research &amp; Development"/>
    <x v="0"/>
    <s v="Asian"/>
    <n v="31"/>
    <x v="204"/>
    <n v="905"/>
    <n v="0.06"/>
    <x v="0"/>
    <x v="5"/>
  </r>
  <r>
    <x v="207"/>
    <s v="Layla Nunez"/>
    <x v="8"/>
    <x v="4"/>
    <s v="Manufacturing"/>
    <x v="1"/>
    <s v="Latino"/>
    <n v="63"/>
    <x v="205"/>
    <n v="511"/>
    <n v="0.05"/>
    <x v="0"/>
    <x v="8"/>
  </r>
  <r>
    <x v="208"/>
    <s v="Liliana Collins"/>
    <x v="10"/>
    <x v="6"/>
    <s v="Specialty Products"/>
    <x v="1"/>
    <s v="Black"/>
    <n v="39"/>
    <x v="206"/>
    <n v="963"/>
    <n v="0.13"/>
    <x v="0"/>
    <x v="1"/>
  </r>
  <r>
    <x v="209"/>
    <s v="Ezekiel Jenkins"/>
    <x v="12"/>
    <x v="2"/>
    <s v="Specialty Products"/>
    <x v="0"/>
    <s v="Caucasian"/>
    <n v="63"/>
    <x v="207"/>
    <n v="933"/>
    <n v="0"/>
    <x v="0"/>
    <x v="3"/>
  </r>
  <r>
    <x v="210"/>
    <s v="Christopher Wang"/>
    <x v="18"/>
    <x v="2"/>
    <s v="Manufacturing"/>
    <x v="0"/>
    <s v="Asian"/>
    <n v="27"/>
    <x v="208"/>
    <n v="978"/>
    <n v="0"/>
    <x v="1"/>
    <x v="6"/>
  </r>
  <r>
    <x v="211"/>
    <s v="Savannah Rodriguez"/>
    <x v="4"/>
    <x v="1"/>
    <s v="Corporate"/>
    <x v="1"/>
    <s v="Latino"/>
    <n v="30"/>
    <x v="209"/>
    <n v="516"/>
    <n v="0.24"/>
    <x v="2"/>
    <x v="12"/>
  </r>
  <r>
    <x v="212"/>
    <s v="Lyla Turner"/>
    <x v="10"/>
    <x v="1"/>
    <s v="Specialty Products"/>
    <x v="1"/>
    <s v="Caucasian"/>
    <n v="51"/>
    <x v="210"/>
    <n v="755"/>
    <n v="0.12"/>
    <x v="0"/>
    <x v="3"/>
  </r>
  <r>
    <x v="213"/>
    <s v="Adrian Ngo"/>
    <x v="19"/>
    <x v="2"/>
    <s v="Research &amp; Development"/>
    <x v="0"/>
    <s v="Asian"/>
    <n v="58"/>
    <x v="211"/>
    <n v="859"/>
    <n v="0"/>
    <x v="1"/>
    <x v="6"/>
  </r>
  <r>
    <x v="214"/>
    <s v="Aria Juarez"/>
    <x v="4"/>
    <x v="4"/>
    <s v="Corporate"/>
    <x v="1"/>
    <s v="Latino"/>
    <n v="62"/>
    <x v="212"/>
    <n v="599"/>
    <n v="0.24"/>
    <x v="2"/>
    <x v="12"/>
  </r>
  <r>
    <x v="215"/>
    <s v="Audrey Ramos"/>
    <x v="11"/>
    <x v="1"/>
    <s v="Manufacturing"/>
    <x v="1"/>
    <s v="Latino"/>
    <n v="27"/>
    <x v="213"/>
    <n v="575"/>
    <n v="0.3"/>
    <x v="2"/>
    <x v="11"/>
  </r>
  <r>
    <x v="216"/>
    <s v="Hazel Cho"/>
    <x v="11"/>
    <x v="3"/>
    <s v="Corporate"/>
    <x v="1"/>
    <s v="Asian"/>
    <n v="63"/>
    <x v="214"/>
    <n v="517"/>
    <n v="0.4"/>
    <x v="1"/>
    <x v="2"/>
  </r>
  <r>
    <x v="217"/>
    <s v="Iris Chung"/>
    <x v="8"/>
    <x v="2"/>
    <s v="Research &amp; Development"/>
    <x v="1"/>
    <s v="Asian"/>
    <n v="52"/>
    <x v="215"/>
    <n v="927"/>
    <n v="0.06"/>
    <x v="1"/>
    <x v="9"/>
  </r>
  <r>
    <x v="218"/>
    <s v="Thomas Rodriguez"/>
    <x v="1"/>
    <x v="4"/>
    <s v="Manufacturing"/>
    <x v="0"/>
    <s v="Latino"/>
    <n v="36"/>
    <x v="216"/>
    <n v="723"/>
    <n v="0"/>
    <x v="2"/>
    <x v="10"/>
  </r>
  <r>
    <x v="219"/>
    <s v="Avery Lo"/>
    <x v="21"/>
    <x v="0"/>
    <s v="Research &amp; Development"/>
    <x v="1"/>
    <s v="Asian"/>
    <n v="47"/>
    <x v="217"/>
    <n v="620"/>
    <n v="0"/>
    <x v="0"/>
    <x v="3"/>
  </r>
  <r>
    <x v="220"/>
    <s v="Gabriel Bell"/>
    <x v="18"/>
    <x v="2"/>
    <s v="Specialty Products"/>
    <x v="0"/>
    <s v="Caucasian"/>
    <n v="27"/>
    <x v="218"/>
    <n v="724"/>
    <n v="0"/>
    <x v="0"/>
    <x v="5"/>
  </r>
  <r>
    <x v="221"/>
    <s v="Gianna Walker"/>
    <x v="20"/>
    <x v="2"/>
    <s v="Corporate"/>
    <x v="1"/>
    <s v="Caucasian"/>
    <n v="45"/>
    <x v="219"/>
    <n v="561"/>
    <n v="0.06"/>
    <x v="0"/>
    <x v="4"/>
  </r>
  <r>
    <x v="222"/>
    <s v="Axel Bailey"/>
    <x v="5"/>
    <x v="5"/>
    <s v="Corporate"/>
    <x v="0"/>
    <s v="Black"/>
    <n v="47"/>
    <x v="220"/>
    <n v="635"/>
    <n v="0"/>
    <x v="0"/>
    <x v="1"/>
  </r>
  <r>
    <x v="223"/>
    <s v="Scarlett Green"/>
    <x v="27"/>
    <x v="2"/>
    <s v="Specialty Products"/>
    <x v="1"/>
    <s v="Caucasian"/>
    <n v="26"/>
    <x v="221"/>
    <n v="630"/>
    <n v="0"/>
    <x v="0"/>
    <x v="3"/>
  </r>
  <r>
    <x v="224"/>
    <s v="Jackson Wong"/>
    <x v="6"/>
    <x v="4"/>
    <s v="Research &amp; Development"/>
    <x v="0"/>
    <s v="Asian"/>
    <n v="58"/>
    <x v="222"/>
    <n v="717"/>
    <n v="0"/>
    <x v="1"/>
    <x v="7"/>
  </r>
  <r>
    <x v="225"/>
    <s v="Eva Jimenez"/>
    <x v="32"/>
    <x v="0"/>
    <s v="Corporate"/>
    <x v="1"/>
    <s v="Latino"/>
    <n v="60"/>
    <x v="223"/>
    <n v="627"/>
    <n v="0"/>
    <x v="2"/>
    <x v="11"/>
  </r>
  <r>
    <x v="226"/>
    <s v="Ian Ma"/>
    <x v="8"/>
    <x v="4"/>
    <s v="Corporate"/>
    <x v="0"/>
    <s v="Asian"/>
    <n v="45"/>
    <x v="224"/>
    <n v="956"/>
    <n v="0.09"/>
    <x v="0"/>
    <x v="4"/>
  </r>
  <r>
    <x v="227"/>
    <s v="Luna Castro"/>
    <x v="3"/>
    <x v="2"/>
    <s v="Specialty Products"/>
    <x v="1"/>
    <s v="Latino"/>
    <n v="45"/>
    <x v="225"/>
    <n v="779"/>
    <n v="0"/>
    <x v="0"/>
    <x v="0"/>
  </r>
  <r>
    <x v="228"/>
    <s v="Nolan Brooks"/>
    <x v="15"/>
    <x v="6"/>
    <s v="Manufacturing"/>
    <x v="0"/>
    <s v="Caucasian"/>
    <n v="40"/>
    <x v="226"/>
    <n v="932"/>
    <n v="0"/>
    <x v="0"/>
    <x v="3"/>
  </r>
  <r>
    <x v="229"/>
    <s v="Jayden Jones"/>
    <x v="18"/>
    <x v="2"/>
    <s v="Manufacturing"/>
    <x v="0"/>
    <s v="Caucasian"/>
    <n v="27"/>
    <x v="227"/>
    <n v="899"/>
    <n v="0"/>
    <x v="0"/>
    <x v="4"/>
  </r>
  <r>
    <x v="230"/>
    <s v="Asher Hsu"/>
    <x v="5"/>
    <x v="3"/>
    <s v="Manufacturing"/>
    <x v="0"/>
    <s v="Asian"/>
    <n v="36"/>
    <x v="228"/>
    <n v="595"/>
    <n v="0"/>
    <x v="1"/>
    <x v="6"/>
  </r>
  <r>
    <x v="231"/>
    <s v="Greyson Lim"/>
    <x v="4"/>
    <x v="4"/>
    <s v="Corporate"/>
    <x v="0"/>
    <s v="Asian"/>
    <n v="28"/>
    <x v="229"/>
    <n v="939"/>
    <n v="0.25"/>
    <x v="1"/>
    <x v="9"/>
  </r>
  <r>
    <x v="232"/>
    <s v="Chloe Miller"/>
    <x v="10"/>
    <x v="5"/>
    <s v="Manufacturing"/>
    <x v="1"/>
    <s v="Black"/>
    <n v="57"/>
    <x v="230"/>
    <n v="576"/>
    <n v="0.11"/>
    <x v="0"/>
    <x v="4"/>
  </r>
  <r>
    <x v="233"/>
    <s v="Jaxson Brooks"/>
    <x v="28"/>
    <x v="2"/>
    <s v="Manufacturing"/>
    <x v="0"/>
    <s v="Black"/>
    <n v="57"/>
    <x v="231"/>
    <n v="745"/>
    <n v="0"/>
    <x v="0"/>
    <x v="3"/>
  </r>
  <r>
    <x v="234"/>
    <s v="Jack Perez"/>
    <x v="18"/>
    <x v="2"/>
    <s v="Research &amp; Development"/>
    <x v="0"/>
    <s v="Latino"/>
    <n v="30"/>
    <x v="232"/>
    <n v="919"/>
    <n v="0"/>
    <x v="2"/>
    <x v="12"/>
  </r>
  <r>
    <x v="235"/>
    <s v="Ruby Reed"/>
    <x v="11"/>
    <x v="0"/>
    <s v="Specialty Products"/>
    <x v="1"/>
    <s v="Caucasian"/>
    <n v="26"/>
    <x v="67"/>
    <n v="599"/>
    <n v="0.39"/>
    <x v="0"/>
    <x v="8"/>
  </r>
  <r>
    <x v="236"/>
    <s v="Ivy Rojas"/>
    <x v="17"/>
    <x v="2"/>
    <s v="Corporate"/>
    <x v="1"/>
    <s v="Latino"/>
    <n v="53"/>
    <x v="233"/>
    <n v="501"/>
    <n v="0"/>
    <x v="2"/>
    <x v="12"/>
  </r>
  <r>
    <x v="237"/>
    <s v="Hudson Wong"/>
    <x v="29"/>
    <x v="1"/>
    <s v="Manufacturing"/>
    <x v="0"/>
    <s v="Asian"/>
    <n v="59"/>
    <x v="234"/>
    <n v="651"/>
    <n v="0"/>
    <x v="1"/>
    <x v="6"/>
  </r>
  <r>
    <x v="238"/>
    <s v="Ryan Yi"/>
    <x v="22"/>
    <x v="2"/>
    <s v="Specialty Products"/>
    <x v="0"/>
    <s v="Asian"/>
    <n v="56"/>
    <x v="235"/>
    <n v="908"/>
    <n v="0"/>
    <x v="0"/>
    <x v="3"/>
  </r>
  <r>
    <x v="239"/>
    <s v="Carter Simmons"/>
    <x v="8"/>
    <x v="2"/>
    <s v="Corporate"/>
    <x v="0"/>
    <s v="Caucasian"/>
    <n v="41"/>
    <x v="236"/>
    <n v="968"/>
    <n v="0.1"/>
    <x v="0"/>
    <x v="1"/>
  </r>
  <r>
    <x v="240"/>
    <s v="Emilia Xu"/>
    <x v="8"/>
    <x v="5"/>
    <s v="Corporate"/>
    <x v="1"/>
    <s v="Asian"/>
    <n v="46"/>
    <x v="237"/>
    <n v="732"/>
    <n v="0.06"/>
    <x v="0"/>
    <x v="8"/>
  </r>
  <r>
    <x v="241"/>
    <s v="Adam Medina"/>
    <x v="3"/>
    <x v="2"/>
    <s v="Manufacturing"/>
    <x v="0"/>
    <s v="Latino"/>
    <n v="49"/>
    <x v="238"/>
    <n v="805"/>
    <n v="0"/>
    <x v="0"/>
    <x v="1"/>
  </r>
  <r>
    <x v="242"/>
    <s v="Connor Howard"/>
    <x v="9"/>
    <x v="2"/>
    <s v="Specialty Products"/>
    <x v="0"/>
    <s v="Caucasian"/>
    <n v="42"/>
    <x v="113"/>
    <n v="517"/>
    <n v="0"/>
    <x v="0"/>
    <x v="4"/>
  </r>
  <r>
    <x v="243"/>
    <s v="Audrey Duong"/>
    <x v="11"/>
    <x v="1"/>
    <s v="Specialty Products"/>
    <x v="1"/>
    <s v="Asian"/>
    <n v="55"/>
    <x v="239"/>
    <n v="941"/>
    <n v="0.34"/>
    <x v="0"/>
    <x v="8"/>
  </r>
  <r>
    <x v="244"/>
    <s v="Landon Reyes"/>
    <x v="4"/>
    <x v="2"/>
    <s v="Research &amp; Development"/>
    <x v="0"/>
    <s v="Latino"/>
    <n v="44"/>
    <x v="240"/>
    <n v="611"/>
    <n v="0.27"/>
    <x v="0"/>
    <x v="0"/>
  </r>
  <r>
    <x v="245"/>
    <s v="Noah Ma"/>
    <x v="11"/>
    <x v="3"/>
    <s v="Manufacturing"/>
    <x v="0"/>
    <s v="Asian"/>
    <n v="28"/>
    <x v="241"/>
    <n v="591"/>
    <n v="0.31"/>
    <x v="0"/>
    <x v="5"/>
  </r>
  <r>
    <x v="246"/>
    <s v="Lucas Alexander"/>
    <x v="4"/>
    <x v="2"/>
    <s v="Manufacturing"/>
    <x v="0"/>
    <s v="Black"/>
    <n v="41"/>
    <x v="242"/>
    <n v="591"/>
    <n v="0.22"/>
    <x v="0"/>
    <x v="8"/>
  </r>
  <r>
    <x v="247"/>
    <s v="Henry Vo"/>
    <x v="0"/>
    <x v="0"/>
    <s v="Manufacturing"/>
    <x v="0"/>
    <s v="Asian"/>
    <n v="60"/>
    <x v="243"/>
    <n v="630"/>
    <n v="0"/>
    <x v="1"/>
    <x v="9"/>
  </r>
  <r>
    <x v="248"/>
    <s v="Mila Han"/>
    <x v="8"/>
    <x v="1"/>
    <s v="Manufacturing"/>
    <x v="1"/>
    <s v="Asian"/>
    <n v="54"/>
    <x v="244"/>
    <n v="637"/>
    <n v="0.06"/>
    <x v="0"/>
    <x v="8"/>
  </r>
  <r>
    <x v="249"/>
    <s v="Genesis Herrera"/>
    <x v="8"/>
    <x v="2"/>
    <s v="Research &amp; Development"/>
    <x v="1"/>
    <s v="Latino"/>
    <n v="34"/>
    <x v="245"/>
    <n v="530"/>
    <n v="0.1"/>
    <x v="2"/>
    <x v="12"/>
  </r>
  <r>
    <x v="250"/>
    <s v="Olivia Vazquez"/>
    <x v="27"/>
    <x v="2"/>
    <s v="Specialty Products"/>
    <x v="1"/>
    <s v="Latino"/>
    <n v="53"/>
    <x v="246"/>
    <n v="565"/>
    <n v="0"/>
    <x v="2"/>
    <x v="11"/>
  </r>
  <r>
    <x v="251"/>
    <s v="Leilani Ng"/>
    <x v="9"/>
    <x v="2"/>
    <s v="Corporate"/>
    <x v="1"/>
    <s v="Asian"/>
    <n v="48"/>
    <x v="247"/>
    <n v="503"/>
    <n v="0"/>
    <x v="0"/>
    <x v="3"/>
  </r>
  <r>
    <x v="252"/>
    <s v="Olivia Mendoza"/>
    <x v="29"/>
    <x v="1"/>
    <s v="Corporate"/>
    <x v="1"/>
    <s v="Latino"/>
    <n v="43"/>
    <x v="248"/>
    <n v="680"/>
    <n v="0"/>
    <x v="0"/>
    <x v="0"/>
  </r>
  <r>
    <x v="253"/>
    <s v="Skylar Xu"/>
    <x v="16"/>
    <x v="0"/>
    <s v="Research &amp; Development"/>
    <x v="1"/>
    <s v="Asian"/>
    <n v="60"/>
    <x v="249"/>
    <n v="805"/>
    <n v="0"/>
    <x v="1"/>
    <x v="6"/>
  </r>
  <r>
    <x v="254"/>
    <s v="Eloise Williams"/>
    <x v="11"/>
    <x v="1"/>
    <s v="Specialty Products"/>
    <x v="1"/>
    <s v="Black"/>
    <n v="42"/>
    <x v="250"/>
    <n v="833"/>
    <n v="0.36"/>
    <x v="0"/>
    <x v="4"/>
  </r>
  <r>
    <x v="255"/>
    <s v="Jackson Maldonado"/>
    <x v="18"/>
    <x v="2"/>
    <s v="Manufacturing"/>
    <x v="0"/>
    <s v="Latino"/>
    <n v="52"/>
    <x v="251"/>
    <n v="583"/>
    <n v="0"/>
    <x v="0"/>
    <x v="8"/>
  </r>
  <r>
    <x v="256"/>
    <s v="Christian Harris"/>
    <x v="25"/>
    <x v="0"/>
    <s v="Specialty Products"/>
    <x v="0"/>
    <s v="Caucasian"/>
    <n v="50"/>
    <x v="252"/>
    <n v="612"/>
    <n v="0.11"/>
    <x v="0"/>
    <x v="1"/>
  </r>
  <r>
    <x v="257"/>
    <s v="Penelope Santos"/>
    <x v="3"/>
    <x v="2"/>
    <s v="Manufacturing"/>
    <x v="1"/>
    <s v="Latino"/>
    <n v="37"/>
    <x v="253"/>
    <n v="865"/>
    <n v="0"/>
    <x v="0"/>
    <x v="1"/>
  </r>
  <r>
    <x v="258"/>
    <s v="Nicholas Zhou"/>
    <x v="29"/>
    <x v="1"/>
    <s v="Manufacturing"/>
    <x v="0"/>
    <s v="Asian"/>
    <n v="58"/>
    <x v="254"/>
    <n v="609"/>
    <n v="0"/>
    <x v="1"/>
    <x v="7"/>
  </r>
  <r>
    <x v="259"/>
    <s v="Ayla Garza"/>
    <x v="10"/>
    <x v="5"/>
    <s v="Corporate"/>
    <x v="1"/>
    <s v="Latino"/>
    <n v="39"/>
    <x v="255"/>
    <n v="594"/>
    <n v="0.14000000000000001"/>
    <x v="2"/>
    <x v="12"/>
  </r>
  <r>
    <x v="260"/>
    <s v="Carson Mai"/>
    <x v="11"/>
    <x v="3"/>
    <s v="Corporate"/>
    <x v="0"/>
    <s v="Asian"/>
    <n v="50"/>
    <x v="256"/>
    <n v="734"/>
    <n v="0.36"/>
    <x v="0"/>
    <x v="0"/>
  </r>
  <r>
    <x v="261"/>
    <s v="Luna Lu"/>
    <x v="6"/>
    <x v="5"/>
    <s v="Research &amp; Development"/>
    <x v="1"/>
    <s v="Asian"/>
    <n v="51"/>
    <x v="257"/>
    <n v="635"/>
    <n v="0"/>
    <x v="1"/>
    <x v="9"/>
  </r>
  <r>
    <x v="262"/>
    <s v="Anthony Ho"/>
    <x v="5"/>
    <x v="5"/>
    <s v="Specialty Products"/>
    <x v="0"/>
    <s v="Asian"/>
    <n v="31"/>
    <x v="258"/>
    <n v="686"/>
    <n v="0"/>
    <x v="1"/>
    <x v="9"/>
  </r>
  <r>
    <x v="263"/>
    <s v="Clara Lopez"/>
    <x v="4"/>
    <x v="2"/>
    <s v="Research &amp; Development"/>
    <x v="1"/>
    <s v="Latino"/>
    <n v="52"/>
    <x v="259"/>
    <n v="818"/>
    <n v="0.27"/>
    <x v="2"/>
    <x v="11"/>
  </r>
  <r>
    <x v="264"/>
    <s v="Melody Woods"/>
    <x v="2"/>
    <x v="2"/>
    <s v="Research &amp; Development"/>
    <x v="1"/>
    <s v="Caucasian"/>
    <n v="63"/>
    <x v="260"/>
    <n v="563"/>
    <n v="0"/>
    <x v="0"/>
    <x v="3"/>
  </r>
  <r>
    <x v="265"/>
    <s v="Matthew Simmons"/>
    <x v="10"/>
    <x v="3"/>
    <s v="Research &amp; Development"/>
    <x v="0"/>
    <s v="Black"/>
    <n v="28"/>
    <x v="261"/>
    <n v="549"/>
    <n v="0.1"/>
    <x v="0"/>
    <x v="3"/>
  </r>
  <r>
    <x v="266"/>
    <s v="Gabriella Carrillo"/>
    <x v="11"/>
    <x v="4"/>
    <s v="Research &amp; Development"/>
    <x v="1"/>
    <s v="Latino"/>
    <n v="39"/>
    <x v="262"/>
    <n v="780"/>
    <n v="0.35"/>
    <x v="2"/>
    <x v="11"/>
  </r>
  <r>
    <x v="267"/>
    <s v="Lydia Juarez"/>
    <x v="4"/>
    <x v="4"/>
    <s v="Specialty Products"/>
    <x v="1"/>
    <s v="Latino"/>
    <n v="36"/>
    <x v="263"/>
    <n v="913"/>
    <n v="0.15"/>
    <x v="0"/>
    <x v="0"/>
  </r>
  <r>
    <x v="268"/>
    <s v="Ava Carrillo"/>
    <x v="10"/>
    <x v="3"/>
    <s v="Specialty Products"/>
    <x v="1"/>
    <s v="Latino"/>
    <n v="63"/>
    <x v="264"/>
    <n v="771"/>
    <n v="0.14000000000000001"/>
    <x v="0"/>
    <x v="3"/>
  </r>
  <r>
    <x v="269"/>
    <s v="Elena Sharma"/>
    <x v="4"/>
    <x v="5"/>
    <s v="Corporate"/>
    <x v="1"/>
    <s v="Asian"/>
    <n v="47"/>
    <x v="265"/>
    <n v="536"/>
    <n v="0.21"/>
    <x v="0"/>
    <x v="5"/>
  </r>
  <r>
    <x v="270"/>
    <s v="Julia Ahmed"/>
    <x v="11"/>
    <x v="3"/>
    <s v="Research &amp; Development"/>
    <x v="1"/>
    <s v="Asian"/>
    <n v="43"/>
    <x v="266"/>
    <n v="625"/>
    <n v="0.37"/>
    <x v="0"/>
    <x v="1"/>
  </r>
  <r>
    <x v="271"/>
    <s v="Iris Vo"/>
    <x v="8"/>
    <x v="6"/>
    <s v="Specialty Products"/>
    <x v="1"/>
    <s v="Asian"/>
    <n v="39"/>
    <x v="267"/>
    <n v="917"/>
    <n v="7.0000000000000007E-2"/>
    <x v="1"/>
    <x v="7"/>
  </r>
  <r>
    <x v="272"/>
    <s v="Hunter Yi"/>
    <x v="21"/>
    <x v="0"/>
    <s v="Corporate"/>
    <x v="0"/>
    <s v="Asian"/>
    <n v="55"/>
    <x v="268"/>
    <n v="904"/>
    <n v="0"/>
    <x v="1"/>
    <x v="6"/>
  </r>
  <r>
    <x v="273"/>
    <s v="Valentina Oh"/>
    <x v="10"/>
    <x v="1"/>
    <s v="Corporate"/>
    <x v="1"/>
    <s v="Asian"/>
    <n v="32"/>
    <x v="269"/>
    <n v="500"/>
    <n v="0.15"/>
    <x v="0"/>
    <x v="8"/>
  </r>
  <r>
    <x v="274"/>
    <s v="Kinsley Tran"/>
    <x v="11"/>
    <x v="3"/>
    <s v="Manufacturing"/>
    <x v="1"/>
    <s v="Asian"/>
    <n v="53"/>
    <x v="270"/>
    <n v="976"/>
    <n v="0.33"/>
    <x v="1"/>
    <x v="7"/>
  </r>
  <r>
    <x v="275"/>
    <s v="Christian Hong"/>
    <x v="5"/>
    <x v="4"/>
    <s v="Manufacturing"/>
    <x v="0"/>
    <s v="Asian"/>
    <n v="59"/>
    <x v="271"/>
    <n v="804"/>
    <n v="0"/>
    <x v="1"/>
    <x v="6"/>
  </r>
  <r>
    <x v="276"/>
    <s v="Amelia Mehta"/>
    <x v="4"/>
    <x v="6"/>
    <s v="Corporate"/>
    <x v="1"/>
    <s v="Asian"/>
    <n v="26"/>
    <x v="272"/>
    <n v="712"/>
    <n v="0.22"/>
    <x v="0"/>
    <x v="1"/>
  </r>
  <r>
    <x v="277"/>
    <s v="Axel Leung"/>
    <x v="15"/>
    <x v="6"/>
    <s v="Corporate"/>
    <x v="0"/>
    <s v="Asian"/>
    <n v="55"/>
    <x v="273"/>
    <n v="825"/>
    <n v="0"/>
    <x v="0"/>
    <x v="3"/>
  </r>
  <r>
    <x v="278"/>
    <s v="Lucas Lam"/>
    <x v="8"/>
    <x v="3"/>
    <s v="Specialty Products"/>
    <x v="0"/>
    <s v="Asian"/>
    <n v="34"/>
    <x v="274"/>
    <n v="868"/>
    <n v="0.1"/>
    <x v="1"/>
    <x v="7"/>
  </r>
  <r>
    <x v="279"/>
    <s v="Jose Thompson"/>
    <x v="8"/>
    <x v="5"/>
    <s v="Corporate"/>
    <x v="0"/>
    <s v="Caucasian"/>
    <n v="45"/>
    <x v="275"/>
    <n v="704"/>
    <n v="0.09"/>
    <x v="0"/>
    <x v="4"/>
  </r>
  <r>
    <x v="280"/>
    <s v="Wesley Duong"/>
    <x v="23"/>
    <x v="6"/>
    <s v="Specialty Products"/>
    <x v="0"/>
    <s v="Asian"/>
    <n v="29"/>
    <x v="276"/>
    <n v="583"/>
    <n v="0"/>
    <x v="0"/>
    <x v="3"/>
  </r>
  <r>
    <x v="281"/>
    <s v="Adeline Maldonado"/>
    <x v="4"/>
    <x v="5"/>
    <s v="Specialty Products"/>
    <x v="1"/>
    <s v="Latino"/>
    <n v="45"/>
    <x v="277"/>
    <n v="535"/>
    <n v="0.28999999999999998"/>
    <x v="2"/>
    <x v="11"/>
  </r>
  <r>
    <x v="282"/>
    <s v="Elias Diaz"/>
    <x v="24"/>
    <x v="6"/>
    <s v="Specialty Products"/>
    <x v="0"/>
    <s v="Latino"/>
    <n v="34"/>
    <x v="39"/>
    <n v="734"/>
    <n v="0"/>
    <x v="0"/>
    <x v="3"/>
  </r>
  <r>
    <x v="283"/>
    <s v="Wyatt Aguilar"/>
    <x v="13"/>
    <x v="2"/>
    <s v="Corporate"/>
    <x v="0"/>
    <s v="Latino"/>
    <n v="26"/>
    <x v="278"/>
    <n v="774"/>
    <n v="0"/>
    <x v="0"/>
    <x v="8"/>
  </r>
  <r>
    <x v="284"/>
    <s v="Josephine Espinoza"/>
    <x v="8"/>
    <x v="1"/>
    <s v="Research &amp; Development"/>
    <x v="1"/>
    <s v="Latino"/>
    <n v="30"/>
    <x v="279"/>
    <n v="977"/>
    <n v="7.0000000000000007E-2"/>
    <x v="2"/>
    <x v="12"/>
  </r>
  <r>
    <x v="285"/>
    <s v="Adeline Lai"/>
    <x v="10"/>
    <x v="1"/>
    <s v="Research &amp; Development"/>
    <x v="1"/>
    <s v="Asian"/>
    <n v="55"/>
    <x v="280"/>
    <n v="632"/>
    <n v="0.15"/>
    <x v="0"/>
    <x v="1"/>
  </r>
  <r>
    <x v="286"/>
    <s v="Christopher Vu"/>
    <x v="20"/>
    <x v="2"/>
    <s v="Corporate"/>
    <x v="0"/>
    <s v="Asian"/>
    <n v="47"/>
    <x v="281"/>
    <n v="905"/>
    <n v="0.05"/>
    <x v="0"/>
    <x v="5"/>
  </r>
  <r>
    <x v="287"/>
    <s v="Kai Vega"/>
    <x v="21"/>
    <x v="0"/>
    <s v="Manufacturing"/>
    <x v="0"/>
    <s v="Latino"/>
    <n v="51"/>
    <x v="282"/>
    <n v="670"/>
    <n v="0"/>
    <x v="2"/>
    <x v="12"/>
  </r>
  <r>
    <x v="288"/>
    <s v="Hailey Chin"/>
    <x v="10"/>
    <x v="2"/>
    <s v="Corporate"/>
    <x v="1"/>
    <s v="Asian"/>
    <n v="54"/>
    <x v="283"/>
    <n v="629"/>
    <n v="0.1"/>
    <x v="1"/>
    <x v="9"/>
  </r>
  <r>
    <x v="289"/>
    <s v="Eleanor Xi"/>
    <x v="10"/>
    <x v="1"/>
    <s v="Corporate"/>
    <x v="1"/>
    <s v="Asian"/>
    <n v="64"/>
    <x v="284"/>
    <n v="788"/>
    <n v="0.11"/>
    <x v="0"/>
    <x v="4"/>
  </r>
  <r>
    <x v="290"/>
    <s v="Lily Molina"/>
    <x v="8"/>
    <x v="2"/>
    <s v="Manufacturing"/>
    <x v="1"/>
    <s v="Latino"/>
    <n v="40"/>
    <x v="285"/>
    <n v="742"/>
    <n v="7.0000000000000007E-2"/>
    <x v="0"/>
    <x v="3"/>
  </r>
  <r>
    <x v="291"/>
    <s v="Levi Vasquez"/>
    <x v="17"/>
    <x v="2"/>
    <s v="Manufacturing"/>
    <x v="0"/>
    <s v="Latino"/>
    <n v="27"/>
    <x v="286"/>
    <n v="960"/>
    <n v="0"/>
    <x v="0"/>
    <x v="5"/>
  </r>
  <r>
    <x v="292"/>
    <s v="Elijah Washington"/>
    <x v="11"/>
    <x v="5"/>
    <s v="Manufacturing"/>
    <x v="0"/>
    <s v="Caucasian"/>
    <n v="47"/>
    <x v="287"/>
    <n v="608"/>
    <n v="0.4"/>
    <x v="0"/>
    <x v="3"/>
  </r>
  <r>
    <x v="293"/>
    <s v="Gianna Park"/>
    <x v="11"/>
    <x v="3"/>
    <s v="Specialty Products"/>
    <x v="1"/>
    <s v="Asian"/>
    <n v="28"/>
    <x v="288"/>
    <n v="826"/>
    <n v="0.38"/>
    <x v="1"/>
    <x v="7"/>
  </r>
  <r>
    <x v="294"/>
    <s v="Melody Leung"/>
    <x v="11"/>
    <x v="6"/>
    <s v="Research &amp; Development"/>
    <x v="1"/>
    <s v="Asian"/>
    <n v="35"/>
    <x v="289"/>
    <n v="959"/>
    <n v="0.37"/>
    <x v="0"/>
    <x v="4"/>
  </r>
  <r>
    <x v="295"/>
    <s v="Liliana Valdez"/>
    <x v="20"/>
    <x v="2"/>
    <s v="Corporate"/>
    <x v="1"/>
    <s v="Latino"/>
    <n v="59"/>
    <x v="290"/>
    <n v="578"/>
    <n v="0.09"/>
    <x v="0"/>
    <x v="3"/>
  </r>
  <r>
    <x v="296"/>
    <s v="Ezekiel Kumar"/>
    <x v="26"/>
    <x v="0"/>
    <s v="Manufacturing"/>
    <x v="0"/>
    <s v="Asian"/>
    <n v="33"/>
    <x v="291"/>
    <n v="914"/>
    <n v="0"/>
    <x v="1"/>
    <x v="7"/>
  </r>
  <r>
    <x v="297"/>
    <s v="Ruby Rahman"/>
    <x v="15"/>
    <x v="6"/>
    <s v="Manufacturing"/>
    <x v="1"/>
    <s v="Asian"/>
    <n v="62"/>
    <x v="292"/>
    <n v="651"/>
    <n v="0"/>
    <x v="0"/>
    <x v="3"/>
  </r>
  <r>
    <x v="298"/>
    <s v="Natalie Stewart"/>
    <x v="27"/>
    <x v="2"/>
    <s v="Corporate"/>
    <x v="1"/>
    <s v="Caucasian"/>
    <n v="50"/>
    <x v="293"/>
    <n v="838"/>
    <n v="0"/>
    <x v="0"/>
    <x v="5"/>
  </r>
  <r>
    <x v="299"/>
    <s v="Charlotte Lim"/>
    <x v="11"/>
    <x v="3"/>
    <s v="Manufacturing"/>
    <x v="1"/>
    <s v="Asian"/>
    <n v="55"/>
    <x v="294"/>
    <n v="979"/>
    <n v="0.37"/>
    <x v="0"/>
    <x v="1"/>
  </r>
  <r>
    <x v="300"/>
    <s v="Elena Campos"/>
    <x v="8"/>
    <x v="2"/>
    <s v="Research &amp; Development"/>
    <x v="1"/>
    <s v="Latino"/>
    <n v="47"/>
    <x v="295"/>
    <n v="556"/>
    <n v="0.09"/>
    <x v="0"/>
    <x v="3"/>
  </r>
  <r>
    <x v="301"/>
    <s v="Vivian Lim"/>
    <x v="17"/>
    <x v="2"/>
    <s v="Specialty Products"/>
    <x v="1"/>
    <s v="Asian"/>
    <n v="34"/>
    <x v="296"/>
    <n v="959"/>
    <n v="0"/>
    <x v="1"/>
    <x v="6"/>
  </r>
  <r>
    <x v="302"/>
    <s v="Madison Xu"/>
    <x v="27"/>
    <x v="2"/>
    <s v="Research &amp; Development"/>
    <x v="1"/>
    <s v="Asian"/>
    <n v="39"/>
    <x v="297"/>
    <n v="582"/>
    <n v="0"/>
    <x v="1"/>
    <x v="6"/>
  </r>
  <r>
    <x v="303"/>
    <s v="Ava Aguilar"/>
    <x v="15"/>
    <x v="6"/>
    <s v="Corporate"/>
    <x v="1"/>
    <s v="Latino"/>
    <n v="35"/>
    <x v="298"/>
    <n v="998"/>
    <n v="0"/>
    <x v="0"/>
    <x v="0"/>
  </r>
  <r>
    <x v="304"/>
    <s v="Kayden Patel"/>
    <x v="30"/>
    <x v="0"/>
    <s v="Research &amp; Development"/>
    <x v="0"/>
    <s v="Asian"/>
    <n v="54"/>
    <x v="299"/>
    <n v="887"/>
    <n v="0"/>
    <x v="1"/>
    <x v="9"/>
  </r>
  <r>
    <x v="305"/>
    <s v="Penelope Desai"/>
    <x v="11"/>
    <x v="4"/>
    <s v="Manufacturing"/>
    <x v="1"/>
    <s v="Asian"/>
    <n v="41"/>
    <x v="300"/>
    <n v="709"/>
    <n v="0.38"/>
    <x v="1"/>
    <x v="2"/>
  </r>
  <r>
    <x v="306"/>
    <s v="Henry Vang"/>
    <x v="4"/>
    <x v="1"/>
    <s v="Corporate"/>
    <x v="0"/>
    <s v="Asian"/>
    <n v="37"/>
    <x v="301"/>
    <n v="565"/>
    <n v="0.24"/>
    <x v="1"/>
    <x v="6"/>
  </r>
  <r>
    <x v="307"/>
    <s v="Eliana Turner"/>
    <x v="5"/>
    <x v="4"/>
    <s v="Research &amp; Development"/>
    <x v="1"/>
    <s v="Black"/>
    <n v="29"/>
    <x v="302"/>
    <n v="924"/>
    <n v="0"/>
    <x v="0"/>
    <x v="8"/>
  </r>
  <r>
    <x v="308"/>
    <s v="Charlotte Tran"/>
    <x v="11"/>
    <x v="2"/>
    <s v="Corporate"/>
    <x v="1"/>
    <s v="Asian"/>
    <n v="64"/>
    <x v="303"/>
    <n v="889"/>
    <n v="0.39"/>
    <x v="0"/>
    <x v="4"/>
  </r>
  <r>
    <x v="309"/>
    <s v="Everly Coleman"/>
    <x v="10"/>
    <x v="1"/>
    <s v="Corporate"/>
    <x v="1"/>
    <s v="Caucasian"/>
    <n v="54"/>
    <x v="304"/>
    <n v="842"/>
    <n v="0.14000000000000001"/>
    <x v="0"/>
    <x v="3"/>
  </r>
  <r>
    <x v="310"/>
    <s v="Matthew Harris"/>
    <x v="10"/>
    <x v="3"/>
    <s v="Corporate"/>
    <x v="0"/>
    <s v="Caucasian"/>
    <n v="36"/>
    <x v="305"/>
    <n v="710"/>
    <n v="0.12"/>
    <x v="0"/>
    <x v="8"/>
  </r>
  <r>
    <x v="311"/>
    <s v="Emilia Barnes"/>
    <x v="19"/>
    <x v="2"/>
    <s v="Specialty Products"/>
    <x v="1"/>
    <s v="Black"/>
    <n v="54"/>
    <x v="306"/>
    <n v="762"/>
    <n v="0"/>
    <x v="0"/>
    <x v="8"/>
  </r>
  <r>
    <x v="312"/>
    <s v="Sophie Griffin"/>
    <x v="14"/>
    <x v="1"/>
    <s v="Research &amp; Development"/>
    <x v="1"/>
    <s v="Caucasian"/>
    <n v="56"/>
    <x v="232"/>
    <n v="740"/>
    <n v="0"/>
    <x v="0"/>
    <x v="0"/>
  </r>
  <r>
    <x v="313"/>
    <s v="Kai Phillips"/>
    <x v="16"/>
    <x v="0"/>
    <s v="Research &amp; Development"/>
    <x v="0"/>
    <s v="Caucasian"/>
    <n v="48"/>
    <x v="307"/>
    <n v="758"/>
    <n v="0"/>
    <x v="0"/>
    <x v="4"/>
  </r>
  <r>
    <x v="314"/>
    <s v="Dylan Khan"/>
    <x v="4"/>
    <x v="6"/>
    <s v="Manufacturing"/>
    <x v="0"/>
    <s v="Asian"/>
    <n v="35"/>
    <x v="308"/>
    <n v="600"/>
    <n v="0.19"/>
    <x v="0"/>
    <x v="8"/>
  </r>
  <r>
    <x v="315"/>
    <s v="Nevaeh Clark"/>
    <x v="10"/>
    <x v="5"/>
    <s v="Specialty Products"/>
    <x v="1"/>
    <s v="Black"/>
    <n v="32"/>
    <x v="309"/>
    <n v="761"/>
    <n v="0.15"/>
    <x v="0"/>
    <x v="8"/>
  </r>
  <r>
    <x v="316"/>
    <s v="Carter Luu"/>
    <x v="11"/>
    <x v="5"/>
    <s v="Corporate"/>
    <x v="0"/>
    <s v="Asian"/>
    <n v="25"/>
    <x v="310"/>
    <n v="921"/>
    <n v="0.35"/>
    <x v="0"/>
    <x v="4"/>
  </r>
  <r>
    <x v="317"/>
    <s v="Jordan Ngo"/>
    <x v="5"/>
    <x v="4"/>
    <s v="Manufacturing"/>
    <x v="0"/>
    <s v="Asian"/>
    <n v="26"/>
    <x v="311"/>
    <n v="763"/>
    <n v="0"/>
    <x v="0"/>
    <x v="8"/>
  </r>
  <r>
    <x v="318"/>
    <s v="Jackson Hu"/>
    <x v="23"/>
    <x v="6"/>
    <s v="Corporate"/>
    <x v="0"/>
    <s v="Asian"/>
    <n v="53"/>
    <x v="312"/>
    <n v="943"/>
    <n v="0"/>
    <x v="1"/>
    <x v="7"/>
  </r>
  <r>
    <x v="319"/>
    <s v="Madelyn Kang"/>
    <x v="3"/>
    <x v="2"/>
    <s v="Corporate"/>
    <x v="1"/>
    <s v="Asian"/>
    <n v="37"/>
    <x v="313"/>
    <n v="700"/>
    <n v="0"/>
    <x v="1"/>
    <x v="7"/>
  </r>
  <r>
    <x v="320"/>
    <s v="Everleigh Bell"/>
    <x v="29"/>
    <x v="1"/>
    <s v="Specialty Products"/>
    <x v="1"/>
    <s v="Caucasian"/>
    <n v="31"/>
    <x v="314"/>
    <n v="996"/>
    <n v="0"/>
    <x v="0"/>
    <x v="4"/>
  </r>
  <r>
    <x v="321"/>
    <s v="Eliana Trinh"/>
    <x v="10"/>
    <x v="2"/>
    <s v="Manufacturing"/>
    <x v="1"/>
    <s v="Asian"/>
    <n v="47"/>
    <x v="315"/>
    <n v="917"/>
    <n v="0.14000000000000001"/>
    <x v="1"/>
    <x v="6"/>
  </r>
  <r>
    <x v="322"/>
    <s v="Oliver Ford"/>
    <x v="8"/>
    <x v="1"/>
    <s v="Research &amp; Development"/>
    <x v="0"/>
    <s v="Black"/>
    <n v="32"/>
    <x v="316"/>
    <n v="504"/>
    <n v="0.06"/>
    <x v="0"/>
    <x v="4"/>
  </r>
  <r>
    <x v="323"/>
    <s v="Ryan Huang"/>
    <x v="0"/>
    <x v="0"/>
    <s v="Research &amp; Development"/>
    <x v="0"/>
    <s v="Asian"/>
    <n v="40"/>
    <x v="317"/>
    <n v="820"/>
    <n v="0"/>
    <x v="0"/>
    <x v="5"/>
  </r>
  <r>
    <x v="324"/>
    <s v="Gabriel Ahmed"/>
    <x v="24"/>
    <x v="6"/>
    <s v="Corporate"/>
    <x v="0"/>
    <s v="Asian"/>
    <n v="65"/>
    <x v="318"/>
    <n v="873"/>
    <n v="0"/>
    <x v="1"/>
    <x v="7"/>
  </r>
  <r>
    <x v="325"/>
    <s v="Ivy Rios"/>
    <x v="28"/>
    <x v="2"/>
    <s v="Manufacturing"/>
    <x v="1"/>
    <s v="Latino"/>
    <n v="25"/>
    <x v="319"/>
    <n v="891"/>
    <n v="0"/>
    <x v="0"/>
    <x v="3"/>
  </r>
  <r>
    <x v="326"/>
    <s v="Luca Hunter"/>
    <x v="26"/>
    <x v="0"/>
    <s v="Corporate"/>
    <x v="0"/>
    <s v="Caucasian"/>
    <n v="39"/>
    <x v="320"/>
    <n v="655"/>
    <n v="0"/>
    <x v="0"/>
    <x v="5"/>
  </r>
  <r>
    <x v="327"/>
    <s v="Claire Owens"/>
    <x v="27"/>
    <x v="2"/>
    <s v="Research &amp; Development"/>
    <x v="1"/>
    <s v="Caucasian"/>
    <n v="52"/>
    <x v="321"/>
    <n v="900"/>
    <n v="0"/>
    <x v="0"/>
    <x v="5"/>
  </r>
  <r>
    <x v="328"/>
    <s v="Aubrey Maldonado"/>
    <x v="21"/>
    <x v="0"/>
    <s v="Manufacturing"/>
    <x v="1"/>
    <s v="Latino"/>
    <n v="38"/>
    <x v="322"/>
    <n v="982"/>
    <n v="0"/>
    <x v="2"/>
    <x v="11"/>
  </r>
  <r>
    <x v="329"/>
    <s v="Elias Vasquez"/>
    <x v="9"/>
    <x v="2"/>
    <s v="Specialty Products"/>
    <x v="0"/>
    <s v="Latino"/>
    <n v="33"/>
    <x v="131"/>
    <n v="502"/>
    <n v="0"/>
    <x v="2"/>
    <x v="12"/>
  </r>
  <r>
    <x v="330"/>
    <s v="Melody Luu"/>
    <x v="11"/>
    <x v="4"/>
    <s v="Research &amp; Development"/>
    <x v="1"/>
    <s v="Asian"/>
    <n v="28"/>
    <x v="323"/>
    <n v="723"/>
    <n v="0.33"/>
    <x v="1"/>
    <x v="6"/>
  </r>
  <r>
    <x v="331"/>
    <s v="Christopher Luu"/>
    <x v="11"/>
    <x v="0"/>
    <s v="Research &amp; Development"/>
    <x v="0"/>
    <s v="Asian"/>
    <n v="61"/>
    <x v="324"/>
    <n v="960"/>
    <n v="0.32"/>
    <x v="0"/>
    <x v="4"/>
  </r>
  <r>
    <x v="332"/>
    <s v="James Han"/>
    <x v="16"/>
    <x v="0"/>
    <s v="Specialty Products"/>
    <x v="0"/>
    <s v="Asian"/>
    <n v="32"/>
    <x v="111"/>
    <n v="879"/>
    <n v="0"/>
    <x v="0"/>
    <x v="8"/>
  </r>
  <r>
    <x v="333"/>
    <s v="Jaxson Ayala"/>
    <x v="11"/>
    <x v="6"/>
    <s v="Research &amp; Development"/>
    <x v="0"/>
    <s v="Latino"/>
    <n v="28"/>
    <x v="325"/>
    <n v="503"/>
    <n v="0.38"/>
    <x v="2"/>
    <x v="12"/>
  </r>
  <r>
    <x v="334"/>
    <s v="Levi James"/>
    <x v="8"/>
    <x v="2"/>
    <s v="Specialty Products"/>
    <x v="0"/>
    <s v="Caucasian"/>
    <n v="39"/>
    <x v="326"/>
    <n v="824"/>
    <n v="0.05"/>
    <x v="0"/>
    <x v="1"/>
  </r>
  <r>
    <x v="335"/>
    <s v="Grayson Carrillo"/>
    <x v="5"/>
    <x v="3"/>
    <s v="Corporate"/>
    <x v="0"/>
    <s v="Latino"/>
    <n v="57"/>
    <x v="327"/>
    <n v="739"/>
    <n v="0"/>
    <x v="2"/>
    <x v="11"/>
  </r>
  <r>
    <x v="336"/>
    <s v="Maverick Hwang"/>
    <x v="11"/>
    <x v="6"/>
    <s v="Research &amp; Development"/>
    <x v="0"/>
    <s v="Asian"/>
    <n v="40"/>
    <x v="328"/>
    <n v="724"/>
    <n v="0.33"/>
    <x v="0"/>
    <x v="1"/>
  </r>
  <r>
    <x v="337"/>
    <s v="Noah Truong"/>
    <x v="11"/>
    <x v="1"/>
    <s v="Manufacturing"/>
    <x v="0"/>
    <s v="Asian"/>
    <n v="47"/>
    <x v="329"/>
    <n v="958"/>
    <n v="0.39"/>
    <x v="1"/>
    <x v="9"/>
  </r>
  <r>
    <x v="338"/>
    <s v="Willow Guzman"/>
    <x v="19"/>
    <x v="2"/>
    <s v="Manufacturing"/>
    <x v="1"/>
    <s v="Latino"/>
    <n v="43"/>
    <x v="330"/>
    <n v="922"/>
    <n v="0"/>
    <x v="2"/>
    <x v="11"/>
  </r>
  <r>
    <x v="339"/>
    <s v="Rylee Howard"/>
    <x v="10"/>
    <x v="4"/>
    <s v="Manufacturing"/>
    <x v="1"/>
    <s v="Black"/>
    <n v="33"/>
    <x v="331"/>
    <n v="804"/>
    <n v="0.12"/>
    <x v="0"/>
    <x v="8"/>
  </r>
  <r>
    <x v="340"/>
    <s v="Ian Marquez"/>
    <x v="24"/>
    <x v="6"/>
    <s v="Corporate"/>
    <x v="0"/>
    <s v="Latino"/>
    <n v="31"/>
    <x v="332"/>
    <n v="892"/>
    <n v="0"/>
    <x v="0"/>
    <x v="1"/>
  </r>
  <r>
    <x v="341"/>
    <s v="Layla Owens"/>
    <x v="11"/>
    <x v="2"/>
    <s v="Research &amp; Development"/>
    <x v="1"/>
    <s v="Caucasian"/>
    <n v="47"/>
    <x v="333"/>
    <n v="521"/>
    <n v="0.34"/>
    <x v="0"/>
    <x v="0"/>
  </r>
  <r>
    <x v="342"/>
    <s v="Chloe Dixon"/>
    <x v="11"/>
    <x v="0"/>
    <s v="Corporate"/>
    <x v="1"/>
    <s v="Caucasian"/>
    <n v="60"/>
    <x v="334"/>
    <n v="962"/>
    <n v="0.4"/>
    <x v="0"/>
    <x v="1"/>
  </r>
  <r>
    <x v="343"/>
    <s v="Emily Zheng"/>
    <x v="22"/>
    <x v="2"/>
    <s v="Corporate"/>
    <x v="1"/>
    <s v="Asian"/>
    <n v="50"/>
    <x v="335"/>
    <n v="692"/>
    <n v="0"/>
    <x v="1"/>
    <x v="2"/>
  </r>
  <r>
    <x v="344"/>
    <s v="Jayden Rogers"/>
    <x v="8"/>
    <x v="1"/>
    <s v="Research &amp; Development"/>
    <x v="0"/>
    <s v="Caucasian"/>
    <n v="41"/>
    <x v="336"/>
    <n v="618"/>
    <n v="0.08"/>
    <x v="0"/>
    <x v="3"/>
  </r>
  <r>
    <x v="345"/>
    <s v="Elizabeth Vasquez"/>
    <x v="0"/>
    <x v="0"/>
    <s v="Specialty Products"/>
    <x v="1"/>
    <s v="Latino"/>
    <n v="28"/>
    <x v="337"/>
    <n v="638"/>
    <n v="0"/>
    <x v="0"/>
    <x v="1"/>
  </r>
  <r>
    <x v="346"/>
    <s v="Samantha Ford"/>
    <x v="13"/>
    <x v="2"/>
    <s v="Manufacturing"/>
    <x v="1"/>
    <s v="Caucasian"/>
    <n v="25"/>
    <x v="338"/>
    <n v="545"/>
    <n v="0"/>
    <x v="0"/>
    <x v="8"/>
  </r>
  <r>
    <x v="347"/>
    <s v="Thomas Silva"/>
    <x v="1"/>
    <x v="4"/>
    <s v="Specialty Products"/>
    <x v="0"/>
    <s v="Latino"/>
    <n v="45"/>
    <x v="339"/>
    <n v="608"/>
    <n v="0"/>
    <x v="0"/>
    <x v="8"/>
  </r>
  <r>
    <x v="348"/>
    <s v="Charlotte Park"/>
    <x v="28"/>
    <x v="2"/>
    <s v="Specialty Products"/>
    <x v="1"/>
    <s v="Asian"/>
    <n v="63"/>
    <x v="340"/>
    <n v="586"/>
    <n v="0"/>
    <x v="1"/>
    <x v="2"/>
  </r>
  <r>
    <x v="349"/>
    <s v="Liam Jimenez"/>
    <x v="5"/>
    <x v="5"/>
    <s v="Research &amp; Development"/>
    <x v="0"/>
    <s v="Latino"/>
    <n v="52"/>
    <x v="341"/>
    <n v="848"/>
    <n v="0"/>
    <x v="0"/>
    <x v="3"/>
  </r>
  <r>
    <x v="350"/>
    <s v="Ivy Liu"/>
    <x v="6"/>
    <x v="5"/>
    <s v="Manufacturing"/>
    <x v="1"/>
    <s v="Asian"/>
    <n v="59"/>
    <x v="342"/>
    <n v="799"/>
    <n v="0"/>
    <x v="1"/>
    <x v="6"/>
  </r>
  <r>
    <x v="351"/>
    <s v="Jayden Dixon"/>
    <x v="11"/>
    <x v="4"/>
    <s v="Manufacturing"/>
    <x v="0"/>
    <s v="Caucasian"/>
    <n v="30"/>
    <x v="343"/>
    <n v="728"/>
    <n v="0.34"/>
    <x v="0"/>
    <x v="4"/>
  </r>
  <r>
    <x v="352"/>
    <s v="Nevaeh Butler"/>
    <x v="26"/>
    <x v="0"/>
    <s v="Research &amp; Development"/>
    <x v="1"/>
    <s v="Caucasian"/>
    <n v="55"/>
    <x v="344"/>
    <n v="912"/>
    <n v="0"/>
    <x v="0"/>
    <x v="1"/>
  </r>
  <r>
    <x v="353"/>
    <s v="Leonardo Li"/>
    <x v="10"/>
    <x v="3"/>
    <s v="Specialty Products"/>
    <x v="0"/>
    <s v="Asian"/>
    <n v="65"/>
    <x v="345"/>
    <n v="931"/>
    <n v="0.12"/>
    <x v="0"/>
    <x v="3"/>
  </r>
  <r>
    <x v="354"/>
    <s v="Kinsley Woods"/>
    <x v="24"/>
    <x v="6"/>
    <s v="Corporate"/>
    <x v="1"/>
    <s v="Caucasian"/>
    <n v="34"/>
    <x v="346"/>
    <n v="743"/>
    <n v="0"/>
    <x v="0"/>
    <x v="5"/>
  </r>
  <r>
    <x v="355"/>
    <s v="Abigail Chu"/>
    <x v="10"/>
    <x v="6"/>
    <s v="Manufacturing"/>
    <x v="1"/>
    <s v="Asian"/>
    <n v="51"/>
    <x v="347"/>
    <n v="847"/>
    <n v="0.11"/>
    <x v="0"/>
    <x v="4"/>
  </r>
  <r>
    <x v="356"/>
    <s v="Ava Xiong"/>
    <x v="23"/>
    <x v="6"/>
    <s v="Manufacturing"/>
    <x v="1"/>
    <s v="Asian"/>
    <n v="52"/>
    <x v="348"/>
    <n v="805"/>
    <n v="0"/>
    <x v="1"/>
    <x v="2"/>
  </r>
  <r>
    <x v="357"/>
    <s v="Olivia Marquez"/>
    <x v="14"/>
    <x v="1"/>
    <s v="Specialty Products"/>
    <x v="1"/>
    <s v="Latino"/>
    <n v="44"/>
    <x v="349"/>
    <n v="899"/>
    <n v="0"/>
    <x v="0"/>
    <x v="0"/>
  </r>
  <r>
    <x v="358"/>
    <s v="Claire Vazquez"/>
    <x v="11"/>
    <x v="6"/>
    <s v="Corporate"/>
    <x v="1"/>
    <s v="Latino"/>
    <n v="44"/>
    <x v="350"/>
    <n v="572"/>
    <n v="0.35"/>
    <x v="0"/>
    <x v="8"/>
  </r>
  <r>
    <x v="359"/>
    <s v="Christian Castro"/>
    <x v="17"/>
    <x v="2"/>
    <s v="Specialty Products"/>
    <x v="0"/>
    <s v="Latino"/>
    <n v="40"/>
    <x v="351"/>
    <n v="891"/>
    <n v="0"/>
    <x v="0"/>
    <x v="4"/>
  </r>
  <r>
    <x v="360"/>
    <s v="Mason Oh"/>
    <x v="8"/>
    <x v="6"/>
    <s v="Manufacturing"/>
    <x v="0"/>
    <s v="Asian"/>
    <n v="25"/>
    <x v="352"/>
    <n v="974"/>
    <n v="7.0000000000000007E-2"/>
    <x v="0"/>
    <x v="3"/>
  </r>
  <r>
    <x v="361"/>
    <s v="Violet Santiago"/>
    <x v="12"/>
    <x v="2"/>
    <s v="Research &amp; Development"/>
    <x v="1"/>
    <s v="Latino"/>
    <n v="32"/>
    <x v="343"/>
    <n v="519"/>
    <n v="0"/>
    <x v="0"/>
    <x v="3"/>
  </r>
  <r>
    <x v="362"/>
    <s v="Lily Rios"/>
    <x v="5"/>
    <x v="5"/>
    <s v="Specialty Products"/>
    <x v="1"/>
    <s v="Latino"/>
    <n v="45"/>
    <x v="353"/>
    <n v="854"/>
    <n v="0"/>
    <x v="2"/>
    <x v="10"/>
  </r>
  <r>
    <x v="363"/>
    <s v="Kinsley Stewart"/>
    <x v="20"/>
    <x v="2"/>
    <s v="Corporate"/>
    <x v="1"/>
    <s v="Caucasian"/>
    <n v="56"/>
    <x v="354"/>
    <n v="974"/>
    <n v="0.06"/>
    <x v="0"/>
    <x v="1"/>
  </r>
  <r>
    <x v="364"/>
    <s v="Aria Molina"/>
    <x v="30"/>
    <x v="0"/>
    <s v="Research &amp; Development"/>
    <x v="1"/>
    <s v="Latino"/>
    <n v="52"/>
    <x v="355"/>
    <n v="749"/>
    <n v="0"/>
    <x v="2"/>
    <x v="10"/>
  </r>
  <r>
    <x v="365"/>
    <s v="James Cheng"/>
    <x v="8"/>
    <x v="2"/>
    <s v="Manufacturing"/>
    <x v="0"/>
    <s v="Asian"/>
    <n v="49"/>
    <x v="356"/>
    <n v="939"/>
    <n v="0.09"/>
    <x v="0"/>
    <x v="3"/>
  </r>
  <r>
    <x v="366"/>
    <s v="Mila Vang"/>
    <x v="6"/>
    <x v="4"/>
    <s v="Manufacturing"/>
    <x v="1"/>
    <s v="Asian"/>
    <n v="46"/>
    <x v="357"/>
    <n v="904"/>
    <n v="0"/>
    <x v="0"/>
    <x v="0"/>
  </r>
  <r>
    <x v="367"/>
    <s v="Alice Liu"/>
    <x v="10"/>
    <x v="1"/>
    <s v="Research &amp; Development"/>
    <x v="1"/>
    <s v="Asian"/>
    <n v="39"/>
    <x v="358"/>
    <n v="539"/>
    <n v="0.14000000000000001"/>
    <x v="1"/>
    <x v="9"/>
  </r>
  <r>
    <x v="368"/>
    <s v="Delilah Gonzalez"/>
    <x v="5"/>
    <x v="1"/>
    <s v="Manufacturing"/>
    <x v="1"/>
    <s v="Latino"/>
    <n v="55"/>
    <x v="359"/>
    <n v="898"/>
    <n v="0"/>
    <x v="0"/>
    <x v="1"/>
  </r>
  <r>
    <x v="369"/>
    <s v="Samuel Tang"/>
    <x v="7"/>
    <x v="2"/>
    <s v="Manufacturing"/>
    <x v="0"/>
    <s v="Asian"/>
    <n v="34"/>
    <x v="360"/>
    <n v="762"/>
    <n v="0"/>
    <x v="0"/>
    <x v="8"/>
  </r>
  <r>
    <x v="370"/>
    <s v="Serenity Gray"/>
    <x v="1"/>
    <x v="1"/>
    <s v="Research &amp; Development"/>
    <x v="1"/>
    <s v="Black"/>
    <n v="56"/>
    <x v="361"/>
    <n v="601"/>
    <n v="0"/>
    <x v="0"/>
    <x v="4"/>
  </r>
  <r>
    <x v="371"/>
    <s v="Benjamin Estrada"/>
    <x v="6"/>
    <x v="5"/>
    <s v="Research &amp; Development"/>
    <x v="0"/>
    <s v="Latino"/>
    <n v="56"/>
    <x v="362"/>
    <n v="809"/>
    <n v="0"/>
    <x v="0"/>
    <x v="3"/>
  </r>
  <r>
    <x v="372"/>
    <s v="Wesley Han"/>
    <x v="16"/>
    <x v="0"/>
    <s v="Research &amp; Development"/>
    <x v="0"/>
    <s v="Asian"/>
    <n v="62"/>
    <x v="363"/>
    <n v="752"/>
    <n v="0"/>
    <x v="0"/>
    <x v="5"/>
  </r>
  <r>
    <x v="373"/>
    <s v="Nora Herrera"/>
    <x v="11"/>
    <x v="5"/>
    <s v="Specialty Products"/>
    <x v="1"/>
    <s v="Latino"/>
    <n v="60"/>
    <x v="364"/>
    <n v="765"/>
    <n v="0.38"/>
    <x v="0"/>
    <x v="4"/>
  </r>
  <r>
    <x v="374"/>
    <s v="Lincoln Harris"/>
    <x v="3"/>
    <x v="2"/>
    <s v="Manufacturing"/>
    <x v="0"/>
    <s v="Caucasian"/>
    <n v="42"/>
    <x v="365"/>
    <n v="911"/>
    <n v="0"/>
    <x v="0"/>
    <x v="5"/>
  </r>
  <r>
    <x v="375"/>
    <s v="Charles Gonzales"/>
    <x v="3"/>
    <x v="2"/>
    <s v="Manufacturing"/>
    <x v="0"/>
    <s v="Latino"/>
    <n v="27"/>
    <x v="366"/>
    <n v="782"/>
    <n v="0"/>
    <x v="0"/>
    <x v="0"/>
  </r>
  <r>
    <x v="376"/>
    <s v="Athena Cheng"/>
    <x v="16"/>
    <x v="0"/>
    <s v="Corporate"/>
    <x v="1"/>
    <s v="Asian"/>
    <n v="37"/>
    <x v="367"/>
    <n v="781"/>
    <n v="0"/>
    <x v="1"/>
    <x v="9"/>
  </r>
  <r>
    <x v="377"/>
    <s v="David Garza"/>
    <x v="4"/>
    <x v="2"/>
    <s v="Manufacturing"/>
    <x v="0"/>
    <s v="Latino"/>
    <n v="29"/>
    <x v="368"/>
    <n v="743"/>
    <n v="0.15"/>
    <x v="0"/>
    <x v="3"/>
  </r>
  <r>
    <x v="378"/>
    <s v="Hunter Doan"/>
    <x v="10"/>
    <x v="3"/>
    <s v="Research &amp; Development"/>
    <x v="0"/>
    <s v="Asian"/>
    <n v="32"/>
    <x v="369"/>
    <n v="559"/>
    <n v="0.12"/>
    <x v="1"/>
    <x v="9"/>
  </r>
  <r>
    <x v="379"/>
    <s v="Julian Lam"/>
    <x v="4"/>
    <x v="4"/>
    <s v="Research &amp; Development"/>
    <x v="0"/>
    <s v="Asian"/>
    <n v="33"/>
    <x v="370"/>
    <n v="521"/>
    <n v="0.15"/>
    <x v="0"/>
    <x v="1"/>
  </r>
  <r>
    <x v="380"/>
    <s v="Sofia Estrada"/>
    <x v="0"/>
    <x v="0"/>
    <s v="Specialty Products"/>
    <x v="1"/>
    <s v="Latino"/>
    <n v="42"/>
    <x v="371"/>
    <n v="750"/>
    <n v="0"/>
    <x v="2"/>
    <x v="12"/>
  </r>
  <r>
    <x v="381"/>
    <s v="Jordan Chen"/>
    <x v="1"/>
    <x v="4"/>
    <s v="Specialty Products"/>
    <x v="0"/>
    <s v="Asian"/>
    <n v="60"/>
    <x v="372"/>
    <n v="970"/>
    <n v="0"/>
    <x v="0"/>
    <x v="0"/>
  </r>
  <r>
    <x v="382"/>
    <s v="Eloise Huang"/>
    <x v="11"/>
    <x v="4"/>
    <s v="Research &amp; Development"/>
    <x v="1"/>
    <s v="Asian"/>
    <n v="51"/>
    <x v="373"/>
    <n v="642"/>
    <n v="0.33"/>
    <x v="0"/>
    <x v="3"/>
  </r>
  <r>
    <x v="383"/>
    <s v="Ivy Mehta"/>
    <x v="15"/>
    <x v="6"/>
    <s v="Manufacturing"/>
    <x v="1"/>
    <s v="Asian"/>
    <n v="50"/>
    <x v="374"/>
    <n v="861"/>
    <n v="0"/>
    <x v="1"/>
    <x v="6"/>
  </r>
  <r>
    <x v="384"/>
    <s v="Eli Castillo"/>
    <x v="11"/>
    <x v="4"/>
    <s v="Specialty Products"/>
    <x v="0"/>
    <s v="Latino"/>
    <n v="50"/>
    <x v="375"/>
    <n v="825"/>
    <n v="0.38"/>
    <x v="0"/>
    <x v="3"/>
  </r>
  <r>
    <x v="385"/>
    <s v="Nolan Garcia"/>
    <x v="6"/>
    <x v="1"/>
    <s v="Specialty Products"/>
    <x v="0"/>
    <s v="Latino"/>
    <n v="26"/>
    <x v="376"/>
    <n v="914"/>
    <n v="0"/>
    <x v="2"/>
    <x v="10"/>
  </r>
  <r>
    <x v="386"/>
    <s v="Alexander Zhu"/>
    <x v="28"/>
    <x v="2"/>
    <s v="Corporate"/>
    <x v="0"/>
    <s v="Asian"/>
    <n v="30"/>
    <x v="377"/>
    <n v="851"/>
    <n v="0"/>
    <x v="0"/>
    <x v="5"/>
  </r>
  <r>
    <x v="387"/>
    <s v="Victoria Wu"/>
    <x v="5"/>
    <x v="1"/>
    <s v="Manufacturing"/>
    <x v="1"/>
    <s v="Asian"/>
    <n v="35"/>
    <x v="378"/>
    <n v="853"/>
    <n v="0"/>
    <x v="0"/>
    <x v="8"/>
  </r>
  <r>
    <x v="388"/>
    <s v="Mateo Jordan"/>
    <x v="2"/>
    <x v="2"/>
    <s v="Specialty Products"/>
    <x v="0"/>
    <s v="Caucasian"/>
    <n v="44"/>
    <x v="379"/>
    <n v="789"/>
    <n v="0"/>
    <x v="0"/>
    <x v="4"/>
  </r>
  <r>
    <x v="389"/>
    <s v="Everly Martin"/>
    <x v="6"/>
    <x v="5"/>
    <s v="Specialty Products"/>
    <x v="1"/>
    <s v="Black"/>
    <n v="26"/>
    <x v="380"/>
    <n v="973"/>
    <n v="0"/>
    <x v="0"/>
    <x v="0"/>
  </r>
  <r>
    <x v="390"/>
    <s v="Athena Castro"/>
    <x v="22"/>
    <x v="2"/>
    <s v="Research &amp; Development"/>
    <x v="1"/>
    <s v="Latino"/>
    <n v="44"/>
    <x v="381"/>
    <n v="934"/>
    <n v="0"/>
    <x v="2"/>
    <x v="10"/>
  </r>
  <r>
    <x v="391"/>
    <s v="Josephine White"/>
    <x v="20"/>
    <x v="2"/>
    <s v="Corporate"/>
    <x v="1"/>
    <s v="Caucasian"/>
    <n v="61"/>
    <x v="382"/>
    <n v="658"/>
    <n v="0.09"/>
    <x v="0"/>
    <x v="3"/>
  </r>
  <r>
    <x v="392"/>
    <s v="Nicholas Vo"/>
    <x v="6"/>
    <x v="3"/>
    <s v="Corporate"/>
    <x v="0"/>
    <s v="Asian"/>
    <n v="50"/>
    <x v="383"/>
    <n v="803"/>
    <n v="0"/>
    <x v="0"/>
    <x v="3"/>
  </r>
  <r>
    <x v="393"/>
    <s v="Jackson Sandoval"/>
    <x v="24"/>
    <x v="6"/>
    <s v="Corporate"/>
    <x v="0"/>
    <s v="Latino"/>
    <n v="61"/>
    <x v="384"/>
    <n v="837"/>
    <n v="0"/>
    <x v="0"/>
    <x v="4"/>
  </r>
  <r>
    <x v="394"/>
    <s v="Olivia Turner"/>
    <x v="4"/>
    <x v="5"/>
    <s v="Specialty Products"/>
    <x v="1"/>
    <s v="Caucasian"/>
    <n v="29"/>
    <x v="385"/>
    <n v="521"/>
    <n v="0.21"/>
    <x v="0"/>
    <x v="0"/>
  </r>
  <r>
    <x v="395"/>
    <s v="Cooper Rivera"/>
    <x v="10"/>
    <x v="4"/>
    <s v="Corporate"/>
    <x v="0"/>
    <s v="Latino"/>
    <n v="42"/>
    <x v="386"/>
    <n v="734"/>
    <n v="0.12"/>
    <x v="2"/>
    <x v="12"/>
  </r>
  <r>
    <x v="396"/>
    <s v="Hailey Washington"/>
    <x v="10"/>
    <x v="4"/>
    <s v="Specialty Products"/>
    <x v="1"/>
    <s v="Black"/>
    <n v="51"/>
    <x v="387"/>
    <n v="855"/>
    <n v="0.1"/>
    <x v="0"/>
    <x v="8"/>
  </r>
  <r>
    <x v="397"/>
    <s v="Mia Vasquez"/>
    <x v="16"/>
    <x v="0"/>
    <s v="Research &amp; Development"/>
    <x v="1"/>
    <s v="Latino"/>
    <n v="27"/>
    <x v="388"/>
    <n v="689"/>
    <n v="0"/>
    <x v="2"/>
    <x v="12"/>
  </r>
  <r>
    <x v="398"/>
    <s v="Jose Grant"/>
    <x v="30"/>
    <x v="0"/>
    <s v="Corporate"/>
    <x v="0"/>
    <s v="Caucasian"/>
    <n v="52"/>
    <x v="389"/>
    <n v="903"/>
    <n v="0"/>
    <x v="0"/>
    <x v="8"/>
  </r>
  <r>
    <x v="399"/>
    <s v="Nathan Yee"/>
    <x v="30"/>
    <x v="0"/>
    <s v="Research &amp; Development"/>
    <x v="0"/>
    <s v="Asian"/>
    <n v="58"/>
    <x v="390"/>
    <n v="755"/>
    <n v="0"/>
    <x v="0"/>
    <x v="4"/>
  </r>
  <r>
    <x v="400"/>
    <s v="Isabella Munoz"/>
    <x v="4"/>
    <x v="1"/>
    <s v="Research &amp; Development"/>
    <x v="1"/>
    <s v="Latino"/>
    <n v="45"/>
    <x v="391"/>
    <n v="695"/>
    <n v="0.18"/>
    <x v="2"/>
    <x v="11"/>
  </r>
  <r>
    <x v="401"/>
    <s v="Michael Turner"/>
    <x v="8"/>
    <x v="6"/>
    <s v="Specialty Products"/>
    <x v="0"/>
    <s v="Black"/>
    <n v="28"/>
    <x v="392"/>
    <n v="624"/>
    <n v="0.09"/>
    <x v="0"/>
    <x v="1"/>
  </r>
  <r>
    <x v="402"/>
    <s v="Oliver Jones"/>
    <x v="11"/>
    <x v="3"/>
    <s v="Manufacturing"/>
    <x v="0"/>
    <s v="Caucasian"/>
    <n v="56"/>
    <x v="393"/>
    <n v="985"/>
    <n v="0.3"/>
    <x v="0"/>
    <x v="1"/>
  </r>
  <r>
    <x v="403"/>
    <s v="Charles Taylor"/>
    <x v="4"/>
    <x v="6"/>
    <s v="Specialty Products"/>
    <x v="0"/>
    <s v="Caucasian"/>
    <n v="32"/>
    <x v="394"/>
    <n v="974"/>
    <n v="0.16"/>
    <x v="0"/>
    <x v="8"/>
  </r>
  <r>
    <x v="404"/>
    <s v="Gianna Alvarez"/>
    <x v="15"/>
    <x v="6"/>
    <s v="Manufacturing"/>
    <x v="1"/>
    <s v="Latino"/>
    <n v="58"/>
    <x v="395"/>
    <n v="724"/>
    <n v="0"/>
    <x v="0"/>
    <x v="0"/>
  </r>
  <r>
    <x v="405"/>
    <s v="Nova Martin"/>
    <x v="8"/>
    <x v="6"/>
    <s v="Research &amp; Development"/>
    <x v="1"/>
    <s v="Caucasian"/>
    <n v="39"/>
    <x v="396"/>
    <n v="839"/>
    <n v="0.05"/>
    <x v="0"/>
    <x v="3"/>
  </r>
  <r>
    <x v="406"/>
    <s v="Julia Gonzalez"/>
    <x v="1"/>
    <x v="4"/>
    <s v="Research &amp; Development"/>
    <x v="1"/>
    <s v="Latino"/>
    <n v="46"/>
    <x v="397"/>
    <n v="857"/>
    <n v="0"/>
    <x v="2"/>
    <x v="11"/>
  </r>
  <r>
    <x v="407"/>
    <s v="Athena Vu"/>
    <x v="1"/>
    <x v="5"/>
    <s v="Specialty Products"/>
    <x v="1"/>
    <s v="Asian"/>
    <n v="26"/>
    <x v="398"/>
    <n v="752"/>
    <n v="0"/>
    <x v="0"/>
    <x v="5"/>
  </r>
  <r>
    <x v="408"/>
    <s v="Caroline Bui"/>
    <x v="26"/>
    <x v="0"/>
    <s v="Manufacturing"/>
    <x v="1"/>
    <s v="Asian"/>
    <n v="36"/>
    <x v="399"/>
    <n v="991"/>
    <n v="0"/>
    <x v="1"/>
    <x v="2"/>
  </r>
  <r>
    <x v="409"/>
    <s v="Daniel Ali"/>
    <x v="18"/>
    <x v="2"/>
    <s v="Corporate"/>
    <x v="0"/>
    <s v="Asian"/>
    <n v="43"/>
    <x v="400"/>
    <n v="667"/>
    <n v="0"/>
    <x v="0"/>
    <x v="4"/>
  </r>
  <r>
    <x v="410"/>
    <s v="Iris Huang"/>
    <x v="4"/>
    <x v="6"/>
    <s v="Corporate"/>
    <x v="1"/>
    <s v="Asian"/>
    <n v="45"/>
    <x v="401"/>
    <n v="687"/>
    <n v="0.25"/>
    <x v="1"/>
    <x v="7"/>
  </r>
  <r>
    <x v="411"/>
    <s v="Natalia Cheng"/>
    <x v="9"/>
    <x v="2"/>
    <s v="Corporate"/>
    <x v="1"/>
    <s v="Asian"/>
    <n v="65"/>
    <x v="402"/>
    <n v="904"/>
    <n v="0"/>
    <x v="1"/>
    <x v="9"/>
  </r>
  <r>
    <x v="412"/>
    <s v="Owen Evans"/>
    <x v="19"/>
    <x v="2"/>
    <s v="Manufacturing"/>
    <x v="0"/>
    <s v="Caucasian"/>
    <n v="34"/>
    <x v="403"/>
    <n v="970"/>
    <n v="0"/>
    <x v="0"/>
    <x v="4"/>
  </r>
  <r>
    <x v="413"/>
    <s v="Angel Dixon"/>
    <x v="1"/>
    <x v="1"/>
    <s v="Manufacturing"/>
    <x v="0"/>
    <s v="Caucasian"/>
    <n v="52"/>
    <x v="404"/>
    <n v="850"/>
    <n v="0"/>
    <x v="0"/>
    <x v="3"/>
  </r>
  <r>
    <x v="414"/>
    <s v="Aubrey Guerrero"/>
    <x v="10"/>
    <x v="5"/>
    <s v="Corporate"/>
    <x v="1"/>
    <s v="Latino"/>
    <n v="39"/>
    <x v="405"/>
    <n v="967"/>
    <n v="0.13"/>
    <x v="2"/>
    <x v="11"/>
  </r>
  <r>
    <x v="415"/>
    <s v="Ivy Do"/>
    <x v="6"/>
    <x v="3"/>
    <s v="Corporate"/>
    <x v="1"/>
    <s v="Asian"/>
    <n v="57"/>
    <x v="406"/>
    <n v="911"/>
    <n v="0"/>
    <x v="0"/>
    <x v="4"/>
  </r>
  <r>
    <x v="416"/>
    <s v="Kai Gutierrez"/>
    <x v="10"/>
    <x v="5"/>
    <s v="Specialty Products"/>
    <x v="0"/>
    <s v="Latino"/>
    <n v="63"/>
    <x v="407"/>
    <n v="641"/>
    <n v="0.1"/>
    <x v="2"/>
    <x v="12"/>
  </r>
  <r>
    <x v="417"/>
    <s v="Caroline Ahmed"/>
    <x v="10"/>
    <x v="5"/>
    <s v="Research &amp; Development"/>
    <x v="1"/>
    <s v="Asian"/>
    <n v="32"/>
    <x v="408"/>
    <n v="629"/>
    <n v="0.13"/>
    <x v="0"/>
    <x v="8"/>
  </r>
  <r>
    <x v="418"/>
    <s v="Alice Sharma"/>
    <x v="14"/>
    <x v="1"/>
    <s v="Research &amp; Development"/>
    <x v="1"/>
    <s v="Asian"/>
    <n v="51"/>
    <x v="409"/>
    <n v="585"/>
    <n v="0"/>
    <x v="1"/>
    <x v="7"/>
  </r>
  <r>
    <x v="419"/>
    <s v="Leo Simmons"/>
    <x v="1"/>
    <x v="3"/>
    <s v="Research &amp; Development"/>
    <x v="0"/>
    <s v="Black"/>
    <n v="38"/>
    <x v="297"/>
    <n v="907"/>
    <n v="0"/>
    <x v="0"/>
    <x v="5"/>
  </r>
  <r>
    <x v="420"/>
    <s v="Asher Hong"/>
    <x v="4"/>
    <x v="4"/>
    <s v="Research &amp; Development"/>
    <x v="0"/>
    <s v="Asian"/>
    <n v="53"/>
    <x v="410"/>
    <n v="930"/>
    <n v="0.26"/>
    <x v="1"/>
    <x v="6"/>
  </r>
  <r>
    <x v="421"/>
    <s v="Gianna Ramirez"/>
    <x v="26"/>
    <x v="0"/>
    <s v="Specialty Products"/>
    <x v="1"/>
    <s v="Latino"/>
    <n v="59"/>
    <x v="411"/>
    <n v="619"/>
    <n v="0"/>
    <x v="0"/>
    <x v="5"/>
  </r>
  <r>
    <x v="422"/>
    <s v="Thomas Smith"/>
    <x v="26"/>
    <x v="0"/>
    <s v="Specialty Products"/>
    <x v="0"/>
    <s v="Caucasian"/>
    <n v="57"/>
    <x v="412"/>
    <n v="609"/>
    <n v="0"/>
    <x v="0"/>
    <x v="8"/>
  </r>
  <r>
    <x v="423"/>
    <s v="Carter Hunter"/>
    <x v="5"/>
    <x v="3"/>
    <s v="Corporate"/>
    <x v="0"/>
    <s v="Caucasian"/>
    <n v="41"/>
    <x v="413"/>
    <n v="996"/>
    <n v="0"/>
    <x v="0"/>
    <x v="4"/>
  </r>
  <r>
    <x v="424"/>
    <s v="Charlotte Green"/>
    <x v="21"/>
    <x v="0"/>
    <s v="Research &amp; Development"/>
    <x v="1"/>
    <s v="Caucasian"/>
    <n v="33"/>
    <x v="414"/>
    <n v="541"/>
    <n v="0"/>
    <x v="0"/>
    <x v="5"/>
  </r>
  <r>
    <x v="425"/>
    <s v="Lincoln Holmes"/>
    <x v="2"/>
    <x v="2"/>
    <s v="Research &amp; Development"/>
    <x v="0"/>
    <s v="Black"/>
    <n v="35"/>
    <x v="415"/>
    <n v="510"/>
    <n v="0"/>
    <x v="0"/>
    <x v="1"/>
  </r>
  <r>
    <x v="426"/>
    <s v="Hudson Hu"/>
    <x v="21"/>
    <x v="0"/>
    <s v="Research &amp; Development"/>
    <x v="0"/>
    <s v="Asian"/>
    <n v="36"/>
    <x v="388"/>
    <n v="576"/>
    <n v="0"/>
    <x v="0"/>
    <x v="3"/>
  </r>
  <r>
    <x v="427"/>
    <s v="Noah Mitchell"/>
    <x v="27"/>
    <x v="2"/>
    <s v="Research &amp; Development"/>
    <x v="0"/>
    <s v="Caucasian"/>
    <n v="54"/>
    <x v="416"/>
    <n v="630"/>
    <n v="0"/>
    <x v="0"/>
    <x v="0"/>
  </r>
  <r>
    <x v="428"/>
    <s v="Liliana Choi"/>
    <x v="8"/>
    <x v="2"/>
    <s v="Research &amp; Development"/>
    <x v="1"/>
    <s v="Asian"/>
    <n v="55"/>
    <x v="417"/>
    <n v="622"/>
    <n v="0.08"/>
    <x v="0"/>
    <x v="4"/>
  </r>
  <r>
    <x v="429"/>
    <s v="Leonardo Cho"/>
    <x v="25"/>
    <x v="0"/>
    <s v="Specialty Products"/>
    <x v="0"/>
    <s v="Asian"/>
    <n v="38"/>
    <x v="62"/>
    <n v="564"/>
    <n v="0.15"/>
    <x v="0"/>
    <x v="0"/>
  </r>
  <r>
    <x v="430"/>
    <s v="Oliver Delgado"/>
    <x v="16"/>
    <x v="0"/>
    <s v="Research &amp; Development"/>
    <x v="0"/>
    <s v="Latino"/>
    <n v="45"/>
    <x v="418"/>
    <n v="679"/>
    <n v="0"/>
    <x v="2"/>
    <x v="12"/>
  </r>
  <r>
    <x v="431"/>
    <s v="Isabella Roberts"/>
    <x v="11"/>
    <x v="0"/>
    <s v="Manufacturing"/>
    <x v="1"/>
    <s v="Caucasian"/>
    <n v="53"/>
    <x v="419"/>
    <n v="632"/>
    <n v="0.33"/>
    <x v="0"/>
    <x v="4"/>
  </r>
  <r>
    <x v="432"/>
    <s v="Luca Desai"/>
    <x v="8"/>
    <x v="1"/>
    <s v="Specialty Products"/>
    <x v="0"/>
    <s v="Asian"/>
    <n v="45"/>
    <x v="420"/>
    <n v="683"/>
    <n v="0.06"/>
    <x v="1"/>
    <x v="7"/>
  </r>
  <r>
    <x v="433"/>
    <s v="William Juarez"/>
    <x v="13"/>
    <x v="2"/>
    <s v="Specialty Products"/>
    <x v="0"/>
    <s v="Latino"/>
    <n v="65"/>
    <x v="421"/>
    <n v="959"/>
    <n v="0"/>
    <x v="2"/>
    <x v="10"/>
  </r>
  <r>
    <x v="434"/>
    <s v="Ryan Alvarez"/>
    <x v="24"/>
    <x v="6"/>
    <s v="Research &amp; Development"/>
    <x v="0"/>
    <s v="Latino"/>
    <n v="62"/>
    <x v="422"/>
    <n v="820"/>
    <n v="0"/>
    <x v="2"/>
    <x v="12"/>
  </r>
  <r>
    <x v="435"/>
    <s v="Hudson Ha"/>
    <x v="26"/>
    <x v="0"/>
    <s v="Manufacturing"/>
    <x v="0"/>
    <s v="Asian"/>
    <n v="59"/>
    <x v="423"/>
    <n v="898"/>
    <n v="0"/>
    <x v="1"/>
    <x v="2"/>
  </r>
  <r>
    <x v="436"/>
    <s v="Hannah Brown"/>
    <x v="18"/>
    <x v="2"/>
    <s v="Manufacturing"/>
    <x v="1"/>
    <s v="Caucasian"/>
    <n v="42"/>
    <x v="424"/>
    <n v="527"/>
    <n v="0"/>
    <x v="0"/>
    <x v="4"/>
  </r>
  <r>
    <x v="437"/>
    <s v="Hadley Le"/>
    <x v="18"/>
    <x v="2"/>
    <s v="Research &amp; Development"/>
    <x v="1"/>
    <s v="Asian"/>
    <n v="33"/>
    <x v="425"/>
    <n v="931"/>
    <n v="0"/>
    <x v="1"/>
    <x v="6"/>
  </r>
  <r>
    <x v="438"/>
    <s v="Jaxson Shah"/>
    <x v="1"/>
    <x v="3"/>
    <s v="Corporate"/>
    <x v="0"/>
    <s v="Asian"/>
    <n v="29"/>
    <x v="426"/>
    <n v="603"/>
    <n v="0"/>
    <x v="0"/>
    <x v="1"/>
  </r>
  <r>
    <x v="439"/>
    <s v="Christopher Delgado"/>
    <x v="28"/>
    <x v="2"/>
    <s v="Corporate"/>
    <x v="0"/>
    <s v="Latino"/>
    <n v="33"/>
    <x v="427"/>
    <n v="840"/>
    <n v="0"/>
    <x v="2"/>
    <x v="10"/>
  </r>
  <r>
    <x v="440"/>
    <s v="Hannah Ng"/>
    <x v="4"/>
    <x v="1"/>
    <s v="Manufacturing"/>
    <x v="1"/>
    <s v="Asian"/>
    <n v="36"/>
    <x v="428"/>
    <n v="567"/>
    <n v="0.19"/>
    <x v="0"/>
    <x v="0"/>
  </r>
  <r>
    <x v="441"/>
    <s v="Austin Ngo"/>
    <x v="28"/>
    <x v="2"/>
    <s v="Research &amp; Development"/>
    <x v="0"/>
    <s v="Asian"/>
    <n v="43"/>
    <x v="429"/>
    <n v="602"/>
    <n v="0"/>
    <x v="0"/>
    <x v="0"/>
  </r>
  <r>
    <x v="442"/>
    <s v="Gianna Han"/>
    <x v="24"/>
    <x v="6"/>
    <s v="Research &amp; Development"/>
    <x v="1"/>
    <s v="Asian"/>
    <n v="51"/>
    <x v="430"/>
    <n v="665"/>
    <n v="0"/>
    <x v="0"/>
    <x v="4"/>
  </r>
  <r>
    <x v="443"/>
    <s v="Isaac Choi"/>
    <x v="32"/>
    <x v="0"/>
    <s v="Corporate"/>
    <x v="0"/>
    <s v="Asian"/>
    <n v="27"/>
    <x v="431"/>
    <n v="918"/>
    <n v="0"/>
    <x v="0"/>
    <x v="1"/>
  </r>
  <r>
    <x v="444"/>
    <s v="Madeline Smith"/>
    <x v="18"/>
    <x v="2"/>
    <s v="Research &amp; Development"/>
    <x v="1"/>
    <s v="Caucasian"/>
    <n v="55"/>
    <x v="432"/>
    <n v="523"/>
    <n v="0"/>
    <x v="0"/>
    <x v="5"/>
  </r>
  <r>
    <x v="445"/>
    <s v="Ellie Fernandez"/>
    <x v="31"/>
    <x v="0"/>
    <s v="Specialty Products"/>
    <x v="1"/>
    <s v="Latino"/>
    <n v="62"/>
    <x v="433"/>
    <n v="834"/>
    <n v="0"/>
    <x v="0"/>
    <x v="4"/>
  </r>
  <r>
    <x v="446"/>
    <s v="Lyla Lai"/>
    <x v="8"/>
    <x v="6"/>
    <s v="Specialty Products"/>
    <x v="1"/>
    <s v="Asian"/>
    <n v="46"/>
    <x v="27"/>
    <n v="903"/>
    <n v="0.1"/>
    <x v="0"/>
    <x v="4"/>
  </r>
  <r>
    <x v="447"/>
    <s v="Emily Moore"/>
    <x v="1"/>
    <x v="3"/>
    <s v="Research &amp; Development"/>
    <x v="1"/>
    <s v="Black"/>
    <n v="47"/>
    <x v="434"/>
    <n v="902"/>
    <n v="0"/>
    <x v="0"/>
    <x v="0"/>
  </r>
  <r>
    <x v="448"/>
    <s v="Aubrey Moreno"/>
    <x v="20"/>
    <x v="2"/>
    <s v="Research &amp; Development"/>
    <x v="1"/>
    <s v="Latino"/>
    <n v="57"/>
    <x v="435"/>
    <n v="895"/>
    <n v="0.06"/>
    <x v="0"/>
    <x v="4"/>
  </r>
  <r>
    <x v="449"/>
    <s v="Nova Xiong"/>
    <x v="2"/>
    <x v="2"/>
    <s v="Corporate"/>
    <x v="1"/>
    <s v="Asian"/>
    <n v="49"/>
    <x v="436"/>
    <n v="789"/>
    <n v="0"/>
    <x v="1"/>
    <x v="9"/>
  </r>
  <r>
    <x v="450"/>
    <s v="Eva Lam"/>
    <x v="26"/>
    <x v="0"/>
    <s v="Manufacturing"/>
    <x v="1"/>
    <s v="Asian"/>
    <n v="42"/>
    <x v="437"/>
    <n v="961"/>
    <n v="0"/>
    <x v="0"/>
    <x v="4"/>
  </r>
  <r>
    <x v="451"/>
    <s v="Caroline Chau"/>
    <x v="3"/>
    <x v="2"/>
    <s v="Specialty Products"/>
    <x v="1"/>
    <s v="Asian"/>
    <n v="55"/>
    <x v="220"/>
    <n v="997"/>
    <n v="0"/>
    <x v="0"/>
    <x v="0"/>
  </r>
  <r>
    <x v="452"/>
    <s v="Sofia Chen"/>
    <x v="8"/>
    <x v="4"/>
    <s v="Specialty Products"/>
    <x v="1"/>
    <s v="Asian"/>
    <n v="46"/>
    <x v="438"/>
    <n v="794"/>
    <n v="0.05"/>
    <x v="1"/>
    <x v="7"/>
  </r>
  <r>
    <x v="453"/>
    <s v="Christopher Sharma"/>
    <x v="7"/>
    <x v="2"/>
    <s v="Corporate"/>
    <x v="0"/>
    <s v="Asian"/>
    <n v="45"/>
    <x v="439"/>
    <n v="682"/>
    <n v="0"/>
    <x v="1"/>
    <x v="9"/>
  </r>
  <r>
    <x v="454"/>
    <s v="Lucas Grant"/>
    <x v="23"/>
    <x v="6"/>
    <s v="Manufacturing"/>
    <x v="0"/>
    <s v="Caucasian"/>
    <n v="53"/>
    <x v="440"/>
    <n v="620"/>
    <n v="0"/>
    <x v="0"/>
    <x v="4"/>
  </r>
  <r>
    <x v="455"/>
    <s v="Delilah Washington"/>
    <x v="1"/>
    <x v="1"/>
    <s v="Research &amp; Development"/>
    <x v="1"/>
    <s v="Caucasian"/>
    <n v="46"/>
    <x v="441"/>
    <n v="797"/>
    <n v="0"/>
    <x v="0"/>
    <x v="8"/>
  </r>
  <r>
    <x v="456"/>
    <s v="Eloise Molina"/>
    <x v="1"/>
    <x v="4"/>
    <s v="Research &amp; Development"/>
    <x v="1"/>
    <s v="Latino"/>
    <n v="48"/>
    <x v="442"/>
    <n v="659"/>
    <n v="0"/>
    <x v="0"/>
    <x v="0"/>
  </r>
  <r>
    <x v="457"/>
    <s v="Clara Desai"/>
    <x v="8"/>
    <x v="5"/>
    <s v="Corporate"/>
    <x v="1"/>
    <s v="Asian"/>
    <n v="33"/>
    <x v="443"/>
    <n v="700"/>
    <n v="0.05"/>
    <x v="1"/>
    <x v="7"/>
  </r>
  <r>
    <x v="458"/>
    <s v="Audrey Campbell"/>
    <x v="11"/>
    <x v="3"/>
    <s v="Research &amp; Development"/>
    <x v="1"/>
    <s v="Caucasian"/>
    <n v="56"/>
    <x v="444"/>
    <n v="606"/>
    <n v="0.39"/>
    <x v="0"/>
    <x v="8"/>
  </r>
  <r>
    <x v="459"/>
    <s v="Delilah Alvarez"/>
    <x v="7"/>
    <x v="2"/>
    <s v="Manufacturing"/>
    <x v="1"/>
    <s v="Latino"/>
    <n v="59"/>
    <x v="445"/>
    <n v="951"/>
    <n v="0"/>
    <x v="0"/>
    <x v="3"/>
  </r>
  <r>
    <x v="460"/>
    <s v="Luke Luna"/>
    <x v="6"/>
    <x v="4"/>
    <s v="Manufacturing"/>
    <x v="0"/>
    <s v="Latino"/>
    <n v="55"/>
    <x v="446"/>
    <n v="519"/>
    <n v="0"/>
    <x v="2"/>
    <x v="12"/>
  </r>
  <r>
    <x v="461"/>
    <s v="Elizabeth Tan"/>
    <x v="11"/>
    <x v="5"/>
    <s v="Research &amp; Development"/>
    <x v="1"/>
    <s v="Asian"/>
    <n v="46"/>
    <x v="447"/>
    <n v="923"/>
    <n v="0.3"/>
    <x v="0"/>
    <x v="1"/>
  </r>
  <r>
    <x v="462"/>
    <s v="Sophia Wang"/>
    <x v="1"/>
    <x v="5"/>
    <s v="Specialty Products"/>
    <x v="1"/>
    <s v="Asian"/>
    <n v="50"/>
    <x v="448"/>
    <n v="618"/>
    <n v="0"/>
    <x v="0"/>
    <x v="3"/>
  </r>
  <r>
    <x v="463"/>
    <s v="Nova Park"/>
    <x v="1"/>
    <x v="1"/>
    <s v="Corporate"/>
    <x v="1"/>
    <s v="Asian"/>
    <n v="29"/>
    <x v="449"/>
    <n v="619"/>
    <n v="0"/>
    <x v="1"/>
    <x v="2"/>
  </r>
  <r>
    <x v="464"/>
    <s v="Josiah Khan"/>
    <x v="18"/>
    <x v="2"/>
    <s v="Manufacturing"/>
    <x v="0"/>
    <s v="Asian"/>
    <n v="57"/>
    <x v="450"/>
    <n v="875"/>
    <n v="0"/>
    <x v="1"/>
    <x v="6"/>
  </r>
  <r>
    <x v="465"/>
    <s v="Madison Gray"/>
    <x v="11"/>
    <x v="4"/>
    <s v="Research &amp; Development"/>
    <x v="1"/>
    <s v="Caucasian"/>
    <n v="39"/>
    <x v="451"/>
    <n v="878"/>
    <n v="0.38"/>
    <x v="0"/>
    <x v="0"/>
  </r>
  <r>
    <x v="466"/>
    <s v="Luca Washington"/>
    <x v="19"/>
    <x v="2"/>
    <s v="Corporate"/>
    <x v="0"/>
    <s v="Black"/>
    <n v="40"/>
    <x v="320"/>
    <n v="735"/>
    <n v="0"/>
    <x v="0"/>
    <x v="5"/>
  </r>
  <r>
    <x v="467"/>
    <s v="Isaac Cruz"/>
    <x v="11"/>
    <x v="6"/>
    <s v="Specialty Products"/>
    <x v="0"/>
    <s v="Latino"/>
    <n v="33"/>
    <x v="452"/>
    <n v="643"/>
    <n v="0.35"/>
    <x v="0"/>
    <x v="1"/>
  </r>
  <r>
    <x v="468"/>
    <s v="Ellie Ortega"/>
    <x v="1"/>
    <x v="1"/>
    <s v="Specialty Products"/>
    <x v="1"/>
    <s v="Latino"/>
    <n v="49"/>
    <x v="453"/>
    <n v="754"/>
    <n v="0"/>
    <x v="2"/>
    <x v="11"/>
  </r>
  <r>
    <x v="469"/>
    <s v="Ian Huang"/>
    <x v="1"/>
    <x v="1"/>
    <s v="Research &amp; Development"/>
    <x v="0"/>
    <s v="Asian"/>
    <n v="54"/>
    <x v="454"/>
    <n v="608"/>
    <n v="0"/>
    <x v="0"/>
    <x v="0"/>
  </r>
  <r>
    <x v="470"/>
    <s v="Jayden Ahmed"/>
    <x v="10"/>
    <x v="2"/>
    <s v="Corporate"/>
    <x v="0"/>
    <s v="Asian"/>
    <n v="51"/>
    <x v="455"/>
    <n v="630"/>
    <n v="0.12"/>
    <x v="1"/>
    <x v="7"/>
  </r>
  <r>
    <x v="471"/>
    <s v="Violet Simmons"/>
    <x v="1"/>
    <x v="5"/>
    <s v="Research &amp; Development"/>
    <x v="1"/>
    <s v="Caucasian"/>
    <n v="33"/>
    <x v="456"/>
    <n v="607"/>
    <n v="0"/>
    <x v="0"/>
    <x v="5"/>
  </r>
  <r>
    <x v="472"/>
    <s v="William Roberts"/>
    <x v="4"/>
    <x v="2"/>
    <s v="Research &amp; Development"/>
    <x v="0"/>
    <s v="Caucasian"/>
    <n v="34"/>
    <x v="457"/>
    <n v="763"/>
    <n v="0.3"/>
    <x v="0"/>
    <x v="8"/>
  </r>
  <r>
    <x v="473"/>
    <s v="Penelope Sandoval"/>
    <x v="10"/>
    <x v="1"/>
    <s v="Corporate"/>
    <x v="1"/>
    <s v="Latino"/>
    <n v="28"/>
    <x v="458"/>
    <n v="879"/>
    <n v="0.14000000000000001"/>
    <x v="2"/>
    <x v="10"/>
  </r>
  <r>
    <x v="474"/>
    <s v="Emilia Ortiz"/>
    <x v="11"/>
    <x v="5"/>
    <s v="Research &amp; Development"/>
    <x v="1"/>
    <s v="Latino"/>
    <n v="34"/>
    <x v="459"/>
    <n v="746"/>
    <n v="0.38"/>
    <x v="0"/>
    <x v="8"/>
  </r>
  <r>
    <x v="475"/>
    <s v="Layla Gutierrez"/>
    <x v="20"/>
    <x v="2"/>
    <s v="Specialty Products"/>
    <x v="1"/>
    <s v="Latino"/>
    <n v="39"/>
    <x v="460"/>
    <n v="993"/>
    <n v="0.05"/>
    <x v="2"/>
    <x v="10"/>
  </r>
  <r>
    <x v="476"/>
    <s v="Dylan Vu"/>
    <x v="8"/>
    <x v="6"/>
    <s v="Specialty Products"/>
    <x v="0"/>
    <s v="Asian"/>
    <n v="63"/>
    <x v="461"/>
    <n v="918"/>
    <n v="0.05"/>
    <x v="1"/>
    <x v="9"/>
  </r>
  <r>
    <x v="477"/>
    <s v="Peyton Wong"/>
    <x v="11"/>
    <x v="3"/>
    <s v="Manufacturing"/>
    <x v="1"/>
    <s v="Asian"/>
    <n v="35"/>
    <x v="462"/>
    <n v="638"/>
    <n v="0.37"/>
    <x v="0"/>
    <x v="1"/>
  </r>
  <r>
    <x v="478"/>
    <s v="Santiago f Banks"/>
    <x v="10"/>
    <x v="2"/>
    <s v="Specialty Products"/>
    <x v="0"/>
    <s v="Caucasian"/>
    <n v="44"/>
    <x v="463"/>
    <n v="886"/>
    <n v="0.11"/>
    <x v="0"/>
    <x v="1"/>
  </r>
  <r>
    <x v="479"/>
    <s v="Caroline Wong"/>
    <x v="1"/>
    <x v="1"/>
    <s v="Research &amp; Development"/>
    <x v="1"/>
    <s v="Asian"/>
    <n v="37"/>
    <x v="464"/>
    <n v="677"/>
    <n v="0"/>
    <x v="1"/>
    <x v="9"/>
  </r>
  <r>
    <x v="480"/>
    <s v="Quinn Ho"/>
    <x v="11"/>
    <x v="3"/>
    <s v="Research &amp; Development"/>
    <x v="1"/>
    <s v="Asian"/>
    <n v="45"/>
    <x v="465"/>
    <n v="519"/>
    <n v="0.3"/>
    <x v="0"/>
    <x v="0"/>
  </r>
  <r>
    <x v="481"/>
    <s v="Caroline Nunez"/>
    <x v="11"/>
    <x v="4"/>
    <s v="Manufacturing"/>
    <x v="1"/>
    <s v="Latino"/>
    <n v="65"/>
    <x v="466"/>
    <n v="617"/>
    <n v="0.39"/>
    <x v="2"/>
    <x v="11"/>
  </r>
  <r>
    <x v="482"/>
    <s v="Carson Brown"/>
    <x v="10"/>
    <x v="6"/>
    <s v="Research &amp; Development"/>
    <x v="0"/>
    <s v="Black"/>
    <n v="65"/>
    <x v="467"/>
    <n v="862"/>
    <n v="0.14000000000000001"/>
    <x v="0"/>
    <x v="5"/>
  </r>
  <r>
    <x v="483"/>
    <s v="Olivia Maldonado"/>
    <x v="16"/>
    <x v="0"/>
    <s v="Research &amp; Development"/>
    <x v="1"/>
    <s v="Latino"/>
    <n v="63"/>
    <x v="468"/>
    <n v="658"/>
    <n v="0"/>
    <x v="0"/>
    <x v="1"/>
  </r>
  <r>
    <x v="484"/>
    <s v="Emilia Chung"/>
    <x v="4"/>
    <x v="4"/>
    <s v="Manufacturing"/>
    <x v="1"/>
    <s v="Asian"/>
    <n v="55"/>
    <x v="469"/>
    <n v="865"/>
    <n v="0.28000000000000003"/>
    <x v="1"/>
    <x v="2"/>
  </r>
  <r>
    <x v="485"/>
    <s v="Leilani Shin"/>
    <x v="1"/>
    <x v="3"/>
    <s v="Corporate"/>
    <x v="1"/>
    <s v="Asian"/>
    <n v="58"/>
    <x v="470"/>
    <n v="647"/>
    <n v="0"/>
    <x v="0"/>
    <x v="4"/>
  </r>
  <r>
    <x v="486"/>
    <s v="Abigail Zhu"/>
    <x v="4"/>
    <x v="4"/>
    <s v="Corporate"/>
    <x v="1"/>
    <s v="Asian"/>
    <n v="31"/>
    <x v="471"/>
    <n v="722"/>
    <n v="0.27"/>
    <x v="0"/>
    <x v="4"/>
  </r>
  <r>
    <x v="487"/>
    <s v="Autumn Xiong"/>
    <x v="2"/>
    <x v="2"/>
    <s v="Specialty Products"/>
    <x v="1"/>
    <s v="Asian"/>
    <n v="28"/>
    <x v="472"/>
    <n v="954"/>
    <n v="0"/>
    <x v="1"/>
    <x v="2"/>
  </r>
  <r>
    <x v="488"/>
    <s v="Hailey Cruz"/>
    <x v="15"/>
    <x v="6"/>
    <s v="Manufacturing"/>
    <x v="1"/>
    <s v="Latino"/>
    <n v="50"/>
    <x v="473"/>
    <n v="795"/>
    <n v="0"/>
    <x v="0"/>
    <x v="4"/>
  </r>
  <r>
    <x v="489"/>
    <s v="Piper Cruz"/>
    <x v="4"/>
    <x v="1"/>
    <s v="Research &amp; Development"/>
    <x v="1"/>
    <s v="Latino"/>
    <n v="61"/>
    <x v="396"/>
    <n v="831"/>
    <n v="0.21"/>
    <x v="2"/>
    <x v="10"/>
  </r>
  <r>
    <x v="490"/>
    <s v="Jaxson Jackson"/>
    <x v="19"/>
    <x v="2"/>
    <s v="Specialty Products"/>
    <x v="0"/>
    <s v="Caucasian"/>
    <n v="53"/>
    <x v="474"/>
    <n v="939"/>
    <n v="0"/>
    <x v="0"/>
    <x v="3"/>
  </r>
  <r>
    <x v="491"/>
    <s v="Serenity Mehta"/>
    <x v="1"/>
    <x v="1"/>
    <s v="Research &amp; Development"/>
    <x v="1"/>
    <s v="Asian"/>
    <n v="51"/>
    <x v="475"/>
    <n v="871"/>
    <n v="0"/>
    <x v="1"/>
    <x v="2"/>
  </r>
  <r>
    <x v="492"/>
    <s v="Peyton Gomez"/>
    <x v="1"/>
    <x v="4"/>
    <s v="Specialty Products"/>
    <x v="1"/>
    <s v="Latino"/>
    <n v="56"/>
    <x v="476"/>
    <n v="780"/>
    <n v="0"/>
    <x v="2"/>
    <x v="10"/>
  </r>
  <r>
    <x v="493"/>
    <s v="Ethan Vargas"/>
    <x v="4"/>
    <x v="2"/>
    <s v="Research &amp; Development"/>
    <x v="0"/>
    <s v="Latino"/>
    <n v="38"/>
    <x v="477"/>
    <n v="796"/>
    <n v="0.3"/>
    <x v="0"/>
    <x v="1"/>
  </r>
  <r>
    <x v="494"/>
    <s v="Serenity Morris"/>
    <x v="8"/>
    <x v="2"/>
    <s v="Corporate"/>
    <x v="1"/>
    <s v="Caucasian"/>
    <n v="41"/>
    <x v="478"/>
    <n v="829"/>
    <n v="0.05"/>
    <x v="0"/>
    <x v="8"/>
  </r>
  <r>
    <x v="495"/>
    <s v="Vivian Chan"/>
    <x v="5"/>
    <x v="1"/>
    <s v="Specialty Products"/>
    <x v="1"/>
    <s v="Asian"/>
    <n v="61"/>
    <x v="479"/>
    <n v="869"/>
    <n v="0"/>
    <x v="1"/>
    <x v="9"/>
  </r>
  <r>
    <x v="496"/>
    <s v="Lincoln Singh"/>
    <x v="1"/>
    <x v="1"/>
    <s v="Corporate"/>
    <x v="0"/>
    <s v="Asian"/>
    <n v="33"/>
    <x v="124"/>
    <n v="725"/>
    <n v="0"/>
    <x v="1"/>
    <x v="2"/>
  </r>
  <r>
    <x v="497"/>
    <s v="Ayla Lim"/>
    <x v="4"/>
    <x v="5"/>
    <s v="Corporate"/>
    <x v="1"/>
    <s v="Asian"/>
    <n v="41"/>
    <x v="480"/>
    <n v="671"/>
    <n v="0.23"/>
    <x v="1"/>
    <x v="7"/>
  </r>
  <r>
    <x v="498"/>
    <s v="Leilani Hong"/>
    <x v="7"/>
    <x v="2"/>
    <s v="Manufacturing"/>
    <x v="1"/>
    <s v="Asian"/>
    <n v="36"/>
    <x v="481"/>
    <n v="513"/>
    <n v="0"/>
    <x v="0"/>
    <x v="3"/>
  </r>
  <r>
    <x v="499"/>
    <s v="Victoria Doan"/>
    <x v="8"/>
    <x v="1"/>
    <s v="Corporate"/>
    <x v="1"/>
    <s v="Asian"/>
    <n v="42"/>
    <x v="160"/>
    <n v="927"/>
    <n v="0.05"/>
    <x v="0"/>
    <x v="3"/>
  </r>
  <r>
    <x v="500"/>
    <s v="Naomi Wright"/>
    <x v="7"/>
    <x v="2"/>
    <s v="Manufacturing"/>
    <x v="1"/>
    <s v="Caucasian"/>
    <n v="36"/>
    <x v="482"/>
    <n v="911"/>
    <n v="0"/>
    <x v="0"/>
    <x v="8"/>
  </r>
  <r>
    <x v="501"/>
    <s v="Scarlett Howard"/>
    <x v="8"/>
    <x v="4"/>
    <s v="Manufacturing"/>
    <x v="1"/>
    <s v="Caucasian"/>
    <n v="55"/>
    <x v="483"/>
    <n v="549"/>
    <n v="0.05"/>
    <x v="0"/>
    <x v="4"/>
  </r>
  <r>
    <x v="502"/>
    <s v="Victoria Vo"/>
    <x v="26"/>
    <x v="0"/>
    <s v="Corporate"/>
    <x v="1"/>
    <s v="Asian"/>
    <n v="44"/>
    <x v="484"/>
    <n v="922"/>
    <n v="0"/>
    <x v="1"/>
    <x v="2"/>
  </r>
  <r>
    <x v="503"/>
    <s v="Oliver Fernandez"/>
    <x v="8"/>
    <x v="5"/>
    <s v="Research &amp; Development"/>
    <x v="0"/>
    <s v="Latino"/>
    <n v="31"/>
    <x v="485"/>
    <n v="908"/>
    <n v="0.05"/>
    <x v="2"/>
    <x v="12"/>
  </r>
  <r>
    <x v="504"/>
    <s v="Luca Jiang"/>
    <x v="14"/>
    <x v="1"/>
    <s v="Research &amp; Development"/>
    <x v="0"/>
    <s v="Asian"/>
    <n v="47"/>
    <x v="370"/>
    <n v="642"/>
    <n v="0"/>
    <x v="1"/>
    <x v="9"/>
  </r>
  <r>
    <x v="505"/>
    <s v="Charlotte Owens"/>
    <x v="11"/>
    <x v="0"/>
    <s v="Corporate"/>
    <x v="1"/>
    <s v="Black"/>
    <n v="59"/>
    <x v="486"/>
    <n v="836"/>
    <n v="0.31"/>
    <x v="0"/>
    <x v="8"/>
  </r>
  <r>
    <x v="506"/>
    <s v="Stella Tan"/>
    <x v="4"/>
    <x v="6"/>
    <s v="Specialty Products"/>
    <x v="1"/>
    <s v="Asian"/>
    <n v="48"/>
    <x v="487"/>
    <n v="944"/>
    <n v="0.22"/>
    <x v="1"/>
    <x v="7"/>
  </r>
  <r>
    <x v="507"/>
    <s v="Ellie Yoon"/>
    <x v="11"/>
    <x v="6"/>
    <s v="Specialty Products"/>
    <x v="1"/>
    <s v="Asian"/>
    <n v="44"/>
    <x v="488"/>
    <n v="785"/>
    <n v="0.38"/>
    <x v="1"/>
    <x v="6"/>
  </r>
  <r>
    <x v="508"/>
    <s v="Ella Do"/>
    <x v="14"/>
    <x v="1"/>
    <s v="Manufacturing"/>
    <x v="1"/>
    <s v="Asian"/>
    <n v="52"/>
    <x v="489"/>
    <n v="525"/>
    <n v="0"/>
    <x v="1"/>
    <x v="2"/>
  </r>
  <r>
    <x v="509"/>
    <s v="Lucas Cruz"/>
    <x v="5"/>
    <x v="3"/>
    <s v="Specialty Products"/>
    <x v="0"/>
    <s v="Latino"/>
    <n v="54"/>
    <x v="490"/>
    <n v="994"/>
    <n v="0"/>
    <x v="0"/>
    <x v="3"/>
  </r>
  <r>
    <x v="510"/>
    <s v="Sarah Mehta"/>
    <x v="24"/>
    <x v="6"/>
    <s v="Research &amp; Development"/>
    <x v="1"/>
    <s v="Asian"/>
    <n v="31"/>
    <x v="491"/>
    <n v="809"/>
    <n v="0"/>
    <x v="1"/>
    <x v="7"/>
  </r>
  <r>
    <x v="511"/>
    <s v="Anthony Phan"/>
    <x v="19"/>
    <x v="2"/>
    <s v="Research &amp; Development"/>
    <x v="0"/>
    <s v="Asian"/>
    <n v="39"/>
    <x v="492"/>
    <n v="960"/>
    <n v="0"/>
    <x v="0"/>
    <x v="8"/>
  </r>
  <r>
    <x v="512"/>
    <s v="David Chu"/>
    <x v="10"/>
    <x v="2"/>
    <s v="Specialty Products"/>
    <x v="0"/>
    <s v="Asian"/>
    <n v="40"/>
    <x v="493"/>
    <n v="952"/>
    <n v="0.11"/>
    <x v="0"/>
    <x v="8"/>
  </r>
  <r>
    <x v="513"/>
    <s v="Sebastian Sanders"/>
    <x v="8"/>
    <x v="1"/>
    <s v="Corporate"/>
    <x v="0"/>
    <s v="Caucasian"/>
    <n v="39"/>
    <x v="494"/>
    <n v="816"/>
    <n v="0.05"/>
    <x v="0"/>
    <x v="4"/>
  </r>
  <r>
    <x v="514"/>
    <s v="Jayden Phillips"/>
    <x v="4"/>
    <x v="2"/>
    <s v="Research &amp; Development"/>
    <x v="0"/>
    <s v="Caucasian"/>
    <n v="25"/>
    <x v="495"/>
    <n v="665"/>
    <n v="0.26"/>
    <x v="0"/>
    <x v="4"/>
  </r>
  <r>
    <x v="515"/>
    <s v="Caleb Chan"/>
    <x v="32"/>
    <x v="0"/>
    <s v="Research &amp; Development"/>
    <x v="0"/>
    <s v="Asian"/>
    <n v="48"/>
    <x v="496"/>
    <n v="656"/>
    <n v="0"/>
    <x v="1"/>
    <x v="2"/>
  </r>
  <r>
    <x v="516"/>
    <s v="Ariana Santiago"/>
    <x v="28"/>
    <x v="2"/>
    <s v="Research &amp; Development"/>
    <x v="1"/>
    <s v="Latino"/>
    <n v="54"/>
    <x v="497"/>
    <n v="975"/>
    <n v="0"/>
    <x v="0"/>
    <x v="5"/>
  </r>
  <r>
    <x v="517"/>
    <s v="Quinn Owens"/>
    <x v="26"/>
    <x v="0"/>
    <s v="Manufacturing"/>
    <x v="1"/>
    <s v="Caucasian"/>
    <n v="40"/>
    <x v="452"/>
    <n v="804"/>
    <n v="0"/>
    <x v="0"/>
    <x v="1"/>
  </r>
  <r>
    <x v="518"/>
    <s v="Eli James"/>
    <x v="27"/>
    <x v="2"/>
    <s v="Manufacturing"/>
    <x v="0"/>
    <s v="Caucasian"/>
    <n v="32"/>
    <x v="498"/>
    <n v="890"/>
    <n v="0"/>
    <x v="0"/>
    <x v="0"/>
  </r>
  <r>
    <x v="519"/>
    <s v="Ezra Aguilar"/>
    <x v="11"/>
    <x v="2"/>
    <s v="Manufacturing"/>
    <x v="0"/>
    <s v="Latino"/>
    <n v="60"/>
    <x v="499"/>
    <n v="718"/>
    <n v="0.4"/>
    <x v="0"/>
    <x v="8"/>
  </r>
  <r>
    <x v="520"/>
    <s v="Anna Castro"/>
    <x v="6"/>
    <x v="4"/>
    <s v="Specialty Products"/>
    <x v="1"/>
    <s v="Latino"/>
    <n v="29"/>
    <x v="500"/>
    <n v="579"/>
    <n v="0"/>
    <x v="0"/>
    <x v="3"/>
  </r>
  <r>
    <x v="521"/>
    <s v="Liliana Lewis"/>
    <x v="2"/>
    <x v="2"/>
    <s v="Corporate"/>
    <x v="1"/>
    <s v="Caucasian"/>
    <n v="25"/>
    <x v="501"/>
    <n v="909"/>
    <n v="0"/>
    <x v="0"/>
    <x v="8"/>
  </r>
  <r>
    <x v="522"/>
    <s v="Maverick Alvarado"/>
    <x v="22"/>
    <x v="2"/>
    <s v="Manufacturing"/>
    <x v="0"/>
    <s v="Latino"/>
    <n v="34"/>
    <x v="502"/>
    <n v="869"/>
    <n v="0"/>
    <x v="2"/>
    <x v="12"/>
  </r>
  <r>
    <x v="523"/>
    <s v="Nora Butler"/>
    <x v="11"/>
    <x v="2"/>
    <s v="Research &amp; Development"/>
    <x v="1"/>
    <s v="Black"/>
    <n v="26"/>
    <x v="503"/>
    <n v="886"/>
    <n v="0.36"/>
    <x v="0"/>
    <x v="5"/>
  </r>
  <r>
    <x v="524"/>
    <s v="Landon Rodriguez"/>
    <x v="29"/>
    <x v="1"/>
    <s v="Manufacturing"/>
    <x v="0"/>
    <s v="Latino"/>
    <n v="39"/>
    <x v="504"/>
    <n v="689"/>
    <n v="0"/>
    <x v="0"/>
    <x v="1"/>
  </r>
  <r>
    <x v="525"/>
    <s v="Grace Harris"/>
    <x v="19"/>
    <x v="2"/>
    <s v="Research &amp; Development"/>
    <x v="1"/>
    <s v="Caucasian"/>
    <n v="34"/>
    <x v="505"/>
    <n v="978"/>
    <n v="0"/>
    <x v="0"/>
    <x v="3"/>
  </r>
  <r>
    <x v="526"/>
    <s v="Jeremiah Medina"/>
    <x v="10"/>
    <x v="2"/>
    <s v="Research &amp; Development"/>
    <x v="0"/>
    <s v="Latino"/>
    <n v="54"/>
    <x v="506"/>
    <n v="805"/>
    <n v="0.13"/>
    <x v="2"/>
    <x v="12"/>
  </r>
  <r>
    <x v="527"/>
    <s v="Charles Bryant"/>
    <x v="1"/>
    <x v="1"/>
    <s v="Manufacturing"/>
    <x v="0"/>
    <s v="Caucasian"/>
    <n v="27"/>
    <x v="269"/>
    <n v="564"/>
    <n v="0"/>
    <x v="0"/>
    <x v="8"/>
  </r>
  <r>
    <x v="528"/>
    <s v="Elizabeth Dixon"/>
    <x v="10"/>
    <x v="4"/>
    <s v="Manufacturing"/>
    <x v="1"/>
    <s v="Caucasian"/>
    <n v="26"/>
    <x v="507"/>
    <n v="924"/>
    <n v="0.14000000000000001"/>
    <x v="0"/>
    <x v="5"/>
  </r>
  <r>
    <x v="529"/>
    <s v="Riley Phillips"/>
    <x v="11"/>
    <x v="0"/>
    <s v="Specialty Products"/>
    <x v="1"/>
    <s v="Caucasian"/>
    <n v="26"/>
    <x v="508"/>
    <n v="768"/>
    <n v="0.35"/>
    <x v="0"/>
    <x v="5"/>
  </r>
  <r>
    <x v="530"/>
    <s v="Gianna Cruz"/>
    <x v="8"/>
    <x v="1"/>
    <s v="Corporate"/>
    <x v="1"/>
    <s v="Latino"/>
    <n v="29"/>
    <x v="509"/>
    <n v="942"/>
    <n v="0.1"/>
    <x v="0"/>
    <x v="0"/>
  </r>
  <r>
    <x v="531"/>
    <s v="Lincoln Cruz"/>
    <x v="28"/>
    <x v="2"/>
    <s v="Corporate"/>
    <x v="0"/>
    <s v="Latino"/>
    <n v="64"/>
    <x v="510"/>
    <n v="905"/>
    <n v="0"/>
    <x v="2"/>
    <x v="12"/>
  </r>
  <r>
    <x v="532"/>
    <s v="Ezekiel Contreras"/>
    <x v="10"/>
    <x v="3"/>
    <s v="Research &amp; Development"/>
    <x v="0"/>
    <s v="Latino"/>
    <n v="45"/>
    <x v="511"/>
    <n v="939"/>
    <n v="0.14000000000000001"/>
    <x v="0"/>
    <x v="1"/>
  </r>
  <r>
    <x v="533"/>
    <s v="Amelia Do"/>
    <x v="6"/>
    <x v="5"/>
    <s v="Manufacturing"/>
    <x v="1"/>
    <s v="Asian"/>
    <n v="45"/>
    <x v="512"/>
    <n v="900"/>
    <n v="0"/>
    <x v="0"/>
    <x v="3"/>
  </r>
  <r>
    <x v="534"/>
    <s v="Anthony Perez"/>
    <x v="29"/>
    <x v="1"/>
    <s v="Specialty Products"/>
    <x v="0"/>
    <s v="Latino"/>
    <n v="51"/>
    <x v="513"/>
    <n v="628"/>
    <n v="0"/>
    <x v="0"/>
    <x v="1"/>
  </r>
  <r>
    <x v="535"/>
    <s v="Elias Maldonado"/>
    <x v="3"/>
    <x v="2"/>
    <s v="Manufacturing"/>
    <x v="0"/>
    <s v="Latino"/>
    <n v="56"/>
    <x v="514"/>
    <n v="971"/>
    <n v="0"/>
    <x v="0"/>
    <x v="1"/>
  </r>
  <r>
    <x v="536"/>
    <s v="Liam Luong"/>
    <x v="13"/>
    <x v="2"/>
    <s v="Specialty Products"/>
    <x v="0"/>
    <s v="Asian"/>
    <n v="58"/>
    <x v="515"/>
    <n v="546"/>
    <n v="0"/>
    <x v="0"/>
    <x v="4"/>
  </r>
  <r>
    <x v="537"/>
    <s v="Jordan Ford"/>
    <x v="8"/>
    <x v="6"/>
    <s v="Corporate"/>
    <x v="0"/>
    <s v="Black"/>
    <n v="43"/>
    <x v="516"/>
    <n v="502"/>
    <n v="0.1"/>
    <x v="0"/>
    <x v="0"/>
  </r>
  <r>
    <x v="538"/>
    <s v="Mateo Chung"/>
    <x v="28"/>
    <x v="2"/>
    <s v="Corporate"/>
    <x v="0"/>
    <s v="Asian"/>
    <n v="52"/>
    <x v="447"/>
    <n v="969"/>
    <n v="0"/>
    <x v="1"/>
    <x v="9"/>
  </r>
  <r>
    <x v="539"/>
    <s v="Jameson Vang"/>
    <x v="20"/>
    <x v="2"/>
    <s v="Corporate"/>
    <x v="0"/>
    <s v="Asian"/>
    <n v="41"/>
    <x v="517"/>
    <n v="827"/>
    <n v="0.1"/>
    <x v="1"/>
    <x v="2"/>
  </r>
  <r>
    <x v="540"/>
    <s v="Samuel Thomas"/>
    <x v="11"/>
    <x v="3"/>
    <s v="Specialty Products"/>
    <x v="0"/>
    <s v="Caucasian"/>
    <n v="43"/>
    <x v="518"/>
    <n v="969"/>
    <n v="0.33"/>
    <x v="0"/>
    <x v="0"/>
  </r>
  <r>
    <x v="541"/>
    <s v="Gabriel Rodriguez"/>
    <x v="17"/>
    <x v="2"/>
    <s v="Research &amp; Development"/>
    <x v="0"/>
    <s v="Latino"/>
    <n v="36"/>
    <x v="519"/>
    <n v="708"/>
    <n v="0"/>
    <x v="2"/>
    <x v="11"/>
  </r>
  <r>
    <x v="542"/>
    <s v="Wyatt Robinson"/>
    <x v="30"/>
    <x v="0"/>
    <s v="Research &amp; Development"/>
    <x v="0"/>
    <s v="Caucasian"/>
    <n v="55"/>
    <x v="520"/>
    <n v="617"/>
    <n v="0"/>
    <x v="0"/>
    <x v="3"/>
  </r>
  <r>
    <x v="543"/>
    <s v="Anna Huynh"/>
    <x v="13"/>
    <x v="2"/>
    <s v="Specialty Products"/>
    <x v="1"/>
    <s v="Asian"/>
    <n v="39"/>
    <x v="373"/>
    <n v="559"/>
    <n v="0"/>
    <x v="0"/>
    <x v="1"/>
  </r>
  <r>
    <x v="544"/>
    <s v="Lucy Simmons"/>
    <x v="6"/>
    <x v="3"/>
    <s v="Corporate"/>
    <x v="1"/>
    <s v="Caucasian"/>
    <n v="56"/>
    <x v="521"/>
    <n v="601"/>
    <n v="0"/>
    <x v="0"/>
    <x v="8"/>
  </r>
  <r>
    <x v="545"/>
    <s v="Austin Ng"/>
    <x v="10"/>
    <x v="1"/>
    <s v="Research &amp; Development"/>
    <x v="0"/>
    <s v="Asian"/>
    <n v="45"/>
    <x v="522"/>
    <n v="785"/>
    <n v="0.13"/>
    <x v="1"/>
    <x v="9"/>
  </r>
  <r>
    <x v="546"/>
    <s v="Madeline Cruz"/>
    <x v="7"/>
    <x v="2"/>
    <s v="Specialty Products"/>
    <x v="1"/>
    <s v="Latino"/>
    <n v="63"/>
    <x v="523"/>
    <n v="916"/>
    <n v="0"/>
    <x v="2"/>
    <x v="10"/>
  </r>
  <r>
    <x v="547"/>
    <s v="Layla Munoz"/>
    <x v="4"/>
    <x v="6"/>
    <s v="Corporate"/>
    <x v="1"/>
    <s v="Latino"/>
    <n v="39"/>
    <x v="524"/>
    <n v="828"/>
    <n v="0.28999999999999998"/>
    <x v="2"/>
    <x v="10"/>
  </r>
  <r>
    <x v="548"/>
    <s v="Alexander Tang"/>
    <x v="1"/>
    <x v="4"/>
    <s v="Corporate"/>
    <x v="0"/>
    <s v="Asian"/>
    <n v="32"/>
    <x v="525"/>
    <n v="746"/>
    <n v="0"/>
    <x v="0"/>
    <x v="4"/>
  </r>
  <r>
    <x v="549"/>
    <s v="Carson Chen"/>
    <x v="6"/>
    <x v="4"/>
    <s v="Manufacturing"/>
    <x v="0"/>
    <s v="Asian"/>
    <n v="45"/>
    <x v="526"/>
    <n v="705"/>
    <n v="0"/>
    <x v="1"/>
    <x v="6"/>
  </r>
  <r>
    <x v="550"/>
    <s v="Kai Duong"/>
    <x v="17"/>
    <x v="2"/>
    <s v="Research &amp; Development"/>
    <x v="0"/>
    <s v="Asian"/>
    <n v="41"/>
    <x v="527"/>
    <n v="720"/>
    <n v="0"/>
    <x v="1"/>
    <x v="2"/>
  </r>
  <r>
    <x v="551"/>
    <s v="Ayla Cooper"/>
    <x v="32"/>
    <x v="0"/>
    <s v="Corporate"/>
    <x v="1"/>
    <s v="Caucasian"/>
    <n v="56"/>
    <x v="528"/>
    <n v="661"/>
    <n v="0"/>
    <x v="0"/>
    <x v="1"/>
  </r>
  <r>
    <x v="552"/>
    <s v="Eliza Espinoza"/>
    <x v="8"/>
    <x v="5"/>
    <s v="Specialty Products"/>
    <x v="1"/>
    <s v="Latino"/>
    <n v="30"/>
    <x v="529"/>
    <n v="868"/>
    <n v="7.0000000000000007E-2"/>
    <x v="0"/>
    <x v="5"/>
  </r>
  <r>
    <x v="553"/>
    <s v="Axel King"/>
    <x v="21"/>
    <x v="0"/>
    <s v="Manufacturing"/>
    <x v="0"/>
    <s v="Caucasian"/>
    <n v="46"/>
    <x v="530"/>
    <n v="596"/>
    <n v="0"/>
    <x v="0"/>
    <x v="1"/>
  </r>
  <r>
    <x v="554"/>
    <s v="Alexander Carter"/>
    <x v="2"/>
    <x v="2"/>
    <s v="Specialty Products"/>
    <x v="0"/>
    <s v="Caucasian"/>
    <n v="47"/>
    <x v="531"/>
    <n v="804"/>
    <n v="0"/>
    <x v="0"/>
    <x v="3"/>
  </r>
  <r>
    <x v="555"/>
    <s v="Robert Rogers"/>
    <x v="11"/>
    <x v="0"/>
    <s v="Manufacturing"/>
    <x v="0"/>
    <s v="Caucasian"/>
    <n v="53"/>
    <x v="532"/>
    <n v="525"/>
    <n v="0.34"/>
    <x v="0"/>
    <x v="3"/>
  </r>
  <r>
    <x v="556"/>
    <s v="Anthony Gupta"/>
    <x v="18"/>
    <x v="2"/>
    <s v="Specialty Products"/>
    <x v="0"/>
    <s v="Asian"/>
    <n v="38"/>
    <x v="533"/>
    <n v="882"/>
    <n v="0"/>
    <x v="1"/>
    <x v="6"/>
  </r>
  <r>
    <x v="557"/>
    <s v="Jackson Gupta"/>
    <x v="12"/>
    <x v="2"/>
    <s v="Research &amp; Development"/>
    <x v="0"/>
    <s v="Asian"/>
    <n v="65"/>
    <x v="534"/>
    <n v="911"/>
    <n v="0"/>
    <x v="0"/>
    <x v="3"/>
  </r>
  <r>
    <x v="558"/>
    <s v="Sophia Rodriguez"/>
    <x v="30"/>
    <x v="0"/>
    <s v="Specialty Products"/>
    <x v="1"/>
    <s v="Latino"/>
    <n v="58"/>
    <x v="535"/>
    <n v="866"/>
    <n v="0"/>
    <x v="0"/>
    <x v="1"/>
  </r>
  <r>
    <x v="559"/>
    <s v="Cora Patel"/>
    <x v="6"/>
    <x v="3"/>
    <s v="Manufacturing"/>
    <x v="1"/>
    <s v="Asian"/>
    <n v="36"/>
    <x v="536"/>
    <n v="772"/>
    <n v="0"/>
    <x v="0"/>
    <x v="4"/>
  </r>
  <r>
    <x v="560"/>
    <s v="Piper Hsu"/>
    <x v="1"/>
    <x v="3"/>
    <s v="Research &amp; Development"/>
    <x v="1"/>
    <s v="Asian"/>
    <n v="45"/>
    <x v="537"/>
    <n v="658"/>
    <n v="0"/>
    <x v="0"/>
    <x v="4"/>
  </r>
  <r>
    <x v="561"/>
    <s v="Hunter Marquez"/>
    <x v="32"/>
    <x v="0"/>
    <s v="Research &amp; Development"/>
    <x v="0"/>
    <s v="Latino"/>
    <n v="34"/>
    <x v="538"/>
    <n v="638"/>
    <n v="0"/>
    <x v="0"/>
    <x v="1"/>
  </r>
  <r>
    <x v="562"/>
    <s v="Addison Li"/>
    <x v="24"/>
    <x v="6"/>
    <s v="Research &amp; Development"/>
    <x v="1"/>
    <s v="Asian"/>
    <n v="37"/>
    <x v="539"/>
    <n v="726"/>
    <n v="0"/>
    <x v="1"/>
    <x v="9"/>
  </r>
  <r>
    <x v="563"/>
    <s v="Carson Hoang"/>
    <x v="5"/>
    <x v="1"/>
    <s v="Manufacturing"/>
    <x v="0"/>
    <s v="Asian"/>
    <n v="43"/>
    <x v="318"/>
    <n v="681"/>
    <n v="0"/>
    <x v="0"/>
    <x v="1"/>
  </r>
  <r>
    <x v="564"/>
    <s v="Julian Fernandez"/>
    <x v="30"/>
    <x v="0"/>
    <s v="Research &amp; Development"/>
    <x v="0"/>
    <s v="Latino"/>
    <n v="27"/>
    <x v="540"/>
    <n v="510"/>
    <n v="0"/>
    <x v="2"/>
    <x v="10"/>
  </r>
  <r>
    <x v="565"/>
    <s v="Caleb Rojas"/>
    <x v="6"/>
    <x v="1"/>
    <s v="Manufacturing"/>
    <x v="0"/>
    <s v="Latino"/>
    <n v="38"/>
    <x v="541"/>
    <n v="546"/>
    <n v="0"/>
    <x v="0"/>
    <x v="8"/>
  </r>
  <r>
    <x v="566"/>
    <s v="Elizabeth Griffin"/>
    <x v="18"/>
    <x v="2"/>
    <s v="Corporate"/>
    <x v="1"/>
    <s v="Caucasian"/>
    <n v="60"/>
    <x v="542"/>
    <n v="986"/>
    <n v="0"/>
    <x v="0"/>
    <x v="8"/>
  </r>
  <r>
    <x v="567"/>
    <s v="Nolan Han"/>
    <x v="15"/>
    <x v="6"/>
    <s v="Corporate"/>
    <x v="0"/>
    <s v="Asian"/>
    <n v="29"/>
    <x v="504"/>
    <n v="849"/>
    <n v="0"/>
    <x v="0"/>
    <x v="8"/>
  </r>
  <r>
    <x v="568"/>
    <s v="Cameron Romero"/>
    <x v="8"/>
    <x v="1"/>
    <s v="Specialty Products"/>
    <x v="0"/>
    <s v="Latino"/>
    <n v="49"/>
    <x v="543"/>
    <n v="655"/>
    <n v="0.1"/>
    <x v="2"/>
    <x v="12"/>
  </r>
  <r>
    <x v="569"/>
    <s v="Angel Patterson"/>
    <x v="5"/>
    <x v="5"/>
    <s v="Corporate"/>
    <x v="0"/>
    <s v="Black"/>
    <n v="45"/>
    <x v="111"/>
    <n v="991"/>
    <n v="0"/>
    <x v="0"/>
    <x v="0"/>
  </r>
  <r>
    <x v="570"/>
    <s v="Ryan Foster"/>
    <x v="17"/>
    <x v="2"/>
    <s v="Specialty Products"/>
    <x v="0"/>
    <s v="Caucasian"/>
    <n v="44"/>
    <x v="544"/>
    <n v="629"/>
    <n v="0"/>
    <x v="0"/>
    <x v="4"/>
  </r>
  <r>
    <x v="571"/>
    <s v="Leonardo Patterson"/>
    <x v="5"/>
    <x v="4"/>
    <s v="Specialty Products"/>
    <x v="0"/>
    <s v="Caucasian"/>
    <n v="46"/>
    <x v="545"/>
    <n v="607"/>
    <n v="0"/>
    <x v="0"/>
    <x v="0"/>
  </r>
  <r>
    <x v="572"/>
    <s v="William Song"/>
    <x v="4"/>
    <x v="6"/>
    <s v="Research &amp; Development"/>
    <x v="0"/>
    <s v="Asian"/>
    <n v="36"/>
    <x v="546"/>
    <n v="574"/>
    <n v="0.18"/>
    <x v="1"/>
    <x v="6"/>
  </r>
  <r>
    <x v="573"/>
    <s v="Axel Aguilar"/>
    <x v="5"/>
    <x v="3"/>
    <s v="Manufacturing"/>
    <x v="0"/>
    <s v="Latino"/>
    <n v="45"/>
    <x v="547"/>
    <n v="828"/>
    <n v="0"/>
    <x v="2"/>
    <x v="10"/>
  </r>
  <r>
    <x v="574"/>
    <s v="Liam Valdez"/>
    <x v="11"/>
    <x v="6"/>
    <s v="Research &amp; Development"/>
    <x v="0"/>
    <s v="Latino"/>
    <n v="55"/>
    <x v="548"/>
    <n v="622"/>
    <n v="0.33"/>
    <x v="2"/>
    <x v="11"/>
  </r>
  <r>
    <x v="575"/>
    <s v="Hudson Washington"/>
    <x v="18"/>
    <x v="2"/>
    <s v="Specialty Products"/>
    <x v="0"/>
    <s v="Caucasian"/>
    <n v="43"/>
    <x v="549"/>
    <n v="623"/>
    <n v="0"/>
    <x v="0"/>
    <x v="5"/>
  </r>
  <r>
    <x v="576"/>
    <s v="Owen Han"/>
    <x v="6"/>
    <x v="1"/>
    <s v="Specialty Products"/>
    <x v="0"/>
    <s v="Asian"/>
    <n v="30"/>
    <x v="550"/>
    <n v="722"/>
    <n v="0"/>
    <x v="0"/>
    <x v="3"/>
  </r>
  <r>
    <x v="577"/>
    <s v="Harper Washington"/>
    <x v="11"/>
    <x v="5"/>
    <s v="Manufacturing"/>
    <x v="1"/>
    <s v="Caucasian"/>
    <n v="48"/>
    <x v="551"/>
    <n v="525"/>
    <n v="0.34"/>
    <x v="0"/>
    <x v="0"/>
  </r>
  <r>
    <x v="578"/>
    <s v="Brooklyn Parker"/>
    <x v="5"/>
    <x v="5"/>
    <s v="Specialty Products"/>
    <x v="1"/>
    <s v="Black"/>
    <n v="60"/>
    <x v="552"/>
    <n v="980"/>
    <n v="0"/>
    <x v="0"/>
    <x v="5"/>
  </r>
  <r>
    <x v="579"/>
    <s v="Hudson Oh"/>
    <x v="17"/>
    <x v="2"/>
    <s v="Research &amp; Development"/>
    <x v="0"/>
    <s v="Asian"/>
    <n v="30"/>
    <x v="553"/>
    <n v="746"/>
    <n v="0"/>
    <x v="1"/>
    <x v="9"/>
  </r>
  <r>
    <x v="580"/>
    <s v="Maverick Howard"/>
    <x v="17"/>
    <x v="2"/>
    <s v="Specialty Products"/>
    <x v="0"/>
    <s v="Caucasian"/>
    <n v="25"/>
    <x v="554"/>
    <n v="792"/>
    <n v="0"/>
    <x v="0"/>
    <x v="1"/>
  </r>
  <r>
    <x v="581"/>
    <s v="Alexander Dominguez"/>
    <x v="6"/>
    <x v="1"/>
    <s v="Specialty Products"/>
    <x v="0"/>
    <s v="Latino"/>
    <n v="58"/>
    <x v="555"/>
    <n v="653"/>
    <n v="0"/>
    <x v="2"/>
    <x v="10"/>
  </r>
  <r>
    <x v="582"/>
    <s v="Jack Garcia"/>
    <x v="8"/>
    <x v="6"/>
    <s v="Corporate"/>
    <x v="0"/>
    <s v="Latino"/>
    <n v="37"/>
    <x v="556"/>
    <n v="947"/>
    <n v="0.08"/>
    <x v="2"/>
    <x v="10"/>
  </r>
  <r>
    <x v="583"/>
    <s v="Aiden Hu"/>
    <x v="17"/>
    <x v="2"/>
    <s v="Research &amp; Development"/>
    <x v="0"/>
    <s v="Asian"/>
    <n v="44"/>
    <x v="557"/>
    <n v="640"/>
    <n v="0"/>
    <x v="0"/>
    <x v="1"/>
  </r>
  <r>
    <x v="584"/>
    <s v="Cora Espinoza"/>
    <x v="15"/>
    <x v="6"/>
    <s v="Research &amp; Development"/>
    <x v="1"/>
    <s v="Latino"/>
    <n v="53"/>
    <x v="216"/>
    <n v="698"/>
    <n v="0"/>
    <x v="0"/>
    <x v="8"/>
  </r>
  <r>
    <x v="585"/>
    <s v="Naomi Moua"/>
    <x v="4"/>
    <x v="1"/>
    <s v="Specialty Products"/>
    <x v="1"/>
    <s v="Asian"/>
    <n v="58"/>
    <x v="558"/>
    <n v="768"/>
    <n v="0.19"/>
    <x v="0"/>
    <x v="5"/>
  </r>
  <r>
    <x v="586"/>
    <s v="Liam Baker"/>
    <x v="2"/>
    <x v="2"/>
    <s v="Specialty Products"/>
    <x v="0"/>
    <s v="Caucasian"/>
    <n v="65"/>
    <x v="559"/>
    <n v="528"/>
    <n v="0"/>
    <x v="0"/>
    <x v="3"/>
  </r>
  <r>
    <x v="587"/>
    <s v="Christian Liu"/>
    <x v="4"/>
    <x v="3"/>
    <s v="Research &amp; Development"/>
    <x v="0"/>
    <s v="Asian"/>
    <n v="57"/>
    <x v="560"/>
    <n v="510"/>
    <n v="0.22"/>
    <x v="1"/>
    <x v="7"/>
  </r>
  <r>
    <x v="588"/>
    <s v="Aaron Munoz"/>
    <x v="2"/>
    <x v="2"/>
    <s v="Manufacturing"/>
    <x v="0"/>
    <s v="Latino"/>
    <n v="31"/>
    <x v="561"/>
    <n v="892"/>
    <n v="0"/>
    <x v="0"/>
    <x v="5"/>
  </r>
  <r>
    <x v="589"/>
    <s v="Levi Kang"/>
    <x v="25"/>
    <x v="0"/>
    <s v="Manufacturing"/>
    <x v="0"/>
    <s v="Asian"/>
    <n v="32"/>
    <x v="562"/>
    <n v="800"/>
    <n v="0.13"/>
    <x v="1"/>
    <x v="7"/>
  </r>
  <r>
    <x v="590"/>
    <s v="Isaac Foster"/>
    <x v="8"/>
    <x v="3"/>
    <s v="Specialty Products"/>
    <x v="0"/>
    <s v="Caucasian"/>
    <n v="48"/>
    <x v="563"/>
    <n v="794"/>
    <n v="0.09"/>
    <x v="0"/>
    <x v="5"/>
  </r>
  <r>
    <x v="591"/>
    <s v="Samantha Zhu"/>
    <x v="11"/>
    <x v="2"/>
    <s v="Specialty Products"/>
    <x v="1"/>
    <s v="Asian"/>
    <n v="55"/>
    <x v="564"/>
    <n v="706"/>
    <n v="0.3"/>
    <x v="1"/>
    <x v="9"/>
  </r>
  <r>
    <x v="592"/>
    <s v="Vivian Watson"/>
    <x v="30"/>
    <x v="0"/>
    <s v="Specialty Products"/>
    <x v="1"/>
    <s v="Caucasian"/>
    <n v="52"/>
    <x v="565"/>
    <n v="898"/>
    <n v="0"/>
    <x v="0"/>
    <x v="1"/>
  </r>
  <r>
    <x v="593"/>
    <s v="Emery Hernandez"/>
    <x v="30"/>
    <x v="0"/>
    <s v="Research &amp; Development"/>
    <x v="1"/>
    <s v="Latino"/>
    <n v="27"/>
    <x v="566"/>
    <n v="692"/>
    <n v="0"/>
    <x v="2"/>
    <x v="12"/>
  </r>
  <r>
    <x v="594"/>
    <s v="Camila Baker"/>
    <x v="14"/>
    <x v="1"/>
    <s v="Specialty Products"/>
    <x v="1"/>
    <s v="Caucasian"/>
    <n v="36"/>
    <x v="567"/>
    <n v="528"/>
    <n v="0"/>
    <x v="0"/>
    <x v="4"/>
  </r>
  <r>
    <x v="595"/>
    <s v="David Bryant"/>
    <x v="22"/>
    <x v="2"/>
    <s v="Specialty Products"/>
    <x v="0"/>
    <s v="Caucasian"/>
    <n v="36"/>
    <x v="568"/>
    <n v="545"/>
    <n v="0"/>
    <x v="0"/>
    <x v="8"/>
  </r>
  <r>
    <x v="596"/>
    <s v="Miles Perez"/>
    <x v="8"/>
    <x v="1"/>
    <s v="Manufacturing"/>
    <x v="0"/>
    <s v="Latino"/>
    <n v="42"/>
    <x v="569"/>
    <n v="797"/>
    <n v="0.06"/>
    <x v="0"/>
    <x v="8"/>
  </r>
  <r>
    <x v="597"/>
    <s v="Elijah Hill"/>
    <x v="5"/>
    <x v="5"/>
    <s v="Research &amp; Development"/>
    <x v="0"/>
    <s v="Caucasian"/>
    <n v="48"/>
    <x v="570"/>
    <n v="917"/>
    <n v="0"/>
    <x v="0"/>
    <x v="4"/>
  </r>
  <r>
    <x v="598"/>
    <s v="Sofia Shin"/>
    <x v="20"/>
    <x v="2"/>
    <s v="Specialty Products"/>
    <x v="1"/>
    <s v="Asian"/>
    <n v="42"/>
    <x v="571"/>
    <n v="606"/>
    <n v="7.0000000000000007E-2"/>
    <x v="1"/>
    <x v="6"/>
  </r>
  <r>
    <x v="599"/>
    <s v="Ezekiel Lee"/>
    <x v="10"/>
    <x v="6"/>
    <s v="Research &amp; Development"/>
    <x v="0"/>
    <s v="Asian"/>
    <n v="37"/>
    <x v="572"/>
    <n v="923"/>
    <n v="0.15"/>
    <x v="1"/>
    <x v="2"/>
  </r>
  <r>
    <x v="600"/>
    <s v="Nevaeh Truong"/>
    <x v="28"/>
    <x v="2"/>
    <s v="Specialty Products"/>
    <x v="1"/>
    <s v="Asian"/>
    <n v="55"/>
    <x v="573"/>
    <n v="760"/>
    <n v="0"/>
    <x v="0"/>
    <x v="4"/>
  </r>
  <r>
    <x v="601"/>
    <s v="Leah Ali"/>
    <x v="24"/>
    <x v="6"/>
    <s v="Specialty Products"/>
    <x v="1"/>
    <s v="Asian"/>
    <n v="62"/>
    <x v="574"/>
    <n v="748"/>
    <n v="0"/>
    <x v="0"/>
    <x v="3"/>
  </r>
  <r>
    <x v="602"/>
    <s v="Emma Soto"/>
    <x v="10"/>
    <x v="3"/>
    <s v="Specialty Products"/>
    <x v="1"/>
    <s v="Latino"/>
    <n v="29"/>
    <x v="575"/>
    <n v="823"/>
    <n v="0.11"/>
    <x v="0"/>
    <x v="3"/>
  </r>
  <r>
    <x v="603"/>
    <s v="Lydia Marquez"/>
    <x v="10"/>
    <x v="6"/>
    <s v="Corporate"/>
    <x v="1"/>
    <s v="Latino"/>
    <n v="29"/>
    <x v="576"/>
    <n v="965"/>
    <n v="0.1"/>
    <x v="2"/>
    <x v="10"/>
  </r>
  <r>
    <x v="604"/>
    <s v="Cora Munoz"/>
    <x v="11"/>
    <x v="6"/>
    <s v="Manufacturing"/>
    <x v="1"/>
    <s v="Latino"/>
    <n v="45"/>
    <x v="577"/>
    <n v="662"/>
    <n v="0.37"/>
    <x v="0"/>
    <x v="4"/>
  </r>
  <r>
    <x v="605"/>
    <s v="Hudson Ross"/>
    <x v="1"/>
    <x v="5"/>
    <s v="Manufacturing"/>
    <x v="0"/>
    <s v="Caucasian"/>
    <n v="57"/>
    <x v="578"/>
    <n v="729"/>
    <n v="0"/>
    <x v="0"/>
    <x v="4"/>
  </r>
  <r>
    <x v="606"/>
    <s v="Aiden Cheng"/>
    <x v="11"/>
    <x v="5"/>
    <s v="Manufacturing"/>
    <x v="0"/>
    <s v="Asian"/>
    <n v="31"/>
    <x v="579"/>
    <n v="840"/>
    <n v="0.36"/>
    <x v="1"/>
    <x v="2"/>
  </r>
  <r>
    <x v="607"/>
    <s v="Willow Vang"/>
    <x v="5"/>
    <x v="3"/>
    <s v="Manufacturing"/>
    <x v="1"/>
    <s v="Asian"/>
    <n v="31"/>
    <x v="580"/>
    <n v="668"/>
    <n v="0"/>
    <x v="1"/>
    <x v="2"/>
  </r>
  <r>
    <x v="608"/>
    <s v="Jonathan Young"/>
    <x v="1"/>
    <x v="3"/>
    <s v="Manufacturing"/>
    <x v="0"/>
    <s v="Caucasian"/>
    <n v="47"/>
    <x v="581"/>
    <n v="748"/>
    <n v="0"/>
    <x v="0"/>
    <x v="0"/>
  </r>
  <r>
    <x v="609"/>
    <s v="Isaac Rojas"/>
    <x v="7"/>
    <x v="2"/>
    <s v="Manufacturing"/>
    <x v="0"/>
    <s v="Latino"/>
    <n v="60"/>
    <x v="582"/>
    <n v="552"/>
    <n v="0"/>
    <x v="0"/>
    <x v="4"/>
  </r>
  <r>
    <x v="610"/>
    <s v="Dylan Guzman"/>
    <x v="31"/>
    <x v="0"/>
    <s v="Research &amp; Development"/>
    <x v="0"/>
    <s v="Latino"/>
    <n v="42"/>
    <x v="583"/>
    <n v="894"/>
    <n v="0"/>
    <x v="2"/>
    <x v="11"/>
  </r>
  <r>
    <x v="611"/>
    <s v="Sarah Shin"/>
    <x v="11"/>
    <x v="2"/>
    <s v="Manufacturing"/>
    <x v="1"/>
    <s v="Asian"/>
    <n v="26"/>
    <x v="584"/>
    <n v="900"/>
    <n v="0.31"/>
    <x v="0"/>
    <x v="1"/>
  </r>
  <r>
    <x v="612"/>
    <s v="Michael Johnson"/>
    <x v="8"/>
    <x v="4"/>
    <s v="Corporate"/>
    <x v="0"/>
    <s v="Caucasian"/>
    <n v="57"/>
    <x v="585"/>
    <n v="677"/>
    <n v="0.1"/>
    <x v="0"/>
    <x v="8"/>
  </r>
  <r>
    <x v="613"/>
    <s v="Riley Vega"/>
    <x v="4"/>
    <x v="0"/>
    <s v="Research &amp; Development"/>
    <x v="1"/>
    <s v="Latino"/>
    <n v="25"/>
    <x v="586"/>
    <n v="962"/>
    <n v="0.16"/>
    <x v="2"/>
    <x v="12"/>
  </r>
  <r>
    <x v="614"/>
    <s v="Benjamin Ali"/>
    <x v="15"/>
    <x v="6"/>
    <s v="Corporate"/>
    <x v="0"/>
    <s v="Asian"/>
    <n v="53"/>
    <x v="587"/>
    <n v="567"/>
    <n v="0"/>
    <x v="0"/>
    <x v="3"/>
  </r>
  <r>
    <x v="615"/>
    <s v="Ezekiel Cooper"/>
    <x v="4"/>
    <x v="2"/>
    <s v="Specialty Products"/>
    <x v="0"/>
    <s v="Black"/>
    <n v="43"/>
    <x v="588"/>
    <n v="938"/>
    <n v="0.25"/>
    <x v="0"/>
    <x v="1"/>
  </r>
  <r>
    <x v="616"/>
    <s v="Lyla Walker"/>
    <x v="1"/>
    <x v="3"/>
    <s v="Corporate"/>
    <x v="1"/>
    <s v="Caucasian"/>
    <n v="49"/>
    <x v="468"/>
    <n v="812"/>
    <n v="0"/>
    <x v="0"/>
    <x v="1"/>
  </r>
  <r>
    <x v="617"/>
    <s v="Aria Cheng"/>
    <x v="15"/>
    <x v="6"/>
    <s v="Research &amp; Development"/>
    <x v="1"/>
    <s v="Asian"/>
    <n v="61"/>
    <x v="589"/>
    <n v="706"/>
    <n v="0"/>
    <x v="0"/>
    <x v="0"/>
  </r>
  <r>
    <x v="618"/>
    <s v="Christopher Ramirez"/>
    <x v="25"/>
    <x v="0"/>
    <s v="Research &amp; Development"/>
    <x v="0"/>
    <s v="Latino"/>
    <n v="41"/>
    <x v="590"/>
    <n v="579"/>
    <n v="0.1"/>
    <x v="0"/>
    <x v="5"/>
  </r>
  <r>
    <x v="619"/>
    <s v="Emily Roberts"/>
    <x v="28"/>
    <x v="2"/>
    <s v="Manufacturing"/>
    <x v="1"/>
    <s v="Caucasian"/>
    <n v="56"/>
    <x v="591"/>
    <n v="743"/>
    <n v="0"/>
    <x v="0"/>
    <x v="8"/>
  </r>
  <r>
    <x v="620"/>
    <s v="Nathan Parker"/>
    <x v="25"/>
    <x v="0"/>
    <s v="Specialty Products"/>
    <x v="0"/>
    <s v="Caucasian"/>
    <n v="49"/>
    <x v="592"/>
    <n v="579"/>
    <n v="0.1"/>
    <x v="0"/>
    <x v="0"/>
  </r>
  <r>
    <x v="621"/>
    <s v="Nora Her"/>
    <x v="26"/>
    <x v="0"/>
    <s v="Specialty Products"/>
    <x v="1"/>
    <s v="Asian"/>
    <n v="32"/>
    <x v="593"/>
    <n v="583"/>
    <n v="0"/>
    <x v="1"/>
    <x v="9"/>
  </r>
  <r>
    <x v="622"/>
    <s v="Mia Brown"/>
    <x v="6"/>
    <x v="3"/>
    <s v="Corporate"/>
    <x v="1"/>
    <s v="Caucasian"/>
    <n v="30"/>
    <x v="594"/>
    <n v="925"/>
    <n v="0"/>
    <x v="0"/>
    <x v="3"/>
  </r>
  <r>
    <x v="623"/>
    <s v="Hunter Hu"/>
    <x v="8"/>
    <x v="4"/>
    <s v="Specialty Products"/>
    <x v="0"/>
    <s v="Asian"/>
    <n v="64"/>
    <x v="595"/>
    <n v="538"/>
    <n v="0.05"/>
    <x v="0"/>
    <x v="8"/>
  </r>
  <r>
    <x v="624"/>
    <s v="Luke Acosta"/>
    <x v="28"/>
    <x v="2"/>
    <s v="Specialty Products"/>
    <x v="0"/>
    <s v="Latino"/>
    <n v="57"/>
    <x v="596"/>
    <n v="891"/>
    <n v="0"/>
    <x v="2"/>
    <x v="11"/>
  </r>
  <r>
    <x v="625"/>
    <s v="Sophia Griffin"/>
    <x v="11"/>
    <x v="5"/>
    <s v="Specialty Products"/>
    <x v="1"/>
    <s v="Caucasian"/>
    <n v="50"/>
    <x v="597"/>
    <n v="880"/>
    <n v="0.35"/>
    <x v="0"/>
    <x v="8"/>
  </r>
  <r>
    <x v="626"/>
    <s v="Anthony Chu"/>
    <x v="8"/>
    <x v="1"/>
    <s v="Manufacturing"/>
    <x v="0"/>
    <s v="Asian"/>
    <n v="61"/>
    <x v="598"/>
    <n v="919"/>
    <n v="0.09"/>
    <x v="0"/>
    <x v="3"/>
  </r>
  <r>
    <x v="627"/>
    <s v="Landon Ha"/>
    <x v="8"/>
    <x v="4"/>
    <s v="Manufacturing"/>
    <x v="0"/>
    <s v="Asian"/>
    <n v="43"/>
    <x v="599"/>
    <n v="857"/>
    <n v="0.1"/>
    <x v="1"/>
    <x v="6"/>
  </r>
  <r>
    <x v="628"/>
    <s v="Layla Kang"/>
    <x v="8"/>
    <x v="5"/>
    <s v="Research &amp; Development"/>
    <x v="1"/>
    <s v="Asian"/>
    <n v="26"/>
    <x v="600"/>
    <n v="998"/>
    <n v="0.09"/>
    <x v="0"/>
    <x v="0"/>
  </r>
  <r>
    <x v="629"/>
    <s v="Cora Xu"/>
    <x v="2"/>
    <x v="2"/>
    <s v="Manufacturing"/>
    <x v="1"/>
    <s v="Asian"/>
    <n v="54"/>
    <x v="601"/>
    <n v="832"/>
    <n v="0"/>
    <x v="0"/>
    <x v="4"/>
  </r>
  <r>
    <x v="630"/>
    <s v="Rylee Campos"/>
    <x v="8"/>
    <x v="4"/>
    <s v="Research &amp; Development"/>
    <x v="1"/>
    <s v="Latino"/>
    <n v="49"/>
    <x v="602"/>
    <n v="799"/>
    <n v="0.08"/>
    <x v="0"/>
    <x v="3"/>
  </r>
  <r>
    <x v="631"/>
    <s v="Amelia Foster"/>
    <x v="6"/>
    <x v="1"/>
    <s v="Research &amp; Development"/>
    <x v="1"/>
    <s v="Caucasian"/>
    <n v="32"/>
    <x v="603"/>
    <n v="963"/>
    <n v="0"/>
    <x v="0"/>
    <x v="0"/>
  </r>
  <r>
    <x v="632"/>
    <s v="Hadley Rios"/>
    <x v="10"/>
    <x v="1"/>
    <s v="Research &amp; Development"/>
    <x v="1"/>
    <s v="Latino"/>
    <n v="62"/>
    <x v="604"/>
    <n v="688"/>
    <n v="0.15"/>
    <x v="0"/>
    <x v="0"/>
  </r>
  <r>
    <x v="633"/>
    <s v="Luna Chang"/>
    <x v="17"/>
    <x v="2"/>
    <s v="Specialty Products"/>
    <x v="1"/>
    <s v="Asian"/>
    <n v="64"/>
    <x v="310"/>
    <n v="782"/>
    <n v="0"/>
    <x v="1"/>
    <x v="7"/>
  </r>
  <r>
    <x v="634"/>
    <s v="Mia Navarro"/>
    <x v="13"/>
    <x v="2"/>
    <s v="Research &amp; Development"/>
    <x v="1"/>
    <s v="Latino"/>
    <n v="52"/>
    <x v="605"/>
    <n v="709"/>
    <n v="0"/>
    <x v="2"/>
    <x v="11"/>
  </r>
  <r>
    <x v="635"/>
    <s v="Nova Rios"/>
    <x v="10"/>
    <x v="6"/>
    <s v="Specialty Products"/>
    <x v="1"/>
    <s v="Latino"/>
    <n v="42"/>
    <x v="606"/>
    <n v="785"/>
    <n v="0.12"/>
    <x v="0"/>
    <x v="4"/>
  </r>
  <r>
    <x v="636"/>
    <s v="Theodore Truong"/>
    <x v="24"/>
    <x v="6"/>
    <s v="Corporate"/>
    <x v="0"/>
    <s v="Asian"/>
    <n v="45"/>
    <x v="420"/>
    <n v="967"/>
    <n v="0"/>
    <x v="1"/>
    <x v="9"/>
  </r>
  <r>
    <x v="637"/>
    <s v="Asher Ly"/>
    <x v="6"/>
    <x v="1"/>
    <s v="Corporate"/>
    <x v="0"/>
    <s v="Asian"/>
    <n v="65"/>
    <x v="607"/>
    <n v="689"/>
    <n v="0"/>
    <x v="0"/>
    <x v="4"/>
  </r>
  <r>
    <x v="638"/>
    <s v="Madeline Doan"/>
    <x v="8"/>
    <x v="6"/>
    <s v="Corporate"/>
    <x v="1"/>
    <s v="Asian"/>
    <n v="46"/>
    <x v="608"/>
    <n v="694"/>
    <n v="0.08"/>
    <x v="1"/>
    <x v="7"/>
  </r>
  <r>
    <x v="639"/>
    <s v="Scarlett Rodriguez"/>
    <x v="22"/>
    <x v="2"/>
    <s v="Corporate"/>
    <x v="1"/>
    <s v="Latino"/>
    <n v="64"/>
    <x v="609"/>
    <n v="569"/>
    <n v="0"/>
    <x v="2"/>
    <x v="12"/>
  </r>
  <r>
    <x v="640"/>
    <s v="Zoey Lu"/>
    <x v="11"/>
    <x v="5"/>
    <s v="Manufacturing"/>
    <x v="1"/>
    <s v="Asian"/>
    <n v="45"/>
    <x v="535"/>
    <n v="837"/>
    <n v="0.37"/>
    <x v="0"/>
    <x v="1"/>
  </r>
  <r>
    <x v="641"/>
    <s v="Mila Cheung"/>
    <x v="19"/>
    <x v="2"/>
    <s v="Specialty Products"/>
    <x v="1"/>
    <s v="Asian"/>
    <n v="32"/>
    <x v="610"/>
    <n v="798"/>
    <n v="0"/>
    <x v="0"/>
    <x v="5"/>
  </r>
  <r>
    <x v="642"/>
    <s v="Lucy Mai"/>
    <x v="4"/>
    <x v="0"/>
    <s v="Corporate"/>
    <x v="1"/>
    <s v="Asian"/>
    <n v="56"/>
    <x v="320"/>
    <n v="555"/>
    <n v="0.18"/>
    <x v="0"/>
    <x v="1"/>
  </r>
  <r>
    <x v="643"/>
    <s v="Benjamin Luu"/>
    <x v="9"/>
    <x v="2"/>
    <s v="Corporate"/>
    <x v="0"/>
    <s v="Asian"/>
    <n v="46"/>
    <x v="611"/>
    <n v="839"/>
    <n v="0"/>
    <x v="0"/>
    <x v="4"/>
  </r>
  <r>
    <x v="644"/>
    <s v="Mia Navarro"/>
    <x v="11"/>
    <x v="6"/>
    <s v="Corporate"/>
    <x v="1"/>
    <s v="Latino"/>
    <n v="26"/>
    <x v="612"/>
    <n v="860"/>
    <n v="0.4"/>
    <x v="0"/>
    <x v="1"/>
  </r>
  <r>
    <x v="645"/>
    <s v="Maya Watson"/>
    <x v="8"/>
    <x v="6"/>
    <s v="Specialty Products"/>
    <x v="1"/>
    <s v="Caucasian"/>
    <n v="59"/>
    <x v="613"/>
    <n v="885"/>
    <n v="0.06"/>
    <x v="0"/>
    <x v="5"/>
  </r>
  <r>
    <x v="646"/>
    <s v="Jack Adams"/>
    <x v="7"/>
    <x v="2"/>
    <s v="Corporate"/>
    <x v="0"/>
    <s v="Black"/>
    <n v="50"/>
    <x v="614"/>
    <n v="909"/>
    <n v="0"/>
    <x v="0"/>
    <x v="8"/>
  </r>
  <r>
    <x v="647"/>
    <s v="Gabriella Jordan"/>
    <x v="16"/>
    <x v="0"/>
    <s v="Research &amp; Development"/>
    <x v="1"/>
    <s v="Caucasian"/>
    <n v="32"/>
    <x v="615"/>
    <n v="844"/>
    <n v="0"/>
    <x v="0"/>
    <x v="8"/>
  </r>
  <r>
    <x v="648"/>
    <s v="Jonathan Torres"/>
    <x v="1"/>
    <x v="4"/>
    <s v="Manufacturing"/>
    <x v="0"/>
    <s v="Latino"/>
    <n v="56"/>
    <x v="616"/>
    <n v="858"/>
    <n v="0"/>
    <x v="2"/>
    <x v="12"/>
  </r>
  <r>
    <x v="649"/>
    <s v="Samuel Xu"/>
    <x v="31"/>
    <x v="0"/>
    <s v="Research &amp; Development"/>
    <x v="0"/>
    <s v="Asian"/>
    <n v="32"/>
    <x v="617"/>
    <n v="689"/>
    <n v="0"/>
    <x v="1"/>
    <x v="7"/>
  </r>
  <r>
    <x v="650"/>
    <s v="Ezekiel Lai"/>
    <x v="1"/>
    <x v="5"/>
    <s v="Manufacturing"/>
    <x v="0"/>
    <s v="Asian"/>
    <n v="45"/>
    <x v="618"/>
    <n v="892"/>
    <n v="0"/>
    <x v="1"/>
    <x v="7"/>
  </r>
  <r>
    <x v="651"/>
    <s v="Levi Rahman"/>
    <x v="10"/>
    <x v="5"/>
    <s v="Corporate"/>
    <x v="0"/>
    <s v="Asian"/>
    <n v="43"/>
    <x v="619"/>
    <n v="925"/>
    <n v="0.13"/>
    <x v="0"/>
    <x v="4"/>
  </r>
  <r>
    <x v="652"/>
    <s v="Madison Phan"/>
    <x v="8"/>
    <x v="2"/>
    <s v="Specialty Products"/>
    <x v="1"/>
    <s v="Asian"/>
    <n v="45"/>
    <x v="620"/>
    <n v="609"/>
    <n v="0.06"/>
    <x v="0"/>
    <x v="4"/>
  </r>
  <r>
    <x v="653"/>
    <s v="Andrew Pham"/>
    <x v="1"/>
    <x v="3"/>
    <s v="Specialty Products"/>
    <x v="0"/>
    <s v="Asian"/>
    <n v="38"/>
    <x v="621"/>
    <n v="672"/>
    <n v="0"/>
    <x v="0"/>
    <x v="0"/>
  </r>
  <r>
    <x v="654"/>
    <s v="Clara Ford"/>
    <x v="6"/>
    <x v="1"/>
    <s v="Research &amp; Development"/>
    <x v="1"/>
    <s v="Caucasian"/>
    <n v="46"/>
    <x v="622"/>
    <n v="955"/>
    <n v="0"/>
    <x v="0"/>
    <x v="3"/>
  </r>
  <r>
    <x v="655"/>
    <s v="Christopher Chau"/>
    <x v="3"/>
    <x v="2"/>
    <s v="Research &amp; Development"/>
    <x v="0"/>
    <s v="Asian"/>
    <n v="26"/>
    <x v="623"/>
    <n v="904"/>
    <n v="0"/>
    <x v="0"/>
    <x v="0"/>
  </r>
  <r>
    <x v="656"/>
    <s v="Madeline Guerrero"/>
    <x v="31"/>
    <x v="0"/>
    <s v="Corporate"/>
    <x v="1"/>
    <s v="Latino"/>
    <n v="27"/>
    <x v="624"/>
    <n v="522"/>
    <n v="0"/>
    <x v="2"/>
    <x v="11"/>
  </r>
  <r>
    <x v="657"/>
    <s v="Harper Yee"/>
    <x v="7"/>
    <x v="2"/>
    <s v="Manufacturing"/>
    <x v="1"/>
    <s v="Asian"/>
    <n v="48"/>
    <x v="625"/>
    <n v="679"/>
    <n v="0"/>
    <x v="1"/>
    <x v="7"/>
  </r>
  <r>
    <x v="658"/>
    <s v="Mia Thomas"/>
    <x v="8"/>
    <x v="6"/>
    <s v="Corporate"/>
    <x v="1"/>
    <s v="Caucasian"/>
    <n v="57"/>
    <x v="626"/>
    <n v="832"/>
    <n v="0.06"/>
    <x v="0"/>
    <x v="5"/>
  </r>
  <r>
    <x v="659"/>
    <s v="Owen Nelson"/>
    <x v="25"/>
    <x v="0"/>
    <s v="Specialty Products"/>
    <x v="0"/>
    <s v="Caucasian"/>
    <n v="58"/>
    <x v="627"/>
    <n v="701"/>
    <n v="0.13"/>
    <x v="0"/>
    <x v="1"/>
  </r>
  <r>
    <x v="660"/>
    <s v="Aiden Evans"/>
    <x v="8"/>
    <x v="4"/>
    <s v="Corporate"/>
    <x v="0"/>
    <s v="Caucasian"/>
    <n v="48"/>
    <x v="628"/>
    <n v="845"/>
    <n v="0.05"/>
    <x v="0"/>
    <x v="0"/>
  </r>
  <r>
    <x v="661"/>
    <s v="Josiah Lai"/>
    <x v="10"/>
    <x v="6"/>
    <s v="Research &amp; Development"/>
    <x v="0"/>
    <s v="Asian"/>
    <n v="54"/>
    <x v="629"/>
    <n v="555"/>
    <n v="0.12"/>
    <x v="1"/>
    <x v="6"/>
  </r>
  <r>
    <x v="662"/>
    <s v="Jameson Yee"/>
    <x v="19"/>
    <x v="2"/>
    <s v="Research &amp; Development"/>
    <x v="0"/>
    <s v="Asian"/>
    <n v="29"/>
    <x v="630"/>
    <n v="556"/>
    <n v="0"/>
    <x v="0"/>
    <x v="3"/>
  </r>
  <r>
    <x v="663"/>
    <s v="Serenity Her"/>
    <x v="4"/>
    <x v="3"/>
    <s v="Specialty Products"/>
    <x v="1"/>
    <s v="Asian"/>
    <n v="50"/>
    <x v="631"/>
    <n v="871"/>
    <n v="0.15"/>
    <x v="0"/>
    <x v="4"/>
  </r>
  <r>
    <x v="664"/>
    <s v="Ariana Turner"/>
    <x v="6"/>
    <x v="3"/>
    <s v="Research &amp; Development"/>
    <x v="1"/>
    <s v="Caucasian"/>
    <n v="49"/>
    <x v="632"/>
    <n v="871"/>
    <n v="0"/>
    <x v="0"/>
    <x v="8"/>
  </r>
  <r>
    <x v="665"/>
    <s v="Jacob Cooper"/>
    <x v="22"/>
    <x v="2"/>
    <s v="Research &amp; Development"/>
    <x v="0"/>
    <s v="Caucasian"/>
    <n v="64"/>
    <x v="580"/>
    <n v="575"/>
    <n v="0"/>
    <x v="0"/>
    <x v="3"/>
  </r>
  <r>
    <x v="666"/>
    <s v="Christopher Dominguez"/>
    <x v="4"/>
    <x v="5"/>
    <s v="Research &amp; Development"/>
    <x v="0"/>
    <s v="Latino"/>
    <n v="36"/>
    <x v="633"/>
    <n v="755"/>
    <n v="0.17"/>
    <x v="2"/>
    <x v="12"/>
  </r>
  <r>
    <x v="667"/>
    <s v="Nevaeh Lim"/>
    <x v="0"/>
    <x v="0"/>
    <s v="Corporate"/>
    <x v="1"/>
    <s v="Asian"/>
    <n v="55"/>
    <x v="634"/>
    <n v="787"/>
    <n v="0"/>
    <x v="1"/>
    <x v="6"/>
  </r>
  <r>
    <x v="668"/>
    <s v="Dominic Cheng"/>
    <x v="4"/>
    <x v="0"/>
    <s v="Corporate"/>
    <x v="0"/>
    <s v="Asian"/>
    <n v="53"/>
    <x v="167"/>
    <n v="673"/>
    <n v="0.27"/>
    <x v="1"/>
    <x v="9"/>
  </r>
  <r>
    <x v="669"/>
    <s v="Serenity Rodriguez"/>
    <x v="4"/>
    <x v="4"/>
    <s v="Corporate"/>
    <x v="1"/>
    <s v="Latino"/>
    <n v="54"/>
    <x v="182"/>
    <n v="714"/>
    <n v="0.15"/>
    <x v="0"/>
    <x v="0"/>
  </r>
  <r>
    <x v="670"/>
    <s v="Caleb Thompson"/>
    <x v="9"/>
    <x v="2"/>
    <s v="Manufacturing"/>
    <x v="0"/>
    <s v="Caucasian"/>
    <n v="41"/>
    <x v="635"/>
    <n v="666"/>
    <n v="0"/>
    <x v="0"/>
    <x v="8"/>
  </r>
  <r>
    <x v="671"/>
    <s v="Luke Avila"/>
    <x v="11"/>
    <x v="3"/>
    <s v="Corporate"/>
    <x v="0"/>
    <s v="Latino"/>
    <n v="27"/>
    <x v="636"/>
    <n v="545"/>
    <n v="0.38"/>
    <x v="2"/>
    <x v="12"/>
  </r>
  <r>
    <x v="672"/>
    <s v="Sadie Chin"/>
    <x v="11"/>
    <x v="6"/>
    <s v="Specialty Products"/>
    <x v="1"/>
    <s v="Asian"/>
    <n v="51"/>
    <x v="637"/>
    <n v="937"/>
    <n v="0.35"/>
    <x v="0"/>
    <x v="4"/>
  </r>
  <r>
    <x v="673"/>
    <s v="Everett Le"/>
    <x v="11"/>
    <x v="3"/>
    <s v="Corporate"/>
    <x v="0"/>
    <s v="Asian"/>
    <n v="45"/>
    <x v="638"/>
    <n v="837"/>
    <n v="0.34"/>
    <x v="1"/>
    <x v="2"/>
  </r>
  <r>
    <x v="674"/>
    <s v="Carson Santos"/>
    <x v="29"/>
    <x v="1"/>
    <s v="Corporate"/>
    <x v="0"/>
    <s v="Latino"/>
    <n v="34"/>
    <x v="639"/>
    <n v="752"/>
    <n v="0"/>
    <x v="2"/>
    <x v="11"/>
  </r>
  <r>
    <x v="675"/>
    <s v="Natalie Ho"/>
    <x v="6"/>
    <x v="4"/>
    <s v="Research &amp; Development"/>
    <x v="1"/>
    <s v="Asian"/>
    <n v="33"/>
    <x v="640"/>
    <n v="754"/>
    <n v="0"/>
    <x v="1"/>
    <x v="6"/>
  </r>
  <r>
    <x v="676"/>
    <s v="Natalia Hall"/>
    <x v="6"/>
    <x v="3"/>
    <s v="Research &amp; Development"/>
    <x v="1"/>
    <s v="Caucasian"/>
    <n v="37"/>
    <x v="641"/>
    <n v="690"/>
    <n v="0"/>
    <x v="0"/>
    <x v="4"/>
  </r>
  <r>
    <x v="677"/>
    <s v="Zoey Ahmed"/>
    <x v="31"/>
    <x v="0"/>
    <s v="Specialty Products"/>
    <x v="1"/>
    <s v="Asian"/>
    <n v="56"/>
    <x v="642"/>
    <n v="675"/>
    <n v="0"/>
    <x v="0"/>
    <x v="3"/>
  </r>
  <r>
    <x v="678"/>
    <s v="Santiago f Turner"/>
    <x v="29"/>
    <x v="1"/>
    <s v="Research &amp; Development"/>
    <x v="0"/>
    <s v="Caucasian"/>
    <n v="46"/>
    <x v="643"/>
    <n v="752"/>
    <n v="0"/>
    <x v="0"/>
    <x v="5"/>
  </r>
  <r>
    <x v="679"/>
    <s v="Jacob Alexander"/>
    <x v="15"/>
    <x v="6"/>
    <s v="Specialty Products"/>
    <x v="0"/>
    <s v="Caucasian"/>
    <n v="45"/>
    <x v="644"/>
    <n v="955"/>
    <n v="0"/>
    <x v="0"/>
    <x v="8"/>
  </r>
  <r>
    <x v="680"/>
    <s v="Christopher Aguilar"/>
    <x v="19"/>
    <x v="2"/>
    <s v="Manufacturing"/>
    <x v="0"/>
    <s v="Latino"/>
    <n v="32"/>
    <x v="645"/>
    <n v="915"/>
    <n v="0"/>
    <x v="0"/>
    <x v="0"/>
  </r>
  <r>
    <x v="681"/>
    <s v="Vivian Jackson"/>
    <x v="10"/>
    <x v="3"/>
    <s v="Corporate"/>
    <x v="1"/>
    <s v="Black"/>
    <n v="51"/>
    <x v="646"/>
    <n v="705"/>
    <n v="0.13"/>
    <x v="0"/>
    <x v="0"/>
  </r>
  <r>
    <x v="682"/>
    <s v="Leonardo Jenkins"/>
    <x v="12"/>
    <x v="2"/>
    <s v="Research &amp; Development"/>
    <x v="0"/>
    <s v="Caucasian"/>
    <n v="29"/>
    <x v="647"/>
    <n v="1000"/>
    <n v="0"/>
    <x v="0"/>
    <x v="8"/>
  </r>
  <r>
    <x v="683"/>
    <s v="Oliver Hunter"/>
    <x v="12"/>
    <x v="2"/>
    <s v="Manufacturing"/>
    <x v="0"/>
    <s v="Caucasian"/>
    <n v="38"/>
    <x v="648"/>
    <n v="947"/>
    <n v="0"/>
    <x v="0"/>
    <x v="8"/>
  </r>
  <r>
    <x v="684"/>
    <s v="Ayla Brooks"/>
    <x v="1"/>
    <x v="3"/>
    <s v="Corporate"/>
    <x v="1"/>
    <s v="Caucasian"/>
    <n v="58"/>
    <x v="649"/>
    <n v="991"/>
    <n v="0"/>
    <x v="0"/>
    <x v="8"/>
  </r>
  <r>
    <x v="685"/>
    <s v="Willow Chau"/>
    <x v="30"/>
    <x v="0"/>
    <s v="Corporate"/>
    <x v="1"/>
    <s v="Asian"/>
    <n v="45"/>
    <x v="8"/>
    <n v="759"/>
    <n v="0"/>
    <x v="0"/>
    <x v="4"/>
  </r>
  <r>
    <x v="686"/>
    <s v="Kai Shin"/>
    <x v="5"/>
    <x v="1"/>
    <s v="Specialty Products"/>
    <x v="0"/>
    <s v="Asian"/>
    <n v="49"/>
    <x v="188"/>
    <n v="620"/>
    <n v="0"/>
    <x v="0"/>
    <x v="3"/>
  </r>
  <r>
    <x v="687"/>
    <s v="Liliana Zhao"/>
    <x v="4"/>
    <x v="6"/>
    <s v="Corporate"/>
    <x v="1"/>
    <s v="Asian"/>
    <n v="50"/>
    <x v="650"/>
    <n v="808"/>
    <n v="0.24"/>
    <x v="0"/>
    <x v="8"/>
  </r>
  <r>
    <x v="688"/>
    <s v="Aiden Carter"/>
    <x v="28"/>
    <x v="2"/>
    <s v="Manufacturing"/>
    <x v="0"/>
    <s v="Caucasian"/>
    <n v="32"/>
    <x v="651"/>
    <n v="695"/>
    <n v="0"/>
    <x v="0"/>
    <x v="1"/>
  </r>
  <r>
    <x v="689"/>
    <s v="Christopher Song"/>
    <x v="21"/>
    <x v="0"/>
    <s v="Manufacturing"/>
    <x v="0"/>
    <s v="Asian"/>
    <n v="29"/>
    <x v="652"/>
    <n v="785"/>
    <n v="0"/>
    <x v="0"/>
    <x v="5"/>
  </r>
  <r>
    <x v="690"/>
    <s v="Charles Luu"/>
    <x v="19"/>
    <x v="2"/>
    <s v="Corporate"/>
    <x v="0"/>
    <s v="Asian"/>
    <n v="34"/>
    <x v="653"/>
    <n v="505"/>
    <n v="0"/>
    <x v="1"/>
    <x v="7"/>
  </r>
  <r>
    <x v="691"/>
    <s v="Kayden Dinh"/>
    <x v="10"/>
    <x v="6"/>
    <s v="Manufacturing"/>
    <x v="0"/>
    <s v="Asian"/>
    <n v="50"/>
    <x v="654"/>
    <n v="523"/>
    <n v="0.15"/>
    <x v="1"/>
    <x v="9"/>
  </r>
  <r>
    <x v="692"/>
    <s v="Valentina Zhang"/>
    <x v="9"/>
    <x v="2"/>
    <s v="Manufacturing"/>
    <x v="1"/>
    <s v="Asian"/>
    <n v="27"/>
    <x v="655"/>
    <n v="697"/>
    <n v="0"/>
    <x v="0"/>
    <x v="1"/>
  </r>
  <r>
    <x v="693"/>
    <s v="Alexander Perez"/>
    <x v="31"/>
    <x v="0"/>
    <s v="Specialty Products"/>
    <x v="0"/>
    <s v="Latino"/>
    <n v="60"/>
    <x v="656"/>
    <n v="802"/>
    <n v="0"/>
    <x v="2"/>
    <x v="10"/>
  </r>
  <r>
    <x v="694"/>
    <s v="Everleigh Kumar"/>
    <x v="8"/>
    <x v="2"/>
    <s v="Manufacturing"/>
    <x v="1"/>
    <s v="Asian"/>
    <n v="65"/>
    <x v="657"/>
    <n v="740"/>
    <n v="7.0000000000000007E-2"/>
    <x v="0"/>
    <x v="3"/>
  </r>
  <r>
    <x v="695"/>
    <s v="Santiago f Xiong"/>
    <x v="8"/>
    <x v="1"/>
    <s v="Manufacturing"/>
    <x v="0"/>
    <s v="Asian"/>
    <n v="43"/>
    <x v="658"/>
    <n v="610"/>
    <n v="7.0000000000000007E-2"/>
    <x v="1"/>
    <x v="2"/>
  </r>
  <r>
    <x v="696"/>
    <s v="Elizabeth Powell"/>
    <x v="10"/>
    <x v="5"/>
    <s v="Research &amp; Development"/>
    <x v="1"/>
    <s v="Caucasian"/>
    <n v="45"/>
    <x v="659"/>
    <n v="842"/>
    <n v="0.14000000000000001"/>
    <x v="0"/>
    <x v="0"/>
  </r>
  <r>
    <x v="697"/>
    <s v="Lucas Yang"/>
    <x v="27"/>
    <x v="2"/>
    <s v="Corporate"/>
    <x v="0"/>
    <s v="Asian"/>
    <n v="28"/>
    <x v="660"/>
    <n v="717"/>
    <n v="0"/>
    <x v="0"/>
    <x v="4"/>
  </r>
  <r>
    <x v="698"/>
    <s v="John Richardson"/>
    <x v="20"/>
    <x v="2"/>
    <s v="Manufacturing"/>
    <x v="0"/>
    <s v="Caucasian"/>
    <n v="34"/>
    <x v="661"/>
    <n v="874"/>
    <n v="0.09"/>
    <x v="0"/>
    <x v="5"/>
  </r>
  <r>
    <x v="699"/>
    <s v="Miles Ross"/>
    <x v="17"/>
    <x v="2"/>
    <s v="Specialty Products"/>
    <x v="0"/>
    <s v="Black"/>
    <n v="31"/>
    <x v="662"/>
    <n v="681"/>
    <n v="0"/>
    <x v="0"/>
    <x v="8"/>
  </r>
  <r>
    <x v="700"/>
    <s v="Jonathan Santos"/>
    <x v="11"/>
    <x v="1"/>
    <s v="Specialty Products"/>
    <x v="0"/>
    <s v="Latino"/>
    <n v="29"/>
    <x v="663"/>
    <n v="955"/>
    <n v="0.38"/>
    <x v="0"/>
    <x v="1"/>
  </r>
  <r>
    <x v="701"/>
    <s v="Joshua Maldonado"/>
    <x v="29"/>
    <x v="1"/>
    <s v="Research &amp; Development"/>
    <x v="0"/>
    <s v="Latino"/>
    <n v="49"/>
    <x v="664"/>
    <n v="735"/>
    <n v="0"/>
    <x v="0"/>
    <x v="1"/>
  </r>
  <r>
    <x v="702"/>
    <s v="Santiago f Vo"/>
    <x v="4"/>
    <x v="1"/>
    <s v="Manufacturing"/>
    <x v="0"/>
    <s v="Asian"/>
    <n v="47"/>
    <x v="394"/>
    <n v="555"/>
    <n v="0.23"/>
    <x v="0"/>
    <x v="0"/>
  </r>
  <r>
    <x v="703"/>
    <s v="Leilani Martin"/>
    <x v="10"/>
    <x v="2"/>
    <s v="Corporate"/>
    <x v="1"/>
    <s v="Caucasian"/>
    <n v="56"/>
    <x v="665"/>
    <n v="589"/>
    <n v="0.1"/>
    <x v="0"/>
    <x v="1"/>
  </r>
  <r>
    <x v="704"/>
    <s v="Luca Xiong"/>
    <x v="14"/>
    <x v="1"/>
    <s v="Specialty Products"/>
    <x v="0"/>
    <s v="Asian"/>
    <n v="52"/>
    <x v="666"/>
    <n v="831"/>
    <n v="0"/>
    <x v="1"/>
    <x v="9"/>
  </r>
  <r>
    <x v="705"/>
    <s v="Valentina Campos"/>
    <x v="7"/>
    <x v="2"/>
    <s v="Manufacturing"/>
    <x v="1"/>
    <s v="Latino"/>
    <n v="37"/>
    <x v="667"/>
    <n v="965"/>
    <n v="0"/>
    <x v="0"/>
    <x v="0"/>
  </r>
  <r>
    <x v="706"/>
    <s v="Grayson Jenkins"/>
    <x v="16"/>
    <x v="0"/>
    <s v="Manufacturing"/>
    <x v="0"/>
    <s v="Caucasian"/>
    <n v="55"/>
    <x v="668"/>
    <n v="936"/>
    <n v="0"/>
    <x v="0"/>
    <x v="8"/>
  </r>
  <r>
    <x v="707"/>
    <s v="Jeremiah Ross"/>
    <x v="10"/>
    <x v="5"/>
    <s v="Corporate"/>
    <x v="0"/>
    <s v="Caucasian"/>
    <n v="27"/>
    <x v="669"/>
    <n v="717"/>
    <n v="0.12"/>
    <x v="0"/>
    <x v="5"/>
  </r>
  <r>
    <x v="708"/>
    <s v="Natalie Zheng"/>
    <x v="27"/>
    <x v="2"/>
    <s v="Manufacturing"/>
    <x v="1"/>
    <s v="Asian"/>
    <n v="28"/>
    <x v="301"/>
    <n v="616"/>
    <n v="0"/>
    <x v="0"/>
    <x v="1"/>
  </r>
  <r>
    <x v="709"/>
    <s v="Jace Mehta"/>
    <x v="1"/>
    <x v="1"/>
    <s v="Manufacturing"/>
    <x v="0"/>
    <s v="Asian"/>
    <n v="55"/>
    <x v="670"/>
    <n v="701"/>
    <n v="0"/>
    <x v="0"/>
    <x v="3"/>
  </r>
  <r>
    <x v="710"/>
    <s v="Hannah Doan"/>
    <x v="8"/>
    <x v="6"/>
    <s v="Research &amp; Development"/>
    <x v="1"/>
    <s v="Asian"/>
    <n v="44"/>
    <x v="671"/>
    <n v="730"/>
    <n v="0.06"/>
    <x v="1"/>
    <x v="9"/>
  </r>
  <r>
    <x v="711"/>
    <s v="Caroline Robinson"/>
    <x v="4"/>
    <x v="6"/>
    <s v="Specialty Products"/>
    <x v="1"/>
    <s v="Caucasian"/>
    <n v="28"/>
    <x v="672"/>
    <n v="955"/>
    <n v="0.21"/>
    <x v="0"/>
    <x v="4"/>
  </r>
  <r>
    <x v="712"/>
    <s v="Naomi Ma"/>
    <x v="26"/>
    <x v="0"/>
    <s v="Corporate"/>
    <x v="1"/>
    <s v="Asian"/>
    <n v="55"/>
    <x v="673"/>
    <n v="800"/>
    <n v="0"/>
    <x v="0"/>
    <x v="4"/>
  </r>
  <r>
    <x v="713"/>
    <s v="Adam Davis"/>
    <x v="31"/>
    <x v="0"/>
    <s v="Research &amp; Development"/>
    <x v="0"/>
    <s v="Black"/>
    <n v="44"/>
    <x v="674"/>
    <n v="551"/>
    <n v="0"/>
    <x v="0"/>
    <x v="8"/>
  </r>
  <r>
    <x v="714"/>
    <s v="Ellie Ho"/>
    <x v="11"/>
    <x v="1"/>
    <s v="Corporate"/>
    <x v="1"/>
    <s v="Asian"/>
    <n v="30"/>
    <x v="216"/>
    <n v="745"/>
    <n v="0.4"/>
    <x v="0"/>
    <x v="8"/>
  </r>
  <r>
    <x v="715"/>
    <s v="Mila Liang"/>
    <x v="8"/>
    <x v="5"/>
    <s v="Research &amp; Development"/>
    <x v="1"/>
    <s v="Asian"/>
    <n v="63"/>
    <x v="675"/>
    <n v="809"/>
    <n v="0.08"/>
    <x v="0"/>
    <x v="4"/>
  </r>
  <r>
    <x v="716"/>
    <s v="Nova Doan"/>
    <x v="3"/>
    <x v="2"/>
    <s v="Manufacturing"/>
    <x v="1"/>
    <s v="Asian"/>
    <n v="36"/>
    <x v="676"/>
    <n v="880"/>
    <n v="0"/>
    <x v="1"/>
    <x v="9"/>
  </r>
  <r>
    <x v="717"/>
    <s v="Colton Mejia"/>
    <x v="10"/>
    <x v="3"/>
    <s v="Research &amp; Development"/>
    <x v="0"/>
    <s v="Latino"/>
    <n v="28"/>
    <x v="677"/>
    <n v="526"/>
    <n v="0.12"/>
    <x v="2"/>
    <x v="10"/>
  </r>
  <r>
    <x v="718"/>
    <s v="Joseph Kim"/>
    <x v="6"/>
    <x v="3"/>
    <s v="Research &amp; Development"/>
    <x v="0"/>
    <s v="Asian"/>
    <n v="28"/>
    <x v="678"/>
    <n v="760"/>
    <n v="0"/>
    <x v="0"/>
    <x v="3"/>
  </r>
  <r>
    <x v="719"/>
    <s v="Audrey Campos"/>
    <x v="8"/>
    <x v="4"/>
    <s v="Specialty Products"/>
    <x v="1"/>
    <s v="Latino"/>
    <n v="27"/>
    <x v="679"/>
    <n v="681"/>
    <n v="0.1"/>
    <x v="2"/>
    <x v="10"/>
  </r>
  <r>
    <x v="720"/>
    <s v="Vivian Brooks"/>
    <x v="15"/>
    <x v="6"/>
    <s v="Specialty Products"/>
    <x v="1"/>
    <s v="Black"/>
    <n v="34"/>
    <x v="680"/>
    <n v="740"/>
    <n v="0"/>
    <x v="0"/>
    <x v="3"/>
  </r>
  <r>
    <x v="721"/>
    <s v="Mateo Vargas"/>
    <x v="28"/>
    <x v="2"/>
    <s v="Specialty Products"/>
    <x v="0"/>
    <s v="Latino"/>
    <n v="53"/>
    <x v="681"/>
    <n v="678"/>
    <n v="0"/>
    <x v="2"/>
    <x v="10"/>
  </r>
  <r>
    <x v="722"/>
    <s v="David Foster"/>
    <x v="0"/>
    <x v="0"/>
    <s v="Corporate"/>
    <x v="0"/>
    <s v="Caucasian"/>
    <n v="50"/>
    <x v="682"/>
    <n v="657"/>
    <n v="0"/>
    <x v="0"/>
    <x v="8"/>
  </r>
  <r>
    <x v="723"/>
    <s v="Isaiah Ramos"/>
    <x v="22"/>
    <x v="2"/>
    <s v="Manufacturing"/>
    <x v="0"/>
    <s v="Latino"/>
    <n v="51"/>
    <x v="683"/>
    <n v="516"/>
    <n v="0"/>
    <x v="0"/>
    <x v="5"/>
  </r>
  <r>
    <x v="724"/>
    <s v="Samantha Do"/>
    <x v="3"/>
    <x v="2"/>
    <s v="Research &amp; Development"/>
    <x v="1"/>
    <s v="Asian"/>
    <n v="27"/>
    <x v="684"/>
    <n v="873"/>
    <n v="0"/>
    <x v="1"/>
    <x v="2"/>
  </r>
  <r>
    <x v="725"/>
    <s v="Emery Fernandez"/>
    <x v="1"/>
    <x v="3"/>
    <s v="Research &amp; Development"/>
    <x v="1"/>
    <s v="Latino"/>
    <n v="33"/>
    <x v="685"/>
    <n v="522"/>
    <n v="0"/>
    <x v="2"/>
    <x v="11"/>
  </r>
  <r>
    <x v="726"/>
    <s v="Santiago f Brooks"/>
    <x v="23"/>
    <x v="6"/>
    <s v="Corporate"/>
    <x v="0"/>
    <s v="Caucasian"/>
    <n v="46"/>
    <x v="686"/>
    <n v="603"/>
    <n v="0"/>
    <x v="0"/>
    <x v="8"/>
  </r>
  <r>
    <x v="727"/>
    <s v="Aubrey Lin"/>
    <x v="11"/>
    <x v="6"/>
    <s v="Corporate"/>
    <x v="1"/>
    <s v="Asian"/>
    <n v="51"/>
    <x v="687"/>
    <n v="583"/>
    <n v="0.36"/>
    <x v="0"/>
    <x v="0"/>
  </r>
  <r>
    <x v="728"/>
    <s v="Jace Hsu"/>
    <x v="9"/>
    <x v="2"/>
    <s v="Manufacturing"/>
    <x v="0"/>
    <s v="Asian"/>
    <n v="31"/>
    <x v="688"/>
    <n v="703"/>
    <n v="0"/>
    <x v="1"/>
    <x v="2"/>
  </r>
  <r>
    <x v="729"/>
    <s v="Nicholas Sanders"/>
    <x v="11"/>
    <x v="1"/>
    <s v="Manufacturing"/>
    <x v="0"/>
    <s v="Caucasian"/>
    <n v="45"/>
    <x v="689"/>
    <n v="672"/>
    <n v="0.31"/>
    <x v="0"/>
    <x v="4"/>
  </r>
  <r>
    <x v="730"/>
    <s v="Joshua Sun"/>
    <x v="8"/>
    <x v="4"/>
    <s v="Corporate"/>
    <x v="0"/>
    <s v="Asian"/>
    <n v="38"/>
    <x v="690"/>
    <n v="673"/>
    <n v="0.1"/>
    <x v="1"/>
    <x v="2"/>
  </r>
  <r>
    <x v="731"/>
    <s v="Riley Ayala"/>
    <x v="8"/>
    <x v="3"/>
    <s v="Specialty Products"/>
    <x v="1"/>
    <s v="Latino"/>
    <n v="42"/>
    <x v="691"/>
    <n v="752"/>
    <n v="7.0000000000000007E-2"/>
    <x v="2"/>
    <x v="11"/>
  </r>
  <r>
    <x v="732"/>
    <s v="Isaac Santos"/>
    <x v="30"/>
    <x v="0"/>
    <s v="Manufacturing"/>
    <x v="0"/>
    <s v="Latino"/>
    <n v="43"/>
    <x v="692"/>
    <n v="989"/>
    <n v="0"/>
    <x v="0"/>
    <x v="1"/>
  </r>
  <r>
    <x v="733"/>
    <s v="Logan Brooks"/>
    <x v="4"/>
    <x v="2"/>
    <s v="Corporate"/>
    <x v="0"/>
    <s v="Caucasian"/>
    <n v="28"/>
    <x v="693"/>
    <n v="898"/>
    <n v="0.24"/>
    <x v="0"/>
    <x v="4"/>
  </r>
  <r>
    <x v="734"/>
    <s v="Leilani Hu"/>
    <x v="6"/>
    <x v="4"/>
    <s v="Research &amp; Development"/>
    <x v="1"/>
    <s v="Asian"/>
    <n v="57"/>
    <x v="500"/>
    <n v="588"/>
    <n v="0"/>
    <x v="1"/>
    <x v="7"/>
  </r>
  <r>
    <x v="735"/>
    <s v="Jace Cho"/>
    <x v="4"/>
    <x v="0"/>
    <s v="Research &amp; Development"/>
    <x v="0"/>
    <s v="Asian"/>
    <n v="33"/>
    <x v="694"/>
    <n v="872"/>
    <n v="0.19"/>
    <x v="1"/>
    <x v="6"/>
  </r>
  <r>
    <x v="736"/>
    <s v="Jaxson Fong"/>
    <x v="10"/>
    <x v="4"/>
    <s v="Corporate"/>
    <x v="0"/>
    <s v="Asian"/>
    <n v="32"/>
    <x v="695"/>
    <n v="616"/>
    <n v="0.1"/>
    <x v="1"/>
    <x v="2"/>
  </r>
  <r>
    <x v="737"/>
    <s v="Wyatt Ly"/>
    <x v="31"/>
    <x v="0"/>
    <s v="Corporate"/>
    <x v="0"/>
    <s v="Asian"/>
    <n v="45"/>
    <x v="696"/>
    <n v="610"/>
    <n v="0"/>
    <x v="1"/>
    <x v="9"/>
  </r>
  <r>
    <x v="738"/>
    <s v="Mia Huang"/>
    <x v="10"/>
    <x v="2"/>
    <s v="Corporate"/>
    <x v="1"/>
    <s v="Asian"/>
    <n v="33"/>
    <x v="697"/>
    <n v="664"/>
    <n v="0.12"/>
    <x v="1"/>
    <x v="6"/>
  </r>
  <r>
    <x v="739"/>
    <s v="Levi Her"/>
    <x v="10"/>
    <x v="2"/>
    <s v="Specialty Products"/>
    <x v="0"/>
    <s v="Asian"/>
    <n v="43"/>
    <x v="698"/>
    <n v="941"/>
    <n v="0.12"/>
    <x v="1"/>
    <x v="6"/>
  </r>
  <r>
    <x v="740"/>
    <s v="Everleigh Phillips"/>
    <x v="6"/>
    <x v="1"/>
    <s v="Manufacturing"/>
    <x v="1"/>
    <s v="Caucasian"/>
    <n v="62"/>
    <x v="699"/>
    <n v="816"/>
    <n v="0"/>
    <x v="0"/>
    <x v="1"/>
  </r>
  <r>
    <x v="741"/>
    <s v="Natalie Acosta"/>
    <x v="10"/>
    <x v="5"/>
    <s v="Specialty Products"/>
    <x v="1"/>
    <s v="Latino"/>
    <n v="36"/>
    <x v="700"/>
    <n v="515"/>
    <n v="0.1"/>
    <x v="2"/>
    <x v="10"/>
  </r>
  <r>
    <x v="742"/>
    <s v="Hadley Chavez"/>
    <x v="1"/>
    <x v="1"/>
    <s v="Corporate"/>
    <x v="1"/>
    <s v="Latino"/>
    <n v="36"/>
    <x v="701"/>
    <n v="766"/>
    <n v="0"/>
    <x v="0"/>
    <x v="5"/>
  </r>
  <r>
    <x v="743"/>
    <s v="Hailey Liu"/>
    <x v="26"/>
    <x v="0"/>
    <s v="Manufacturing"/>
    <x v="1"/>
    <s v="Asian"/>
    <n v="31"/>
    <x v="227"/>
    <n v="802"/>
    <n v="0"/>
    <x v="0"/>
    <x v="5"/>
  </r>
  <r>
    <x v="744"/>
    <s v="Nicholas Jiang"/>
    <x v="25"/>
    <x v="0"/>
    <s v="Manufacturing"/>
    <x v="0"/>
    <s v="Asian"/>
    <n v="62"/>
    <x v="702"/>
    <n v="898"/>
    <n v="0.14000000000000001"/>
    <x v="1"/>
    <x v="6"/>
  </r>
  <r>
    <x v="745"/>
    <s v="Gabriel Xu"/>
    <x v="1"/>
    <x v="3"/>
    <s v="Research &amp; Development"/>
    <x v="0"/>
    <s v="Asian"/>
    <n v="30"/>
    <x v="703"/>
    <n v="512"/>
    <n v="0"/>
    <x v="1"/>
    <x v="7"/>
  </r>
  <r>
    <x v="746"/>
    <s v="Sophia Collins"/>
    <x v="18"/>
    <x v="2"/>
    <s v="Specialty Products"/>
    <x v="1"/>
    <s v="Caucasian"/>
    <n v="46"/>
    <x v="704"/>
    <n v="854"/>
    <n v="0"/>
    <x v="0"/>
    <x v="3"/>
  </r>
  <r>
    <x v="747"/>
    <s v="Evelyn Vasquez"/>
    <x v="13"/>
    <x v="2"/>
    <s v="Manufacturing"/>
    <x v="1"/>
    <s v="Latino"/>
    <n v="38"/>
    <x v="705"/>
    <n v="746"/>
    <n v="0"/>
    <x v="2"/>
    <x v="11"/>
  </r>
  <r>
    <x v="748"/>
    <s v="Paisley Baker"/>
    <x v="16"/>
    <x v="0"/>
    <s v="Manufacturing"/>
    <x v="1"/>
    <s v="Caucasian"/>
    <n v="58"/>
    <x v="706"/>
    <n v="621"/>
    <n v="0"/>
    <x v="0"/>
    <x v="0"/>
  </r>
  <r>
    <x v="749"/>
    <s v="Eloise Griffin"/>
    <x v="19"/>
    <x v="2"/>
    <s v="Specialty Products"/>
    <x v="1"/>
    <s v="Caucasian"/>
    <n v="27"/>
    <x v="503"/>
    <n v="852"/>
    <n v="0"/>
    <x v="0"/>
    <x v="8"/>
  </r>
  <r>
    <x v="750"/>
    <s v="Samuel Cruz"/>
    <x v="10"/>
    <x v="6"/>
    <s v="Specialty Products"/>
    <x v="0"/>
    <s v="Latino"/>
    <n v="61"/>
    <x v="707"/>
    <n v="966"/>
    <n v="0.11"/>
    <x v="0"/>
    <x v="8"/>
  </r>
  <r>
    <x v="751"/>
    <s v="Gabriel Cheung"/>
    <x v="1"/>
    <x v="4"/>
    <s v="Specialty Products"/>
    <x v="0"/>
    <s v="Asian"/>
    <n v="64"/>
    <x v="708"/>
    <n v="929"/>
    <n v="0"/>
    <x v="1"/>
    <x v="6"/>
  </r>
  <r>
    <x v="752"/>
    <s v="Kai Green"/>
    <x v="7"/>
    <x v="2"/>
    <s v="Corporate"/>
    <x v="0"/>
    <s v="Caucasian"/>
    <n v="65"/>
    <x v="709"/>
    <n v="787"/>
    <n v="0"/>
    <x v="0"/>
    <x v="3"/>
  </r>
  <r>
    <x v="753"/>
    <s v="Julia Moore"/>
    <x v="10"/>
    <x v="2"/>
    <s v="Manufacturing"/>
    <x v="1"/>
    <s v="Caucasian"/>
    <n v="37"/>
    <x v="710"/>
    <n v="639"/>
    <n v="0.13"/>
    <x v="0"/>
    <x v="3"/>
  </r>
  <r>
    <x v="754"/>
    <s v="Roman Mendoza"/>
    <x v="11"/>
    <x v="3"/>
    <s v="Specialty Products"/>
    <x v="0"/>
    <s v="Latino"/>
    <n v="54"/>
    <x v="711"/>
    <n v="503"/>
    <n v="0.34"/>
    <x v="2"/>
    <x v="10"/>
  </r>
  <r>
    <x v="755"/>
    <s v="Levi Rahman"/>
    <x v="7"/>
    <x v="2"/>
    <s v="Specialty Products"/>
    <x v="0"/>
    <s v="Asian"/>
    <n v="54"/>
    <x v="712"/>
    <n v="846"/>
    <n v="0"/>
    <x v="0"/>
    <x v="3"/>
  </r>
  <r>
    <x v="756"/>
    <s v="Sadie Pham"/>
    <x v="6"/>
    <x v="4"/>
    <s v="Specialty Products"/>
    <x v="1"/>
    <s v="Asian"/>
    <n v="26"/>
    <x v="713"/>
    <n v="855"/>
    <n v="0"/>
    <x v="1"/>
    <x v="7"/>
  </r>
  <r>
    <x v="757"/>
    <s v="Chloe Contreras"/>
    <x v="11"/>
    <x v="5"/>
    <s v="Corporate"/>
    <x v="1"/>
    <s v="Latino"/>
    <n v="29"/>
    <x v="714"/>
    <n v="839"/>
    <n v="0.36"/>
    <x v="0"/>
    <x v="5"/>
  </r>
  <r>
    <x v="758"/>
    <s v="Owen Ford"/>
    <x v="11"/>
    <x v="6"/>
    <s v="Corporate"/>
    <x v="0"/>
    <s v="Caucasian"/>
    <n v="37"/>
    <x v="715"/>
    <n v="834"/>
    <n v="0.32"/>
    <x v="0"/>
    <x v="1"/>
  </r>
  <r>
    <x v="759"/>
    <s v="Audrey Powell"/>
    <x v="4"/>
    <x v="3"/>
    <s v="Research &amp; Development"/>
    <x v="1"/>
    <s v="Black"/>
    <n v="37"/>
    <x v="716"/>
    <n v="625"/>
    <n v="0.27"/>
    <x v="0"/>
    <x v="1"/>
  </r>
  <r>
    <x v="760"/>
    <s v="Greyson Munoz"/>
    <x v="10"/>
    <x v="5"/>
    <s v="Research &amp; Development"/>
    <x v="0"/>
    <s v="Latino"/>
    <n v="62"/>
    <x v="717"/>
    <n v="903"/>
    <n v="0.14000000000000001"/>
    <x v="2"/>
    <x v="10"/>
  </r>
  <r>
    <x v="761"/>
    <s v="Isaiah Vang"/>
    <x v="31"/>
    <x v="0"/>
    <s v="Corporate"/>
    <x v="0"/>
    <s v="Asian"/>
    <n v="53"/>
    <x v="718"/>
    <n v="846"/>
    <n v="0"/>
    <x v="0"/>
    <x v="1"/>
  </r>
  <r>
    <x v="762"/>
    <s v="Lincoln Alvarado"/>
    <x v="5"/>
    <x v="5"/>
    <s v="Manufacturing"/>
    <x v="0"/>
    <s v="Latino"/>
    <n v="65"/>
    <x v="719"/>
    <n v="770"/>
    <n v="0"/>
    <x v="0"/>
    <x v="5"/>
  </r>
  <r>
    <x v="763"/>
    <s v="Carter Sandoval"/>
    <x v="11"/>
    <x v="2"/>
    <s v="Manufacturing"/>
    <x v="0"/>
    <s v="Latino"/>
    <n v="36"/>
    <x v="720"/>
    <n v="682"/>
    <n v="0.34"/>
    <x v="2"/>
    <x v="10"/>
  </r>
  <r>
    <x v="764"/>
    <s v="Julia Jimenez"/>
    <x v="5"/>
    <x v="5"/>
    <s v="Specialty Products"/>
    <x v="1"/>
    <s v="Latino"/>
    <n v="46"/>
    <x v="721"/>
    <n v="818"/>
    <n v="0"/>
    <x v="2"/>
    <x v="10"/>
  </r>
  <r>
    <x v="765"/>
    <s v="Savannah Cortez"/>
    <x v="12"/>
    <x v="2"/>
    <s v="Specialty Products"/>
    <x v="1"/>
    <s v="Latino"/>
    <n v="55"/>
    <x v="316"/>
    <n v="566"/>
    <n v="0"/>
    <x v="2"/>
    <x v="12"/>
  </r>
  <r>
    <x v="766"/>
    <s v="Everly Brown"/>
    <x v="31"/>
    <x v="0"/>
    <s v="Specialty Products"/>
    <x v="1"/>
    <s v="Black"/>
    <n v="63"/>
    <x v="381"/>
    <n v="946"/>
    <n v="0"/>
    <x v="0"/>
    <x v="8"/>
  </r>
  <r>
    <x v="767"/>
    <s v="Charlotte Pham"/>
    <x v="26"/>
    <x v="0"/>
    <s v="Research &amp; Development"/>
    <x v="1"/>
    <s v="Asian"/>
    <n v="54"/>
    <x v="722"/>
    <n v="861"/>
    <n v="0"/>
    <x v="1"/>
    <x v="2"/>
  </r>
  <r>
    <x v="768"/>
    <s v="Iris Bailey"/>
    <x v="17"/>
    <x v="2"/>
    <s v="Research &amp; Development"/>
    <x v="1"/>
    <s v="Caucasian"/>
    <n v="26"/>
    <x v="723"/>
    <n v="547"/>
    <n v="0"/>
    <x v="0"/>
    <x v="8"/>
  </r>
  <r>
    <x v="769"/>
    <s v="Logan Daniels"/>
    <x v="5"/>
    <x v="3"/>
    <s v="Corporate"/>
    <x v="0"/>
    <s v="Caucasian"/>
    <n v="26"/>
    <x v="724"/>
    <n v="755"/>
    <n v="0"/>
    <x v="0"/>
    <x v="0"/>
  </r>
  <r>
    <x v="770"/>
    <s v="Autumn Molina"/>
    <x v="6"/>
    <x v="1"/>
    <s v="Corporate"/>
    <x v="1"/>
    <s v="Latino"/>
    <n v="34"/>
    <x v="725"/>
    <n v="581"/>
    <n v="0"/>
    <x v="2"/>
    <x v="12"/>
  </r>
  <r>
    <x v="771"/>
    <s v="Emma Mehta"/>
    <x v="11"/>
    <x v="0"/>
    <s v="Manufacturing"/>
    <x v="1"/>
    <s v="Asian"/>
    <n v="48"/>
    <x v="726"/>
    <n v="615"/>
    <n v="0.33"/>
    <x v="1"/>
    <x v="2"/>
  </r>
  <r>
    <x v="772"/>
    <s v="Julian Joseph"/>
    <x v="19"/>
    <x v="2"/>
    <s v="Manufacturing"/>
    <x v="0"/>
    <s v="Caucasian"/>
    <n v="52"/>
    <x v="727"/>
    <n v="501"/>
    <n v="0"/>
    <x v="0"/>
    <x v="4"/>
  </r>
  <r>
    <x v="773"/>
    <s v="Eleanor Munoz"/>
    <x v="1"/>
    <x v="3"/>
    <s v="Specialty Products"/>
    <x v="1"/>
    <s v="Latino"/>
    <n v="45"/>
    <x v="728"/>
    <n v="591"/>
    <n v="0"/>
    <x v="2"/>
    <x v="10"/>
  </r>
  <r>
    <x v="774"/>
    <s v="Caroline Sandoval"/>
    <x v="8"/>
    <x v="4"/>
    <s v="Specialty Products"/>
    <x v="1"/>
    <s v="Latino"/>
    <n v="51"/>
    <x v="729"/>
    <n v="533"/>
    <n v="0.08"/>
    <x v="0"/>
    <x v="5"/>
  </r>
  <r>
    <x v="775"/>
    <s v="Eliza Zhu"/>
    <x v="14"/>
    <x v="1"/>
    <s v="Specialty Products"/>
    <x v="1"/>
    <s v="Asian"/>
    <n v="43"/>
    <x v="730"/>
    <n v="616"/>
    <n v="0"/>
    <x v="0"/>
    <x v="8"/>
  </r>
  <r>
    <x v="776"/>
    <s v="Greyson Moore"/>
    <x v="4"/>
    <x v="3"/>
    <s v="Corporate"/>
    <x v="0"/>
    <s v="Caucasian"/>
    <n v="54"/>
    <x v="731"/>
    <n v="911"/>
    <n v="0.16"/>
    <x v="0"/>
    <x v="4"/>
  </r>
  <r>
    <x v="777"/>
    <s v="Lyla Clark"/>
    <x v="5"/>
    <x v="1"/>
    <s v="Research &amp; Development"/>
    <x v="1"/>
    <s v="Caucasian"/>
    <n v="54"/>
    <x v="732"/>
    <n v="577"/>
    <n v="0"/>
    <x v="0"/>
    <x v="0"/>
  </r>
  <r>
    <x v="778"/>
    <s v="Samuel Patterson"/>
    <x v="11"/>
    <x v="3"/>
    <s v="Specialty Products"/>
    <x v="0"/>
    <s v="Caucasian"/>
    <n v="25"/>
    <x v="733"/>
    <n v="720"/>
    <n v="0.33"/>
    <x v="0"/>
    <x v="3"/>
  </r>
  <r>
    <x v="779"/>
    <s v="Robert Padilla"/>
    <x v="6"/>
    <x v="3"/>
    <s v="Manufacturing"/>
    <x v="0"/>
    <s v="Latino"/>
    <n v="65"/>
    <x v="734"/>
    <n v="864"/>
    <n v="0"/>
    <x v="2"/>
    <x v="10"/>
  </r>
  <r>
    <x v="780"/>
    <s v="Landon Munoz"/>
    <x v="0"/>
    <x v="0"/>
    <s v="Manufacturing"/>
    <x v="0"/>
    <s v="Latino"/>
    <n v="40"/>
    <x v="735"/>
    <n v="942"/>
    <n v="0"/>
    <x v="0"/>
    <x v="8"/>
  </r>
  <r>
    <x v="781"/>
    <s v="Josiah Yi"/>
    <x v="32"/>
    <x v="0"/>
    <s v="Corporate"/>
    <x v="0"/>
    <s v="Asian"/>
    <n v="31"/>
    <x v="736"/>
    <n v="535"/>
    <n v="0"/>
    <x v="1"/>
    <x v="9"/>
  </r>
  <r>
    <x v="782"/>
    <s v="Owen Scott"/>
    <x v="22"/>
    <x v="2"/>
    <s v="Research &amp; Development"/>
    <x v="0"/>
    <s v="Black"/>
    <n v="45"/>
    <x v="737"/>
    <n v="965"/>
    <n v="0"/>
    <x v="0"/>
    <x v="4"/>
  </r>
  <r>
    <x v="783"/>
    <s v="Matthew Parker"/>
    <x v="1"/>
    <x v="1"/>
    <s v="Research &amp; Development"/>
    <x v="0"/>
    <s v="Caucasian"/>
    <n v="40"/>
    <x v="738"/>
    <n v="755"/>
    <n v="0"/>
    <x v="0"/>
    <x v="4"/>
  </r>
  <r>
    <x v="784"/>
    <s v="Daniel Huynh"/>
    <x v="8"/>
    <x v="5"/>
    <s v="Manufacturing"/>
    <x v="0"/>
    <s v="Asian"/>
    <n v="25"/>
    <x v="739"/>
    <n v="534"/>
    <n v="0.06"/>
    <x v="1"/>
    <x v="7"/>
  </r>
  <r>
    <x v="785"/>
    <s v="Matthew Vargas"/>
    <x v="10"/>
    <x v="2"/>
    <s v="Research &amp; Development"/>
    <x v="0"/>
    <s v="Latino"/>
    <n v="53"/>
    <x v="740"/>
    <n v="905"/>
    <n v="0.13"/>
    <x v="0"/>
    <x v="1"/>
  </r>
  <r>
    <x v="786"/>
    <s v="Ella Herrera"/>
    <x v="4"/>
    <x v="5"/>
    <s v="Corporate"/>
    <x v="1"/>
    <s v="Latino"/>
    <n v="49"/>
    <x v="741"/>
    <n v="724"/>
    <n v="0.22"/>
    <x v="0"/>
    <x v="4"/>
  </r>
  <r>
    <x v="787"/>
    <s v="Everly Hwang"/>
    <x v="11"/>
    <x v="3"/>
    <s v="Research &amp; Development"/>
    <x v="1"/>
    <s v="Asian"/>
    <n v="31"/>
    <x v="742"/>
    <n v="826"/>
    <n v="0.4"/>
    <x v="0"/>
    <x v="8"/>
  </r>
  <r>
    <x v="788"/>
    <s v="Hazel Mitchell"/>
    <x v="27"/>
    <x v="2"/>
    <s v="Specialty Products"/>
    <x v="1"/>
    <s v="Caucasian"/>
    <n v="33"/>
    <x v="743"/>
    <n v="755"/>
    <n v="0"/>
    <x v="0"/>
    <x v="8"/>
  </r>
  <r>
    <x v="789"/>
    <s v="Ian Hernandez"/>
    <x v="4"/>
    <x v="3"/>
    <s v="Corporate"/>
    <x v="0"/>
    <s v="Latino"/>
    <n v="40"/>
    <x v="744"/>
    <n v="545"/>
    <n v="0.25"/>
    <x v="0"/>
    <x v="4"/>
  </r>
  <r>
    <x v="790"/>
    <s v="Charlotte Lam"/>
    <x v="12"/>
    <x v="2"/>
    <s v="Manufacturing"/>
    <x v="1"/>
    <s v="Asian"/>
    <n v="29"/>
    <x v="745"/>
    <n v="962"/>
    <n v="0"/>
    <x v="0"/>
    <x v="0"/>
  </r>
  <r>
    <x v="791"/>
    <s v="Jonathan Ali"/>
    <x v="21"/>
    <x v="0"/>
    <s v="Specialty Products"/>
    <x v="0"/>
    <s v="Asian"/>
    <n v="51"/>
    <x v="746"/>
    <n v="713"/>
    <n v="0"/>
    <x v="1"/>
    <x v="6"/>
  </r>
  <r>
    <x v="792"/>
    <s v="Violet He"/>
    <x v="1"/>
    <x v="1"/>
    <s v="Manufacturing"/>
    <x v="1"/>
    <s v="Asian"/>
    <n v="31"/>
    <x v="684"/>
    <n v="947"/>
    <n v="0"/>
    <x v="0"/>
    <x v="1"/>
  </r>
  <r>
    <x v="793"/>
    <s v="Hannah Truong"/>
    <x v="5"/>
    <x v="3"/>
    <s v="Specialty Products"/>
    <x v="1"/>
    <s v="Asian"/>
    <n v="44"/>
    <x v="747"/>
    <n v="904"/>
    <n v="0"/>
    <x v="0"/>
    <x v="1"/>
  </r>
  <r>
    <x v="794"/>
    <s v="Hannah Nelson"/>
    <x v="14"/>
    <x v="1"/>
    <s v="Manufacturing"/>
    <x v="1"/>
    <s v="Caucasian"/>
    <n v="38"/>
    <x v="748"/>
    <n v="627"/>
    <n v="0"/>
    <x v="0"/>
    <x v="3"/>
  </r>
  <r>
    <x v="795"/>
    <s v="Autumn Kaur"/>
    <x v="8"/>
    <x v="3"/>
    <s v="Corporate"/>
    <x v="1"/>
    <s v="Asian"/>
    <n v="29"/>
    <x v="749"/>
    <n v="584"/>
    <n v="0.08"/>
    <x v="1"/>
    <x v="9"/>
  </r>
  <r>
    <x v="796"/>
    <s v="Serenity Ngo"/>
    <x v="1"/>
    <x v="3"/>
    <s v="Corporate"/>
    <x v="1"/>
    <s v="Asian"/>
    <n v="49"/>
    <x v="750"/>
    <n v="611"/>
    <n v="0"/>
    <x v="0"/>
    <x v="3"/>
  </r>
  <r>
    <x v="797"/>
    <s v="Raelynn Her"/>
    <x v="10"/>
    <x v="1"/>
    <s v="Research &amp; Development"/>
    <x v="1"/>
    <s v="Asian"/>
    <n v="44"/>
    <x v="452"/>
    <n v="534"/>
    <n v="0.15"/>
    <x v="0"/>
    <x v="0"/>
  </r>
  <r>
    <x v="798"/>
    <s v="Jameson Salazar"/>
    <x v="0"/>
    <x v="0"/>
    <s v="Specialty Products"/>
    <x v="0"/>
    <s v="Latino"/>
    <n v="45"/>
    <x v="751"/>
    <n v="918"/>
    <n v="0"/>
    <x v="0"/>
    <x v="5"/>
  </r>
  <r>
    <x v="799"/>
    <s v="Luke Luna"/>
    <x v="1"/>
    <x v="1"/>
    <s v="Specialty Products"/>
    <x v="0"/>
    <s v="Latino"/>
    <n v="58"/>
    <x v="752"/>
    <n v="708"/>
    <n v="0"/>
    <x v="0"/>
    <x v="8"/>
  </r>
  <r>
    <x v="800"/>
    <s v="Hunter Moua"/>
    <x v="5"/>
    <x v="3"/>
    <s v="Specialty Products"/>
    <x v="0"/>
    <s v="Asian"/>
    <n v="29"/>
    <x v="753"/>
    <n v="519"/>
    <n v="0"/>
    <x v="1"/>
    <x v="6"/>
  </r>
  <r>
    <x v="801"/>
    <s v="Athena Aguilar"/>
    <x v="6"/>
    <x v="5"/>
    <s v="Corporate"/>
    <x v="1"/>
    <s v="Latino"/>
    <n v="25"/>
    <x v="754"/>
    <n v="683"/>
    <n v="0"/>
    <x v="2"/>
    <x v="12"/>
  </r>
  <r>
    <x v="802"/>
    <s v="Ariana Sanders"/>
    <x v="4"/>
    <x v="0"/>
    <s v="Manufacturing"/>
    <x v="1"/>
    <s v="Caucasian"/>
    <n v="62"/>
    <x v="755"/>
    <n v="604"/>
    <n v="0.2"/>
    <x v="0"/>
    <x v="4"/>
  </r>
  <r>
    <x v="803"/>
    <s v="Easton Cruz"/>
    <x v="8"/>
    <x v="4"/>
    <s v="Manufacturing"/>
    <x v="0"/>
    <s v="Latino"/>
    <n v="33"/>
    <x v="756"/>
    <n v="952"/>
    <n v="0.06"/>
    <x v="0"/>
    <x v="0"/>
  </r>
  <r>
    <x v="804"/>
    <s v="Josiah Vega"/>
    <x v="8"/>
    <x v="3"/>
    <s v="Manufacturing"/>
    <x v="0"/>
    <s v="Latino"/>
    <n v="56"/>
    <x v="757"/>
    <n v="806"/>
    <n v="0.08"/>
    <x v="0"/>
    <x v="0"/>
  </r>
  <r>
    <x v="805"/>
    <s v="Isla Chavez"/>
    <x v="8"/>
    <x v="4"/>
    <s v="Corporate"/>
    <x v="1"/>
    <s v="Latino"/>
    <n v="45"/>
    <x v="758"/>
    <n v="933"/>
    <n v="0.05"/>
    <x v="0"/>
    <x v="1"/>
  </r>
  <r>
    <x v="806"/>
    <s v="Willow Estrada"/>
    <x v="8"/>
    <x v="6"/>
    <s v="Research &amp; Development"/>
    <x v="1"/>
    <s v="Latino"/>
    <n v="28"/>
    <x v="720"/>
    <n v="956"/>
    <n v="0.05"/>
    <x v="2"/>
    <x v="10"/>
  </r>
  <r>
    <x v="807"/>
    <s v="Nevaeh Ng"/>
    <x v="10"/>
    <x v="6"/>
    <s v="Manufacturing"/>
    <x v="1"/>
    <s v="Asian"/>
    <n v="30"/>
    <x v="759"/>
    <n v="585"/>
    <n v="0.11"/>
    <x v="0"/>
    <x v="3"/>
  </r>
  <r>
    <x v="808"/>
    <s v="Jade Hu"/>
    <x v="1"/>
    <x v="5"/>
    <s v="Research &amp; Development"/>
    <x v="1"/>
    <s v="Asian"/>
    <n v="45"/>
    <x v="760"/>
    <n v="680"/>
    <n v="0"/>
    <x v="0"/>
    <x v="3"/>
  </r>
  <r>
    <x v="809"/>
    <s v="Henry Vazquez"/>
    <x v="3"/>
    <x v="2"/>
    <s v="Specialty Products"/>
    <x v="0"/>
    <s v="Latino"/>
    <n v="33"/>
    <x v="761"/>
    <n v="737"/>
    <n v="0"/>
    <x v="0"/>
    <x v="0"/>
  </r>
  <r>
    <x v="810"/>
    <s v="Nathan Jackson"/>
    <x v="11"/>
    <x v="3"/>
    <s v="Manufacturing"/>
    <x v="0"/>
    <s v="Caucasian"/>
    <n v="41"/>
    <x v="762"/>
    <n v="952"/>
    <n v="0.39"/>
    <x v="0"/>
    <x v="1"/>
  </r>
  <r>
    <x v="811"/>
    <s v="Anthony Lam"/>
    <x v="10"/>
    <x v="1"/>
    <s v="Specialty Products"/>
    <x v="0"/>
    <s v="Asian"/>
    <n v="33"/>
    <x v="763"/>
    <n v="938"/>
    <n v="0.15"/>
    <x v="0"/>
    <x v="1"/>
  </r>
  <r>
    <x v="812"/>
    <s v="Nevaeh Ali"/>
    <x v="8"/>
    <x v="5"/>
    <s v="Manufacturing"/>
    <x v="1"/>
    <s v="Asian"/>
    <n v="48"/>
    <x v="764"/>
    <n v="893"/>
    <n v="7.0000000000000007E-2"/>
    <x v="0"/>
    <x v="8"/>
  </r>
  <r>
    <x v="813"/>
    <s v="Mila Vasquez"/>
    <x v="11"/>
    <x v="6"/>
    <s v="Corporate"/>
    <x v="1"/>
    <s v="Latino"/>
    <n v="48"/>
    <x v="765"/>
    <n v="534"/>
    <n v="0.37"/>
    <x v="0"/>
    <x v="5"/>
  </r>
  <r>
    <x v="814"/>
    <s v="Madelyn Henry"/>
    <x v="11"/>
    <x v="6"/>
    <s v="Specialty Products"/>
    <x v="1"/>
    <s v="Caucasian"/>
    <n v="41"/>
    <x v="766"/>
    <n v="809"/>
    <n v="0.33"/>
    <x v="0"/>
    <x v="3"/>
  </r>
  <r>
    <x v="815"/>
    <s v="Emilia Alexander"/>
    <x v="32"/>
    <x v="0"/>
    <s v="Specialty Products"/>
    <x v="1"/>
    <s v="Caucasian"/>
    <n v="37"/>
    <x v="767"/>
    <n v="991"/>
    <n v="0"/>
    <x v="0"/>
    <x v="3"/>
  </r>
  <r>
    <x v="816"/>
    <s v="Christian Ayala"/>
    <x v="29"/>
    <x v="1"/>
    <s v="Research &amp; Development"/>
    <x v="0"/>
    <s v="Latino"/>
    <n v="55"/>
    <x v="768"/>
    <n v="607"/>
    <n v="0"/>
    <x v="2"/>
    <x v="12"/>
  </r>
  <r>
    <x v="817"/>
    <s v="Willow Xiong"/>
    <x v="10"/>
    <x v="5"/>
    <s v="Corporate"/>
    <x v="1"/>
    <s v="Asian"/>
    <n v="37"/>
    <x v="769"/>
    <n v="892"/>
    <n v="0.12"/>
    <x v="0"/>
    <x v="8"/>
  </r>
  <r>
    <x v="818"/>
    <s v="Avery Valdez"/>
    <x v="24"/>
    <x v="6"/>
    <s v="Research &amp; Development"/>
    <x v="1"/>
    <s v="Latino"/>
    <n v="58"/>
    <x v="770"/>
    <n v="701"/>
    <n v="0"/>
    <x v="0"/>
    <x v="5"/>
  </r>
  <r>
    <x v="819"/>
    <s v="Abigail Carter"/>
    <x v="4"/>
    <x v="6"/>
    <s v="Research &amp; Development"/>
    <x v="1"/>
    <s v="Black"/>
    <n v="51"/>
    <x v="771"/>
    <n v="675"/>
    <n v="0.27"/>
    <x v="0"/>
    <x v="8"/>
  </r>
  <r>
    <x v="820"/>
    <s v="Madison Patel"/>
    <x v="16"/>
    <x v="0"/>
    <s v="Corporate"/>
    <x v="1"/>
    <s v="Asian"/>
    <n v="37"/>
    <x v="772"/>
    <n v="1000"/>
    <n v="0"/>
    <x v="0"/>
    <x v="4"/>
  </r>
  <r>
    <x v="821"/>
    <s v="Paisley Hsu"/>
    <x v="4"/>
    <x v="4"/>
    <s v="Specialty Products"/>
    <x v="1"/>
    <s v="Asian"/>
    <n v="43"/>
    <x v="773"/>
    <n v="532"/>
    <n v="0.24"/>
    <x v="1"/>
    <x v="9"/>
  </r>
  <r>
    <x v="822"/>
    <s v="Kinsley Hill"/>
    <x v="14"/>
    <x v="1"/>
    <s v="Research &amp; Development"/>
    <x v="1"/>
    <s v="Caucasian"/>
    <n v="26"/>
    <x v="376"/>
    <n v="516"/>
    <n v="0"/>
    <x v="0"/>
    <x v="0"/>
  </r>
  <r>
    <x v="823"/>
    <s v="Kai Barnes"/>
    <x v="14"/>
    <x v="1"/>
    <s v="Research &amp; Development"/>
    <x v="0"/>
    <s v="Caucasian"/>
    <n v="35"/>
    <x v="774"/>
    <n v="614"/>
    <n v="0"/>
    <x v="0"/>
    <x v="8"/>
  </r>
  <r>
    <x v="824"/>
    <s v="Lincoln Cheng"/>
    <x v="5"/>
    <x v="3"/>
    <s v="Corporate"/>
    <x v="0"/>
    <s v="Asian"/>
    <n v="61"/>
    <x v="775"/>
    <n v="591"/>
    <n v="0"/>
    <x v="1"/>
    <x v="2"/>
  </r>
  <r>
    <x v="825"/>
    <s v="Noah Sharma"/>
    <x v="4"/>
    <x v="4"/>
    <s v="Specialty Products"/>
    <x v="0"/>
    <s v="Asian"/>
    <n v="59"/>
    <x v="776"/>
    <n v="979"/>
    <n v="0.3"/>
    <x v="0"/>
    <x v="5"/>
  </r>
  <r>
    <x v="826"/>
    <s v="Nevaeh Jiang"/>
    <x v="5"/>
    <x v="4"/>
    <s v="Manufacturing"/>
    <x v="1"/>
    <s v="Asian"/>
    <n v="65"/>
    <x v="777"/>
    <n v="984"/>
    <n v="0"/>
    <x v="1"/>
    <x v="7"/>
  </r>
  <r>
    <x v="827"/>
    <s v="Ariana Hall"/>
    <x v="8"/>
    <x v="6"/>
    <s v="Corporate"/>
    <x v="1"/>
    <s v="Caucasian"/>
    <n v="55"/>
    <x v="778"/>
    <n v="775"/>
    <n v="0.05"/>
    <x v="0"/>
    <x v="5"/>
  </r>
  <r>
    <x v="828"/>
    <s v="Samuel Cao"/>
    <x v="14"/>
    <x v="1"/>
    <s v="Specialty Products"/>
    <x v="0"/>
    <s v="Asian"/>
    <n v="51"/>
    <x v="779"/>
    <n v="972"/>
    <n v="0"/>
    <x v="1"/>
    <x v="2"/>
  </r>
  <r>
    <x v="829"/>
    <s v="Brooks Mitchell"/>
    <x v="8"/>
    <x v="3"/>
    <s v="Specialty Products"/>
    <x v="0"/>
    <s v="Caucasian"/>
    <n v="53"/>
    <x v="780"/>
    <n v="879"/>
    <n v="0.06"/>
    <x v="0"/>
    <x v="4"/>
  </r>
  <r>
    <x v="830"/>
    <s v="Kinsley Gonzalez"/>
    <x v="8"/>
    <x v="2"/>
    <s v="Research &amp; Development"/>
    <x v="1"/>
    <s v="Latino"/>
    <n v="47"/>
    <x v="781"/>
    <n v="912"/>
    <n v="0.05"/>
    <x v="0"/>
    <x v="3"/>
  </r>
  <r>
    <x v="831"/>
    <s v="Dominic Tang"/>
    <x v="8"/>
    <x v="3"/>
    <s v="Corporate"/>
    <x v="0"/>
    <s v="Asian"/>
    <n v="53"/>
    <x v="782"/>
    <n v="985"/>
    <n v="0.1"/>
    <x v="1"/>
    <x v="9"/>
  </r>
  <r>
    <x v="832"/>
    <s v="Colton Le"/>
    <x v="24"/>
    <x v="6"/>
    <s v="Specialty Products"/>
    <x v="0"/>
    <s v="Asian"/>
    <n v="38"/>
    <x v="783"/>
    <n v="693"/>
    <n v="0"/>
    <x v="1"/>
    <x v="6"/>
  </r>
  <r>
    <x v="833"/>
    <s v="Kai Huang"/>
    <x v="23"/>
    <x v="6"/>
    <s v="Corporate"/>
    <x v="0"/>
    <s v="Asian"/>
    <n v="28"/>
    <x v="784"/>
    <n v="636"/>
    <n v="0"/>
    <x v="0"/>
    <x v="4"/>
  </r>
  <r>
    <x v="834"/>
    <s v="Addison Cruz"/>
    <x v="1"/>
    <x v="1"/>
    <s v="Corporate"/>
    <x v="1"/>
    <s v="Latino"/>
    <n v="32"/>
    <x v="785"/>
    <n v="659"/>
    <n v="0"/>
    <x v="2"/>
    <x v="10"/>
  </r>
  <r>
    <x v="835"/>
    <s v="Natalie Thao"/>
    <x v="9"/>
    <x v="2"/>
    <s v="Specialty Products"/>
    <x v="1"/>
    <s v="Asian"/>
    <n v="52"/>
    <x v="786"/>
    <n v="915"/>
    <n v="0"/>
    <x v="1"/>
    <x v="6"/>
  </r>
  <r>
    <x v="836"/>
    <s v="Maria Barnes"/>
    <x v="5"/>
    <x v="5"/>
    <s v="Corporate"/>
    <x v="1"/>
    <s v="Caucasian"/>
    <n v="64"/>
    <x v="787"/>
    <n v="862"/>
    <n v="0"/>
    <x v="0"/>
    <x v="4"/>
  </r>
  <r>
    <x v="837"/>
    <s v="Everett Le"/>
    <x v="8"/>
    <x v="3"/>
    <s v="Manufacturing"/>
    <x v="0"/>
    <s v="Asian"/>
    <n v="55"/>
    <x v="788"/>
    <n v="796"/>
    <n v="7.0000000000000007E-2"/>
    <x v="1"/>
    <x v="7"/>
  </r>
  <r>
    <x v="838"/>
    <s v="Mia Vang"/>
    <x v="11"/>
    <x v="4"/>
    <s v="Corporate"/>
    <x v="1"/>
    <s v="Asian"/>
    <n v="38"/>
    <x v="789"/>
    <n v="720"/>
    <n v="0.39"/>
    <x v="1"/>
    <x v="2"/>
  </r>
  <r>
    <x v="839"/>
    <s v="Zoey Mendoza"/>
    <x v="32"/>
    <x v="0"/>
    <s v="Specialty Products"/>
    <x v="1"/>
    <s v="Latino"/>
    <n v="30"/>
    <x v="790"/>
    <n v="697"/>
    <n v="0"/>
    <x v="2"/>
    <x v="10"/>
  </r>
  <r>
    <x v="840"/>
    <s v="Parker Desai"/>
    <x v="5"/>
    <x v="1"/>
    <s v="Research &amp; Development"/>
    <x v="0"/>
    <s v="Asian"/>
    <n v="43"/>
    <x v="641"/>
    <n v="865"/>
    <n v="0"/>
    <x v="1"/>
    <x v="2"/>
  </r>
  <r>
    <x v="841"/>
    <s v="Alexander Liang"/>
    <x v="11"/>
    <x v="4"/>
    <s v="Manufacturing"/>
    <x v="0"/>
    <s v="Asian"/>
    <n v="40"/>
    <x v="791"/>
    <n v="653"/>
    <n v="0.33"/>
    <x v="1"/>
    <x v="9"/>
  </r>
  <r>
    <x v="842"/>
    <s v="Adam Jordan"/>
    <x v="21"/>
    <x v="0"/>
    <s v="Corporate"/>
    <x v="0"/>
    <s v="Caucasian"/>
    <n v="55"/>
    <x v="792"/>
    <n v="906"/>
    <n v="0"/>
    <x v="0"/>
    <x v="1"/>
  </r>
  <r>
    <x v="843"/>
    <s v="Leah Stewart"/>
    <x v="18"/>
    <x v="2"/>
    <s v="Research &amp; Development"/>
    <x v="1"/>
    <s v="Caucasian"/>
    <n v="36"/>
    <x v="793"/>
    <n v="617"/>
    <n v="0"/>
    <x v="0"/>
    <x v="4"/>
  </r>
  <r>
    <x v="844"/>
    <s v="Robert Santos"/>
    <x v="10"/>
    <x v="6"/>
    <s v="Research &amp; Development"/>
    <x v="0"/>
    <s v="Latino"/>
    <n v="47"/>
    <x v="794"/>
    <n v="994"/>
    <n v="0.12"/>
    <x v="0"/>
    <x v="4"/>
  </r>
  <r>
    <x v="845"/>
    <s v="Addison Ma"/>
    <x v="9"/>
    <x v="2"/>
    <s v="Research &amp; Development"/>
    <x v="1"/>
    <s v="Asian"/>
    <n v="59"/>
    <x v="795"/>
    <n v="675"/>
    <n v="0"/>
    <x v="0"/>
    <x v="5"/>
  </r>
  <r>
    <x v="846"/>
    <s v="Clara Collins"/>
    <x v="27"/>
    <x v="2"/>
    <s v="Manufacturing"/>
    <x v="1"/>
    <s v="Caucasian"/>
    <n v="40"/>
    <x v="796"/>
    <n v="669"/>
    <n v="0"/>
    <x v="0"/>
    <x v="3"/>
  </r>
  <r>
    <x v="847"/>
    <s v="Stella Castro"/>
    <x v="16"/>
    <x v="0"/>
    <s v="Corporate"/>
    <x v="1"/>
    <s v="Latino"/>
    <n v="53"/>
    <x v="797"/>
    <n v="904"/>
    <n v="0"/>
    <x v="0"/>
    <x v="0"/>
  </r>
  <r>
    <x v="848"/>
    <s v="Lucy Chin"/>
    <x v="4"/>
    <x v="2"/>
    <s v="Manufacturing"/>
    <x v="1"/>
    <s v="Asian"/>
    <n v="50"/>
    <x v="798"/>
    <n v="968"/>
    <n v="0.2"/>
    <x v="1"/>
    <x v="9"/>
  </r>
  <r>
    <x v="849"/>
    <s v="Piper Evans"/>
    <x v="20"/>
    <x v="2"/>
    <s v="Specialty Products"/>
    <x v="1"/>
    <s v="Caucasian"/>
    <n v="52"/>
    <x v="799"/>
    <n v="549"/>
    <n v="0.1"/>
    <x v="0"/>
    <x v="3"/>
  </r>
  <r>
    <x v="850"/>
    <s v="Cora Coleman"/>
    <x v="0"/>
    <x v="0"/>
    <s v="Corporate"/>
    <x v="1"/>
    <s v="Black"/>
    <n v="40"/>
    <x v="800"/>
    <n v="633"/>
    <n v="0"/>
    <x v="0"/>
    <x v="5"/>
  </r>
  <r>
    <x v="851"/>
    <s v="Cora Holmes"/>
    <x v="11"/>
    <x v="5"/>
    <s v="Research &amp; Development"/>
    <x v="1"/>
    <s v="Caucasian"/>
    <n v="39"/>
    <x v="801"/>
    <n v="967"/>
    <n v="0.33"/>
    <x v="0"/>
    <x v="3"/>
  </r>
  <r>
    <x v="852"/>
    <s v="Leo Figueroa"/>
    <x v="13"/>
    <x v="2"/>
    <s v="Corporate"/>
    <x v="0"/>
    <s v="Latino"/>
    <n v="31"/>
    <x v="802"/>
    <n v="647"/>
    <n v="0"/>
    <x v="2"/>
    <x v="12"/>
  </r>
  <r>
    <x v="853"/>
    <s v="Allison Wang"/>
    <x v="8"/>
    <x v="3"/>
    <s v="Manufacturing"/>
    <x v="1"/>
    <s v="Asian"/>
    <n v="30"/>
    <x v="570"/>
    <n v="664"/>
    <n v="0.05"/>
    <x v="0"/>
    <x v="4"/>
  </r>
  <r>
    <x v="854"/>
    <s v="Levi Cruz"/>
    <x v="5"/>
    <x v="3"/>
    <s v="Research &amp; Development"/>
    <x v="0"/>
    <s v="Latino"/>
    <n v="47"/>
    <x v="803"/>
    <n v="943"/>
    <n v="0"/>
    <x v="0"/>
    <x v="8"/>
  </r>
  <r>
    <x v="855"/>
    <s v="Iris Phillips"/>
    <x v="16"/>
    <x v="0"/>
    <s v="Research &amp; Development"/>
    <x v="1"/>
    <s v="Caucasian"/>
    <n v="46"/>
    <x v="804"/>
    <n v="528"/>
    <n v="0"/>
    <x v="0"/>
    <x v="8"/>
  </r>
  <r>
    <x v="856"/>
    <s v="Madelyn Chavez"/>
    <x v="15"/>
    <x v="6"/>
    <s v="Corporate"/>
    <x v="1"/>
    <s v="Latino"/>
    <n v="43"/>
    <x v="805"/>
    <n v="803"/>
    <n v="0"/>
    <x v="2"/>
    <x v="10"/>
  </r>
  <r>
    <x v="857"/>
    <s v="Caroline Smith"/>
    <x v="8"/>
    <x v="5"/>
    <s v="Corporate"/>
    <x v="1"/>
    <s v="Caucasian"/>
    <n v="28"/>
    <x v="806"/>
    <n v="705"/>
    <n v="0.1"/>
    <x v="0"/>
    <x v="0"/>
  </r>
  <r>
    <x v="858"/>
    <s v="Grayson Lai"/>
    <x v="22"/>
    <x v="2"/>
    <s v="Specialty Products"/>
    <x v="0"/>
    <s v="Asian"/>
    <n v="47"/>
    <x v="807"/>
    <n v="535"/>
    <n v="0"/>
    <x v="1"/>
    <x v="9"/>
  </r>
  <r>
    <x v="859"/>
    <s v="Anna Guerrero"/>
    <x v="11"/>
    <x v="2"/>
    <s v="Research &amp; Development"/>
    <x v="1"/>
    <s v="Latino"/>
    <n v="43"/>
    <x v="808"/>
    <n v="807"/>
    <n v="0.32"/>
    <x v="2"/>
    <x v="12"/>
  </r>
  <r>
    <x v="860"/>
    <s v="Paisley Bell"/>
    <x v="8"/>
    <x v="4"/>
    <s v="Manufacturing"/>
    <x v="1"/>
    <s v="Black"/>
    <n v="42"/>
    <x v="809"/>
    <n v="658"/>
    <n v="0.09"/>
    <x v="0"/>
    <x v="8"/>
  </r>
  <r>
    <x v="861"/>
    <s v="Jose Park"/>
    <x v="4"/>
    <x v="2"/>
    <s v="Research &amp; Development"/>
    <x v="0"/>
    <s v="Asian"/>
    <n v="45"/>
    <x v="810"/>
    <n v="647"/>
    <n v="0.3"/>
    <x v="1"/>
    <x v="6"/>
  </r>
  <r>
    <x v="862"/>
    <s v="Eliza Parker"/>
    <x v="30"/>
    <x v="0"/>
    <s v="Corporate"/>
    <x v="1"/>
    <s v="Caucasian"/>
    <n v="37"/>
    <x v="811"/>
    <n v="618"/>
    <n v="0"/>
    <x v="0"/>
    <x v="1"/>
  </r>
  <r>
    <x v="863"/>
    <s v="Harper Castillo"/>
    <x v="11"/>
    <x v="2"/>
    <s v="Corporate"/>
    <x v="1"/>
    <s v="Latino"/>
    <n v="46"/>
    <x v="812"/>
    <n v="561"/>
    <n v="0.32"/>
    <x v="2"/>
    <x v="10"/>
  </r>
  <r>
    <x v="864"/>
    <s v="Melody Yoon"/>
    <x v="15"/>
    <x v="6"/>
    <s v="Specialty Products"/>
    <x v="1"/>
    <s v="Asian"/>
    <n v="49"/>
    <x v="813"/>
    <n v="846"/>
    <n v="0"/>
    <x v="1"/>
    <x v="9"/>
  </r>
  <r>
    <x v="865"/>
    <s v="Avery Smith"/>
    <x v="10"/>
    <x v="6"/>
    <s v="Corporate"/>
    <x v="1"/>
    <s v="Caucasian"/>
    <n v="53"/>
    <x v="814"/>
    <n v="940"/>
    <n v="0.13"/>
    <x v="0"/>
    <x v="1"/>
  </r>
  <r>
    <x v="866"/>
    <s v="Madeline Vu"/>
    <x v="7"/>
    <x v="2"/>
    <s v="Manufacturing"/>
    <x v="1"/>
    <s v="Asian"/>
    <n v="61"/>
    <x v="815"/>
    <n v="730"/>
    <n v="0"/>
    <x v="1"/>
    <x v="7"/>
  </r>
  <r>
    <x v="867"/>
    <s v="Aubrey Cheng"/>
    <x v="6"/>
    <x v="3"/>
    <s v="Manufacturing"/>
    <x v="1"/>
    <s v="Asian"/>
    <n v="46"/>
    <x v="816"/>
    <n v="691"/>
    <n v="0"/>
    <x v="0"/>
    <x v="1"/>
  </r>
  <r>
    <x v="868"/>
    <s v="Clara Henderson"/>
    <x v="11"/>
    <x v="1"/>
    <s v="Manufacturing"/>
    <x v="1"/>
    <s v="Caucasian"/>
    <n v="58"/>
    <x v="817"/>
    <n v="961"/>
    <n v="0.3"/>
    <x v="0"/>
    <x v="8"/>
  </r>
  <r>
    <x v="869"/>
    <s v="Jace Henderson"/>
    <x v="4"/>
    <x v="0"/>
    <s v="Research &amp; Development"/>
    <x v="0"/>
    <s v="Caucasian"/>
    <n v="34"/>
    <x v="118"/>
    <n v="593"/>
    <n v="0.19"/>
    <x v="0"/>
    <x v="5"/>
  </r>
  <r>
    <x v="870"/>
    <s v="Caroline Martin"/>
    <x v="20"/>
    <x v="2"/>
    <s v="Manufacturing"/>
    <x v="1"/>
    <s v="Black"/>
    <n v="54"/>
    <x v="818"/>
    <n v="662"/>
    <n v="0.05"/>
    <x v="0"/>
    <x v="1"/>
  </r>
  <r>
    <x v="871"/>
    <s v="Asher Bui"/>
    <x v="29"/>
    <x v="1"/>
    <s v="Specialty Products"/>
    <x v="0"/>
    <s v="Asian"/>
    <n v="41"/>
    <x v="819"/>
    <n v="967"/>
    <n v="0"/>
    <x v="1"/>
    <x v="2"/>
  </r>
  <r>
    <x v="872"/>
    <s v="Samantha Chau"/>
    <x v="28"/>
    <x v="2"/>
    <s v="Specialty Products"/>
    <x v="1"/>
    <s v="Asian"/>
    <n v="28"/>
    <x v="820"/>
    <n v="965"/>
    <n v="0"/>
    <x v="1"/>
    <x v="7"/>
  </r>
  <r>
    <x v="873"/>
    <s v="Charles Robinson"/>
    <x v="30"/>
    <x v="0"/>
    <s v="Corporate"/>
    <x v="0"/>
    <s v="Black"/>
    <n v="62"/>
    <x v="821"/>
    <n v="586"/>
    <n v="0"/>
    <x v="0"/>
    <x v="5"/>
  </r>
  <r>
    <x v="874"/>
    <s v="Jonathan Nelson"/>
    <x v="4"/>
    <x v="6"/>
    <s v="Manufacturing"/>
    <x v="0"/>
    <s v="Caucasian"/>
    <n v="59"/>
    <x v="822"/>
    <n v="532"/>
    <n v="0.26"/>
    <x v="0"/>
    <x v="1"/>
  </r>
  <r>
    <x v="875"/>
    <s v="Liliana Simmons"/>
    <x v="4"/>
    <x v="5"/>
    <s v="Manufacturing"/>
    <x v="1"/>
    <s v="Caucasian"/>
    <n v="35"/>
    <x v="823"/>
    <n v="762"/>
    <n v="0.27"/>
    <x v="0"/>
    <x v="5"/>
  </r>
  <r>
    <x v="876"/>
    <s v="Logan Ortega"/>
    <x v="6"/>
    <x v="5"/>
    <s v="Manufacturing"/>
    <x v="0"/>
    <s v="Latino"/>
    <n v="31"/>
    <x v="824"/>
    <n v="854"/>
    <n v="0"/>
    <x v="0"/>
    <x v="3"/>
  </r>
  <r>
    <x v="877"/>
    <s v="Isaac Jung"/>
    <x v="8"/>
    <x v="2"/>
    <s v="Specialty Products"/>
    <x v="0"/>
    <s v="Asian"/>
    <n v="55"/>
    <x v="825"/>
    <n v="630"/>
    <n v="0.08"/>
    <x v="1"/>
    <x v="2"/>
  </r>
  <r>
    <x v="878"/>
    <s v="Christopher Desai"/>
    <x v="21"/>
    <x v="0"/>
    <s v="Research &amp; Development"/>
    <x v="0"/>
    <s v="Asian"/>
    <n v="46"/>
    <x v="794"/>
    <n v="925"/>
    <n v="0"/>
    <x v="1"/>
    <x v="7"/>
  </r>
  <r>
    <x v="879"/>
    <s v="Levi Gonzalez"/>
    <x v="0"/>
    <x v="0"/>
    <s v="Corporate"/>
    <x v="0"/>
    <s v="Latino"/>
    <n v="36"/>
    <x v="826"/>
    <n v="570"/>
    <n v="0"/>
    <x v="0"/>
    <x v="4"/>
  </r>
  <r>
    <x v="880"/>
    <s v="Santiago f Wang"/>
    <x v="10"/>
    <x v="1"/>
    <s v="Research &amp; Development"/>
    <x v="0"/>
    <s v="Asian"/>
    <n v="27"/>
    <x v="827"/>
    <n v="738"/>
    <n v="0.12"/>
    <x v="0"/>
    <x v="5"/>
  </r>
  <r>
    <x v="881"/>
    <s v="Julia Kim"/>
    <x v="14"/>
    <x v="1"/>
    <s v="Specialty Products"/>
    <x v="1"/>
    <s v="Asian"/>
    <n v="50"/>
    <x v="828"/>
    <n v="700"/>
    <n v="0"/>
    <x v="1"/>
    <x v="6"/>
  </r>
  <r>
    <x v="882"/>
    <s v="Noah Allen"/>
    <x v="1"/>
    <x v="3"/>
    <s v="Corporate"/>
    <x v="0"/>
    <s v="Caucasian"/>
    <n v="27"/>
    <x v="829"/>
    <n v="995"/>
    <n v="0"/>
    <x v="0"/>
    <x v="0"/>
  </r>
  <r>
    <x v="883"/>
    <s v="Colton Adams"/>
    <x v="8"/>
    <x v="5"/>
    <s v="Specialty Products"/>
    <x v="0"/>
    <s v="Caucasian"/>
    <n v="25"/>
    <x v="830"/>
    <n v="521"/>
    <n v="0.08"/>
    <x v="0"/>
    <x v="0"/>
  </r>
  <r>
    <x v="884"/>
    <s v="Colton Mehta"/>
    <x v="1"/>
    <x v="3"/>
    <s v="Manufacturing"/>
    <x v="0"/>
    <s v="Asian"/>
    <n v="42"/>
    <x v="831"/>
    <n v="918"/>
    <n v="0"/>
    <x v="1"/>
    <x v="9"/>
  </r>
  <r>
    <x v="885"/>
    <s v="Caroline Gomez"/>
    <x v="29"/>
    <x v="1"/>
    <s v="Specialty Products"/>
    <x v="1"/>
    <s v="Latino"/>
    <n v="65"/>
    <x v="832"/>
    <n v="666"/>
    <n v="0"/>
    <x v="2"/>
    <x v="11"/>
  </r>
  <r>
    <x v="886"/>
    <s v="Kayden Tang"/>
    <x v="10"/>
    <x v="6"/>
    <s v="Specialty Products"/>
    <x v="0"/>
    <s v="Asian"/>
    <n v="57"/>
    <x v="833"/>
    <n v="970"/>
    <n v="0.11"/>
    <x v="0"/>
    <x v="4"/>
  </r>
  <r>
    <x v="887"/>
    <s v="Hadley Parker"/>
    <x v="8"/>
    <x v="3"/>
    <s v="Manufacturing"/>
    <x v="1"/>
    <s v="Caucasian"/>
    <n v="44"/>
    <x v="834"/>
    <n v="626"/>
    <n v="0.06"/>
    <x v="0"/>
    <x v="4"/>
  </r>
  <r>
    <x v="888"/>
    <s v="Elizabeth Estrada"/>
    <x v="17"/>
    <x v="2"/>
    <s v="Corporate"/>
    <x v="1"/>
    <s v="Latino"/>
    <n v="37"/>
    <x v="835"/>
    <n v="703"/>
    <n v="0"/>
    <x v="0"/>
    <x v="8"/>
  </r>
  <r>
    <x v="889"/>
    <s v="Sofia Yee"/>
    <x v="7"/>
    <x v="2"/>
    <s v="Research &amp; Development"/>
    <x v="1"/>
    <s v="Asian"/>
    <n v="52"/>
    <x v="836"/>
    <n v="725"/>
    <n v="0"/>
    <x v="0"/>
    <x v="8"/>
  </r>
  <r>
    <x v="890"/>
    <s v="Asher Mendoza"/>
    <x v="10"/>
    <x v="6"/>
    <s v="Corporate"/>
    <x v="0"/>
    <s v="Latino"/>
    <n v="49"/>
    <x v="837"/>
    <n v="862"/>
    <n v="0.1"/>
    <x v="2"/>
    <x v="10"/>
  </r>
  <r>
    <x v="891"/>
    <s v="Jordan Hernandez"/>
    <x v="9"/>
    <x v="2"/>
    <s v="Research &amp; Development"/>
    <x v="0"/>
    <s v="Latino"/>
    <n v="47"/>
    <x v="838"/>
    <n v="737"/>
    <n v="0"/>
    <x v="2"/>
    <x v="11"/>
  </r>
  <r>
    <x v="892"/>
    <s v="Everleigh Tan"/>
    <x v="1"/>
    <x v="3"/>
    <s v="Manufacturing"/>
    <x v="1"/>
    <s v="Asian"/>
    <n v="42"/>
    <x v="839"/>
    <n v="596"/>
    <n v="0"/>
    <x v="1"/>
    <x v="7"/>
  </r>
  <r>
    <x v="893"/>
    <s v="Joshua Hall"/>
    <x v="9"/>
    <x v="2"/>
    <s v="Manufacturing"/>
    <x v="0"/>
    <s v="Black"/>
    <n v="61"/>
    <x v="840"/>
    <n v="698"/>
    <n v="0"/>
    <x v="0"/>
    <x v="1"/>
  </r>
  <r>
    <x v="894"/>
    <s v="Stella Gupta"/>
    <x v="5"/>
    <x v="3"/>
    <s v="Corporate"/>
    <x v="1"/>
    <s v="Asian"/>
    <n v="33"/>
    <x v="723"/>
    <n v="633"/>
    <n v="0"/>
    <x v="1"/>
    <x v="9"/>
  </r>
  <r>
    <x v="895"/>
    <s v="Levi White"/>
    <x v="8"/>
    <x v="6"/>
    <s v="Manufacturing"/>
    <x v="0"/>
    <s v="Black"/>
    <n v="45"/>
    <x v="841"/>
    <n v="974"/>
    <n v="0.09"/>
    <x v="0"/>
    <x v="0"/>
  </r>
  <r>
    <x v="896"/>
    <s v="Matthew Jackson"/>
    <x v="8"/>
    <x v="5"/>
    <s v="Specialty Products"/>
    <x v="0"/>
    <s v="Caucasian"/>
    <n v="30"/>
    <x v="842"/>
    <n v="718"/>
    <n v="0.06"/>
    <x v="0"/>
    <x v="3"/>
  </r>
  <r>
    <x v="897"/>
    <s v="Dominic Martinez"/>
    <x v="20"/>
    <x v="2"/>
    <s v="Corporate"/>
    <x v="0"/>
    <s v="Latino"/>
    <n v="53"/>
    <x v="410"/>
    <n v="811"/>
    <n v="7.0000000000000007E-2"/>
    <x v="2"/>
    <x v="10"/>
  </r>
  <r>
    <x v="898"/>
    <s v="Aiden Aguilar"/>
    <x v="8"/>
    <x v="4"/>
    <s v="Research &amp; Development"/>
    <x v="0"/>
    <s v="Latino"/>
    <n v="62"/>
    <x v="843"/>
    <n v="736"/>
    <n v="0.1"/>
    <x v="0"/>
    <x v="3"/>
  </r>
  <r>
    <x v="899"/>
    <s v="Victoria Hu"/>
    <x v="26"/>
    <x v="0"/>
    <s v="Manufacturing"/>
    <x v="1"/>
    <s v="Asian"/>
    <n v="37"/>
    <x v="844"/>
    <n v="934"/>
    <n v="0"/>
    <x v="1"/>
    <x v="6"/>
  </r>
  <r>
    <x v="900"/>
    <s v="Eloise Campos"/>
    <x v="27"/>
    <x v="2"/>
    <s v="Research &amp; Development"/>
    <x v="1"/>
    <s v="Latino"/>
    <n v="62"/>
    <x v="845"/>
    <n v="933"/>
    <n v="0"/>
    <x v="0"/>
    <x v="5"/>
  </r>
  <r>
    <x v="901"/>
    <s v="Emilia Alvarado"/>
    <x v="15"/>
    <x v="6"/>
    <s v="Research &amp; Development"/>
    <x v="1"/>
    <s v="Latino"/>
    <n v="63"/>
    <x v="846"/>
    <n v="653"/>
    <n v="0"/>
    <x v="2"/>
    <x v="12"/>
  </r>
  <r>
    <x v="902"/>
    <s v="Lydia Ahmed"/>
    <x v="11"/>
    <x v="4"/>
    <s v="Corporate"/>
    <x v="1"/>
    <s v="Asian"/>
    <n v="39"/>
    <x v="847"/>
    <n v="710"/>
    <n v="0.39"/>
    <x v="1"/>
    <x v="7"/>
  </r>
  <r>
    <x v="903"/>
    <s v="Dylan Simmons"/>
    <x v="8"/>
    <x v="3"/>
    <s v="Manufacturing"/>
    <x v="0"/>
    <s v="Black"/>
    <n v="52"/>
    <x v="848"/>
    <n v="999"/>
    <n v="0.09"/>
    <x v="0"/>
    <x v="8"/>
  </r>
  <r>
    <x v="904"/>
    <s v="Jaxson Chu"/>
    <x v="4"/>
    <x v="5"/>
    <s v="Specialty Products"/>
    <x v="0"/>
    <s v="Asian"/>
    <n v="54"/>
    <x v="849"/>
    <n v="655"/>
    <n v="0.22"/>
    <x v="1"/>
    <x v="6"/>
  </r>
  <r>
    <x v="905"/>
    <s v="Ariana Griffin"/>
    <x v="11"/>
    <x v="5"/>
    <s v="Corporate"/>
    <x v="1"/>
    <s v="Caucasian"/>
    <n v="32"/>
    <x v="850"/>
    <n v="802"/>
    <n v="0.38"/>
    <x v="0"/>
    <x v="1"/>
  </r>
  <r>
    <x v="906"/>
    <s v="Hudson Bailey"/>
    <x v="22"/>
    <x v="2"/>
    <s v="Corporate"/>
    <x v="0"/>
    <s v="Caucasian"/>
    <n v="56"/>
    <x v="851"/>
    <n v="589"/>
    <n v="0"/>
    <x v="0"/>
    <x v="3"/>
  </r>
  <r>
    <x v="907"/>
    <s v="Colton Grant"/>
    <x v="5"/>
    <x v="1"/>
    <s v="Manufacturing"/>
    <x v="0"/>
    <s v="Caucasian"/>
    <n v="47"/>
    <x v="852"/>
    <n v="803"/>
    <n v="0"/>
    <x v="0"/>
    <x v="8"/>
  </r>
  <r>
    <x v="908"/>
    <s v="Emery Flores"/>
    <x v="5"/>
    <x v="1"/>
    <s v="Research &amp; Development"/>
    <x v="1"/>
    <s v="Latino"/>
    <n v="45"/>
    <x v="853"/>
    <n v="758"/>
    <n v="0"/>
    <x v="0"/>
    <x v="5"/>
  </r>
  <r>
    <x v="909"/>
    <s v="Gabriella Wong"/>
    <x v="10"/>
    <x v="4"/>
    <s v="Corporate"/>
    <x v="1"/>
    <s v="Asian"/>
    <n v="56"/>
    <x v="854"/>
    <n v="643"/>
    <n v="0.13"/>
    <x v="0"/>
    <x v="3"/>
  </r>
  <r>
    <x v="910"/>
    <s v="Ian Gonzales"/>
    <x v="10"/>
    <x v="4"/>
    <s v="Corporate"/>
    <x v="0"/>
    <s v="Latino"/>
    <n v="38"/>
    <x v="591"/>
    <n v="819"/>
    <n v="0.12"/>
    <x v="0"/>
    <x v="8"/>
  </r>
  <r>
    <x v="911"/>
    <s v="Jaxon Wright"/>
    <x v="8"/>
    <x v="6"/>
    <s v="Research &amp; Development"/>
    <x v="0"/>
    <s v="Caucasian"/>
    <n v="47"/>
    <x v="855"/>
    <n v="849"/>
    <n v="0.05"/>
    <x v="0"/>
    <x v="4"/>
  </r>
  <r>
    <x v="912"/>
    <s v="Ethan Cruz"/>
    <x v="23"/>
    <x v="6"/>
    <s v="Specialty Products"/>
    <x v="0"/>
    <s v="Latino"/>
    <n v="51"/>
    <x v="856"/>
    <n v="604"/>
    <n v="0"/>
    <x v="0"/>
    <x v="8"/>
  </r>
  <r>
    <x v="913"/>
    <s v="Adrian James"/>
    <x v="19"/>
    <x v="2"/>
    <s v="Research &amp; Development"/>
    <x v="0"/>
    <s v="Caucasian"/>
    <n v="52"/>
    <x v="857"/>
    <n v="569"/>
    <n v="0"/>
    <x v="0"/>
    <x v="1"/>
  </r>
  <r>
    <x v="914"/>
    <s v="Isabella Mejia"/>
    <x v="11"/>
    <x v="3"/>
    <s v="Corporate"/>
    <x v="1"/>
    <s v="Latino"/>
    <n v="56"/>
    <x v="858"/>
    <n v="590"/>
    <n v="0.32"/>
    <x v="2"/>
    <x v="12"/>
  </r>
  <r>
    <x v="915"/>
    <s v="Christopher Miller"/>
    <x v="11"/>
    <x v="4"/>
    <s v="Corporate"/>
    <x v="0"/>
    <s v="Black"/>
    <n v="37"/>
    <x v="859"/>
    <n v="531"/>
    <n v="0.35"/>
    <x v="0"/>
    <x v="4"/>
  </r>
  <r>
    <x v="916"/>
    <s v="Samuel Watson"/>
    <x v="28"/>
    <x v="2"/>
    <s v="Corporate"/>
    <x v="0"/>
    <s v="Caucasian"/>
    <n v="29"/>
    <x v="860"/>
    <n v="674"/>
    <n v="0"/>
    <x v="0"/>
    <x v="8"/>
  </r>
  <r>
    <x v="917"/>
    <s v="Lucy Phan"/>
    <x v="5"/>
    <x v="1"/>
    <s v="Research &amp; Development"/>
    <x v="1"/>
    <s v="Asian"/>
    <n v="59"/>
    <x v="861"/>
    <n v="580"/>
    <n v="0"/>
    <x v="1"/>
    <x v="6"/>
  </r>
  <r>
    <x v="918"/>
    <s v="Dominic Thao"/>
    <x v="5"/>
    <x v="5"/>
    <s v="Specialty Products"/>
    <x v="0"/>
    <s v="Asian"/>
    <n v="50"/>
    <x v="862"/>
    <n v="582"/>
    <n v="0"/>
    <x v="0"/>
    <x v="8"/>
  </r>
  <r>
    <x v="919"/>
    <s v="Jaxon Shin"/>
    <x v="17"/>
    <x v="2"/>
    <s v="Specialty Products"/>
    <x v="0"/>
    <s v="Asian"/>
    <n v="48"/>
    <x v="863"/>
    <n v="539"/>
    <n v="0"/>
    <x v="1"/>
    <x v="7"/>
  </r>
  <r>
    <x v="920"/>
    <s v="Nevaeh Diaz"/>
    <x v="4"/>
    <x v="5"/>
    <s v="Manufacturing"/>
    <x v="1"/>
    <s v="Latino"/>
    <n v="44"/>
    <x v="864"/>
    <n v="906"/>
    <n v="0.28999999999999998"/>
    <x v="2"/>
    <x v="11"/>
  </r>
  <r>
    <x v="921"/>
    <s v="Isaac Jenkins"/>
    <x v="1"/>
    <x v="1"/>
    <s v="Specialty Products"/>
    <x v="0"/>
    <s v="Caucasian"/>
    <n v="29"/>
    <x v="865"/>
    <n v="684"/>
    <n v="0"/>
    <x v="0"/>
    <x v="3"/>
  </r>
  <r>
    <x v="922"/>
    <s v="Jace Barnes"/>
    <x v="10"/>
    <x v="2"/>
    <s v="Manufacturing"/>
    <x v="0"/>
    <s v="Caucasian"/>
    <n v="60"/>
    <x v="866"/>
    <n v="534"/>
    <n v="0.13"/>
    <x v="0"/>
    <x v="4"/>
  </r>
  <r>
    <x v="923"/>
    <s v="Carson Liu"/>
    <x v="11"/>
    <x v="2"/>
    <s v="Research &amp; Development"/>
    <x v="0"/>
    <s v="Asian"/>
    <n v="56"/>
    <x v="867"/>
    <n v="577"/>
    <n v="0.38"/>
    <x v="0"/>
    <x v="4"/>
  </r>
  <r>
    <x v="924"/>
    <s v="Sofia Gutierrez"/>
    <x v="8"/>
    <x v="5"/>
    <s v="Manufacturing"/>
    <x v="1"/>
    <s v="Latino"/>
    <n v="31"/>
    <x v="868"/>
    <n v="1000"/>
    <n v="7.0000000000000007E-2"/>
    <x v="2"/>
    <x v="12"/>
  </r>
  <r>
    <x v="925"/>
    <s v="Jeremiah Chang"/>
    <x v="10"/>
    <x v="4"/>
    <s v="Corporate"/>
    <x v="0"/>
    <s v="Asian"/>
    <n v="53"/>
    <x v="869"/>
    <n v="976"/>
    <n v="0.11"/>
    <x v="1"/>
    <x v="7"/>
  </r>
  <r>
    <x v="926"/>
    <s v="Connor Ruiz"/>
    <x v="8"/>
    <x v="3"/>
    <s v="Manufacturing"/>
    <x v="0"/>
    <s v="Latino"/>
    <n v="26"/>
    <x v="261"/>
    <n v="644"/>
    <n v="0.1"/>
    <x v="0"/>
    <x v="4"/>
  </r>
  <r>
    <x v="927"/>
    <s v="Easton Truong"/>
    <x v="11"/>
    <x v="5"/>
    <s v="Research &amp; Development"/>
    <x v="0"/>
    <s v="Asian"/>
    <n v="31"/>
    <x v="870"/>
    <n v="626"/>
    <n v="0.36"/>
    <x v="0"/>
    <x v="3"/>
  </r>
  <r>
    <x v="928"/>
    <s v="Sebastian Vargas"/>
    <x v="10"/>
    <x v="5"/>
    <s v="Corporate"/>
    <x v="0"/>
    <s v="Latino"/>
    <n v="48"/>
    <x v="871"/>
    <n v="613"/>
    <n v="0.12"/>
    <x v="0"/>
    <x v="4"/>
  </r>
  <r>
    <x v="929"/>
    <s v="Joseph Dang"/>
    <x v="11"/>
    <x v="5"/>
    <s v="Research &amp; Development"/>
    <x v="0"/>
    <s v="Asian"/>
    <n v="61"/>
    <x v="872"/>
    <n v="857"/>
    <n v="0.34"/>
    <x v="1"/>
    <x v="2"/>
  </r>
  <r>
    <x v="930"/>
    <s v="Madison White"/>
    <x v="11"/>
    <x v="2"/>
    <s v="Research &amp; Development"/>
    <x v="1"/>
    <s v="Caucasian"/>
    <n v="42"/>
    <x v="873"/>
    <n v="745"/>
    <n v="0.34"/>
    <x v="0"/>
    <x v="5"/>
  </r>
  <r>
    <x v="931"/>
    <s v="Valentina Nelson"/>
    <x v="2"/>
    <x v="2"/>
    <s v="Manufacturing"/>
    <x v="1"/>
    <s v="Caucasian"/>
    <n v="50"/>
    <x v="874"/>
    <n v="818"/>
    <n v="0"/>
    <x v="0"/>
    <x v="8"/>
  </r>
  <r>
    <x v="932"/>
    <s v="Everleigh Coleman"/>
    <x v="18"/>
    <x v="2"/>
    <s v="Specialty Products"/>
    <x v="1"/>
    <s v="Caucasian"/>
    <n v="46"/>
    <x v="875"/>
    <n v="1000"/>
    <n v="0"/>
    <x v="0"/>
    <x v="5"/>
  </r>
  <r>
    <x v="933"/>
    <s v="Everleigh Castillo"/>
    <x v="12"/>
    <x v="2"/>
    <s v="Specialty Products"/>
    <x v="1"/>
    <s v="Latino"/>
    <n v="50"/>
    <x v="876"/>
    <n v="633"/>
    <n v="0"/>
    <x v="0"/>
    <x v="1"/>
  </r>
  <r>
    <x v="934"/>
    <s v="Valentina Fernandez"/>
    <x v="4"/>
    <x v="1"/>
    <s v="Corporate"/>
    <x v="1"/>
    <s v="Latino"/>
    <n v="62"/>
    <x v="877"/>
    <n v="709"/>
    <n v="0.2"/>
    <x v="0"/>
    <x v="5"/>
  </r>
  <r>
    <x v="935"/>
    <s v="Serenity Richardson"/>
    <x v="4"/>
    <x v="0"/>
    <s v="Specialty Products"/>
    <x v="1"/>
    <s v="Caucasian"/>
    <n v="45"/>
    <x v="878"/>
    <n v="618"/>
    <n v="0.18"/>
    <x v="0"/>
    <x v="8"/>
  </r>
  <r>
    <x v="936"/>
    <s v="Cooper Ramirez"/>
    <x v="4"/>
    <x v="3"/>
    <s v="Specialty Products"/>
    <x v="0"/>
    <s v="Latino"/>
    <n v="34"/>
    <x v="879"/>
    <n v="707"/>
    <n v="0.23"/>
    <x v="0"/>
    <x v="1"/>
  </r>
  <r>
    <x v="937"/>
    <s v="Penelope Avila"/>
    <x v="1"/>
    <x v="5"/>
    <s v="Corporate"/>
    <x v="1"/>
    <s v="Latino"/>
    <n v="35"/>
    <x v="880"/>
    <n v="804"/>
    <n v="0"/>
    <x v="0"/>
    <x v="4"/>
  </r>
  <r>
    <x v="938"/>
    <s v="David Barnes"/>
    <x v="3"/>
    <x v="2"/>
    <s v="Corporate"/>
    <x v="0"/>
    <s v="Caucasian"/>
    <n v="41"/>
    <x v="881"/>
    <n v="892"/>
    <n v="0"/>
    <x v="0"/>
    <x v="8"/>
  </r>
  <r>
    <x v="939"/>
    <s v="Ivy Luong"/>
    <x v="18"/>
    <x v="2"/>
    <s v="Corporate"/>
    <x v="1"/>
    <s v="Asian"/>
    <n v="56"/>
    <x v="882"/>
    <n v="808"/>
    <n v="0"/>
    <x v="0"/>
    <x v="4"/>
  </r>
  <r>
    <x v="940"/>
    <s v="Aurora Bailey"/>
    <x v="30"/>
    <x v="0"/>
    <s v="Research &amp; Development"/>
    <x v="1"/>
    <s v="Caucasian"/>
    <n v="31"/>
    <x v="883"/>
    <n v="916"/>
    <n v="0"/>
    <x v="0"/>
    <x v="8"/>
  </r>
  <r>
    <x v="941"/>
    <s v="Valentina Valdez"/>
    <x v="10"/>
    <x v="4"/>
    <s v="Research &amp; Development"/>
    <x v="1"/>
    <s v="Latino"/>
    <n v="40"/>
    <x v="251"/>
    <n v="668"/>
    <n v="0.14000000000000001"/>
    <x v="2"/>
    <x v="12"/>
  </r>
  <r>
    <x v="942"/>
    <s v="Parker Dinh"/>
    <x v="11"/>
    <x v="3"/>
    <s v="Specialty Products"/>
    <x v="0"/>
    <s v="Asian"/>
    <n v="51"/>
    <x v="884"/>
    <n v="987"/>
    <n v="0.36"/>
    <x v="1"/>
    <x v="9"/>
  </r>
  <r>
    <x v="943"/>
    <s v="Eliana Hsu"/>
    <x v="32"/>
    <x v="0"/>
    <s v="Specialty Products"/>
    <x v="1"/>
    <s v="Asian"/>
    <n v="49"/>
    <x v="885"/>
    <n v="956"/>
    <n v="0"/>
    <x v="0"/>
    <x v="5"/>
  </r>
  <r>
    <x v="944"/>
    <s v="Logan Parker"/>
    <x v="24"/>
    <x v="6"/>
    <s v="Research &amp; Development"/>
    <x v="0"/>
    <s v="Caucasian"/>
    <n v="34"/>
    <x v="886"/>
    <n v="871"/>
    <n v="0"/>
    <x v="0"/>
    <x v="4"/>
  </r>
  <r>
    <x v="945"/>
    <s v="Liliana Green"/>
    <x v="2"/>
    <x v="2"/>
    <s v="Corporate"/>
    <x v="1"/>
    <s v="Caucasian"/>
    <n v="48"/>
    <x v="887"/>
    <n v="963"/>
    <n v="0"/>
    <x v="0"/>
    <x v="1"/>
  </r>
  <r>
    <x v="946"/>
    <s v="Victoria Vazquez"/>
    <x v="16"/>
    <x v="0"/>
    <s v="Research &amp; Development"/>
    <x v="1"/>
    <s v="Latino"/>
    <n v="45"/>
    <x v="888"/>
    <n v="748"/>
    <n v="0"/>
    <x v="0"/>
    <x v="5"/>
  </r>
  <r>
    <x v="947"/>
    <s v="Kinsley Huynh"/>
    <x v="11"/>
    <x v="6"/>
    <s v="Specialty Products"/>
    <x v="1"/>
    <s v="Asian"/>
    <n v="53"/>
    <x v="889"/>
    <n v="785"/>
    <n v="0.36"/>
    <x v="0"/>
    <x v="5"/>
  </r>
  <r>
    <x v="948"/>
    <s v="Anna Carrillo"/>
    <x v="30"/>
    <x v="0"/>
    <s v="Corporate"/>
    <x v="1"/>
    <s v="Latino"/>
    <n v="55"/>
    <x v="890"/>
    <n v="934"/>
    <n v="0"/>
    <x v="2"/>
    <x v="10"/>
  </r>
  <r>
    <x v="949"/>
    <s v="Isla Singh"/>
    <x v="31"/>
    <x v="0"/>
    <s v="Corporate"/>
    <x v="1"/>
    <s v="Asian"/>
    <n v="56"/>
    <x v="48"/>
    <n v="542"/>
    <n v="0"/>
    <x v="1"/>
    <x v="2"/>
  </r>
  <r>
    <x v="950"/>
    <s v="Emma Yu"/>
    <x v="30"/>
    <x v="0"/>
    <s v="Research &amp; Development"/>
    <x v="1"/>
    <s v="Asian"/>
    <n v="41"/>
    <x v="891"/>
    <n v="885"/>
    <n v="0"/>
    <x v="1"/>
    <x v="2"/>
  </r>
  <r>
    <x v="951"/>
    <s v="Jonathan Dominguez"/>
    <x v="1"/>
    <x v="1"/>
    <s v="Specialty Products"/>
    <x v="0"/>
    <s v="Latino"/>
    <n v="55"/>
    <x v="892"/>
    <n v="841"/>
    <n v="0"/>
    <x v="2"/>
    <x v="11"/>
  </r>
  <r>
    <x v="952"/>
    <s v="Caleb Mehta"/>
    <x v="31"/>
    <x v="0"/>
    <s v="Specialty Products"/>
    <x v="0"/>
    <s v="Asian"/>
    <n v="42"/>
    <x v="428"/>
    <n v="671"/>
    <n v="0"/>
    <x v="0"/>
    <x v="8"/>
  </r>
  <r>
    <x v="953"/>
    <s v="Connor Simmons"/>
    <x v="5"/>
    <x v="1"/>
    <s v="Research &amp; Development"/>
    <x v="0"/>
    <s v="Black"/>
    <n v="30"/>
    <x v="471"/>
    <n v="796"/>
    <n v="0"/>
    <x v="0"/>
    <x v="1"/>
  </r>
  <r>
    <x v="954"/>
    <s v="Jaxon Lai"/>
    <x v="2"/>
    <x v="2"/>
    <s v="Research &amp; Development"/>
    <x v="0"/>
    <s v="Asian"/>
    <n v="44"/>
    <x v="893"/>
    <n v="636"/>
    <n v="0"/>
    <x v="1"/>
    <x v="6"/>
  </r>
  <r>
    <x v="955"/>
    <s v="Madelyn Yee"/>
    <x v="5"/>
    <x v="3"/>
    <s v="Research &amp; Development"/>
    <x v="1"/>
    <s v="Asian"/>
    <n v="49"/>
    <x v="894"/>
    <n v="948"/>
    <n v="0"/>
    <x v="0"/>
    <x v="4"/>
  </r>
  <r>
    <x v="956"/>
    <s v="Elena Jimenez"/>
    <x v="11"/>
    <x v="0"/>
    <s v="Specialty Products"/>
    <x v="1"/>
    <s v="Latino"/>
    <n v="43"/>
    <x v="895"/>
    <n v="905"/>
    <n v="0.39"/>
    <x v="2"/>
    <x v="11"/>
  </r>
  <r>
    <x v="957"/>
    <s v="Sadie Ali"/>
    <x v="8"/>
    <x v="5"/>
    <s v="Specialty Products"/>
    <x v="1"/>
    <s v="Asian"/>
    <n v="53"/>
    <x v="896"/>
    <n v="553"/>
    <n v="0.08"/>
    <x v="1"/>
    <x v="7"/>
  </r>
  <r>
    <x v="958"/>
    <s v="Lucas Sandoval"/>
    <x v="5"/>
    <x v="1"/>
    <s v="Manufacturing"/>
    <x v="0"/>
    <s v="Latino"/>
    <n v="41"/>
    <x v="897"/>
    <n v="827"/>
    <n v="0"/>
    <x v="2"/>
    <x v="12"/>
  </r>
  <r>
    <x v="959"/>
    <s v="Brooks Ngo"/>
    <x v="11"/>
    <x v="0"/>
    <s v="Corporate"/>
    <x v="0"/>
    <s v="Asian"/>
    <n v="26"/>
    <x v="367"/>
    <n v="613"/>
    <n v="0.3"/>
    <x v="0"/>
    <x v="8"/>
  </r>
  <r>
    <x v="960"/>
    <s v="Piper Oh"/>
    <x v="5"/>
    <x v="5"/>
    <s v="Research &amp; Development"/>
    <x v="1"/>
    <s v="Asian"/>
    <n v="57"/>
    <x v="898"/>
    <n v="664"/>
    <n v="0"/>
    <x v="0"/>
    <x v="0"/>
  </r>
  <r>
    <x v="961"/>
    <s v="Hunter Molina"/>
    <x v="1"/>
    <x v="5"/>
    <s v="Specialty Products"/>
    <x v="0"/>
    <s v="Latino"/>
    <n v="41"/>
    <x v="899"/>
    <n v="849"/>
    <n v="0"/>
    <x v="0"/>
    <x v="4"/>
  </r>
  <r>
    <x v="962"/>
    <s v="Michael Hoang"/>
    <x v="4"/>
    <x v="2"/>
    <s v="Specialty Products"/>
    <x v="0"/>
    <s v="Asian"/>
    <n v="59"/>
    <x v="900"/>
    <n v="531"/>
    <n v="0.17"/>
    <x v="1"/>
    <x v="9"/>
  </r>
  <r>
    <x v="963"/>
    <s v="Eloise Sun"/>
    <x v="4"/>
    <x v="2"/>
    <s v="Specialty Products"/>
    <x v="1"/>
    <s v="Asian"/>
    <n v="59"/>
    <x v="901"/>
    <n v="575"/>
    <n v="0.25"/>
    <x v="0"/>
    <x v="5"/>
  </r>
  <r>
    <x v="964"/>
    <s v="Gianna Jimenez"/>
    <x v="15"/>
    <x v="6"/>
    <s v="Manufacturing"/>
    <x v="1"/>
    <s v="Latino"/>
    <n v="54"/>
    <x v="902"/>
    <n v="721"/>
    <n v="0"/>
    <x v="2"/>
    <x v="11"/>
  </r>
  <r>
    <x v="965"/>
    <s v="Ava Chan"/>
    <x v="10"/>
    <x v="6"/>
    <s v="Corporate"/>
    <x v="1"/>
    <s v="Asian"/>
    <n v="44"/>
    <x v="229"/>
    <n v="883"/>
    <n v="0.14000000000000001"/>
    <x v="1"/>
    <x v="6"/>
  </r>
  <r>
    <x v="966"/>
    <s v="Leilani Navarro"/>
    <x v="8"/>
    <x v="5"/>
    <s v="Specialty Products"/>
    <x v="1"/>
    <s v="Latino"/>
    <n v="55"/>
    <x v="903"/>
    <n v="922"/>
    <n v="0.05"/>
    <x v="2"/>
    <x v="10"/>
  </r>
  <r>
    <x v="967"/>
    <s v="Lydia Chu"/>
    <x v="4"/>
    <x v="2"/>
    <s v="Research &amp; Development"/>
    <x v="1"/>
    <s v="Asian"/>
    <n v="30"/>
    <x v="904"/>
    <n v="621"/>
    <n v="0.15"/>
    <x v="1"/>
    <x v="6"/>
  </r>
  <r>
    <x v="968"/>
    <s v="Liam Salazar"/>
    <x v="14"/>
    <x v="1"/>
    <s v="Specialty Products"/>
    <x v="0"/>
    <s v="Latino"/>
    <n v="44"/>
    <x v="905"/>
    <n v="882"/>
    <n v="0"/>
    <x v="2"/>
    <x v="11"/>
  </r>
  <r>
    <x v="969"/>
    <s v="Hailey Henderson"/>
    <x v="1"/>
    <x v="5"/>
    <s v="Specialty Products"/>
    <x v="1"/>
    <s v="Caucasian"/>
    <n v="57"/>
    <x v="906"/>
    <n v="776"/>
    <n v="0"/>
    <x v="0"/>
    <x v="0"/>
  </r>
  <r>
    <x v="970"/>
    <s v="Austin Espinoza"/>
    <x v="32"/>
    <x v="0"/>
    <s v="Corporate"/>
    <x v="0"/>
    <s v="Latino"/>
    <n v="58"/>
    <x v="907"/>
    <n v="501"/>
    <n v="0"/>
    <x v="0"/>
    <x v="3"/>
  </r>
  <r>
    <x v="971"/>
    <s v="Delilah Ng"/>
    <x v="32"/>
    <x v="0"/>
    <s v="Manufacturing"/>
    <x v="1"/>
    <s v="Asian"/>
    <n v="59"/>
    <x v="908"/>
    <n v="530"/>
    <n v="0"/>
    <x v="0"/>
    <x v="1"/>
  </r>
  <r>
    <x v="972"/>
    <s v="Gabriella Han"/>
    <x v="7"/>
    <x v="2"/>
    <s v="Manufacturing"/>
    <x v="1"/>
    <s v="Asian"/>
    <n v="60"/>
    <x v="909"/>
    <n v="644"/>
    <n v="0"/>
    <x v="0"/>
    <x v="0"/>
  </r>
  <r>
    <x v="973"/>
    <s v="Aria Miller"/>
    <x v="2"/>
    <x v="2"/>
    <s v="Research &amp; Development"/>
    <x v="1"/>
    <s v="Black"/>
    <n v="32"/>
    <x v="910"/>
    <n v="704"/>
    <n v="0"/>
    <x v="0"/>
    <x v="0"/>
  </r>
  <r>
    <x v="974"/>
    <s v="Sofia Dixon"/>
    <x v="21"/>
    <x v="0"/>
    <s v="Manufacturing"/>
    <x v="1"/>
    <s v="Caucasian"/>
    <n v="41"/>
    <x v="911"/>
    <n v="691"/>
    <n v="0"/>
    <x v="0"/>
    <x v="0"/>
  </r>
  <r>
    <x v="975"/>
    <s v="Ethan Xiong"/>
    <x v="27"/>
    <x v="2"/>
    <s v="Specialty Products"/>
    <x v="0"/>
    <s v="Asian"/>
    <n v="39"/>
    <x v="912"/>
    <n v="529"/>
    <n v="0"/>
    <x v="0"/>
    <x v="0"/>
  </r>
  <r>
    <x v="976"/>
    <s v="Gabriella Cruz"/>
    <x v="5"/>
    <x v="5"/>
    <s v="Specialty Products"/>
    <x v="1"/>
    <s v="Latino"/>
    <n v="39"/>
    <x v="913"/>
    <n v="730"/>
    <n v="0"/>
    <x v="0"/>
    <x v="8"/>
  </r>
  <r>
    <x v="977"/>
    <s v="Christopher Kang"/>
    <x v="25"/>
    <x v="0"/>
    <s v="Research &amp; Development"/>
    <x v="0"/>
    <s v="Asian"/>
    <n v="31"/>
    <x v="914"/>
    <n v="715"/>
    <n v="0.13"/>
    <x v="0"/>
    <x v="5"/>
  </r>
  <r>
    <x v="978"/>
    <s v="Ariana Pham"/>
    <x v="5"/>
    <x v="1"/>
    <s v="Research &amp; Development"/>
    <x v="1"/>
    <s v="Asian"/>
    <n v="32"/>
    <x v="915"/>
    <n v="590"/>
    <n v="0"/>
    <x v="1"/>
    <x v="9"/>
  </r>
  <r>
    <x v="979"/>
    <s v="Colton Bui"/>
    <x v="10"/>
    <x v="3"/>
    <s v="Research &amp; Development"/>
    <x v="0"/>
    <s v="Asian"/>
    <n v="46"/>
    <x v="916"/>
    <n v="860"/>
    <n v="0.13"/>
    <x v="1"/>
    <x v="2"/>
  </r>
  <r>
    <x v="980"/>
    <s v="Caroline Cortez"/>
    <x v="8"/>
    <x v="2"/>
    <s v="Specialty Products"/>
    <x v="1"/>
    <s v="Latino"/>
    <n v="64"/>
    <x v="917"/>
    <n v="810"/>
    <n v="0.08"/>
    <x v="0"/>
    <x v="8"/>
  </r>
  <r>
    <x v="981"/>
    <s v="Nora Richardson"/>
    <x v="4"/>
    <x v="6"/>
    <s v="Specialty Products"/>
    <x v="1"/>
    <s v="Caucasian"/>
    <n v="53"/>
    <x v="918"/>
    <n v="616"/>
    <n v="0.17"/>
    <x v="0"/>
    <x v="8"/>
  </r>
  <r>
    <x v="982"/>
    <s v="Alexander Sanchez"/>
    <x v="5"/>
    <x v="1"/>
    <s v="Manufacturing"/>
    <x v="0"/>
    <s v="Latino"/>
    <n v="34"/>
    <x v="241"/>
    <n v="789"/>
    <n v="0"/>
    <x v="0"/>
    <x v="8"/>
  </r>
  <r>
    <x v="983"/>
    <s v="Logan Rahman"/>
    <x v="8"/>
    <x v="6"/>
    <s v="Specialty Products"/>
    <x v="0"/>
    <s v="Asian"/>
    <n v="39"/>
    <x v="919"/>
    <n v="569"/>
    <n v="0.05"/>
    <x v="0"/>
    <x v="4"/>
  </r>
  <r>
    <x v="984"/>
    <s v="Henry Rogers"/>
    <x v="29"/>
    <x v="1"/>
    <s v="Corporate"/>
    <x v="0"/>
    <s v="Caucasian"/>
    <n v="25"/>
    <x v="920"/>
    <n v="601"/>
    <n v="0"/>
    <x v="0"/>
    <x v="3"/>
  </r>
  <r>
    <x v="985"/>
    <s v="Delilah Cheng"/>
    <x v="22"/>
    <x v="2"/>
    <s v="Specialty Products"/>
    <x v="1"/>
    <s v="Asian"/>
    <n v="45"/>
    <x v="921"/>
    <n v="859"/>
    <n v="0"/>
    <x v="1"/>
    <x v="6"/>
  </r>
  <r>
    <x v="986"/>
    <s v="Caroline Rodriguez"/>
    <x v="10"/>
    <x v="4"/>
    <s v="Corporate"/>
    <x v="1"/>
    <s v="Latino"/>
    <n v="61"/>
    <x v="922"/>
    <n v="570"/>
    <n v="0.13"/>
    <x v="2"/>
    <x v="12"/>
  </r>
  <r>
    <x v="987"/>
    <s v="Jack Chin"/>
    <x v="10"/>
    <x v="3"/>
    <s v="Corporate"/>
    <x v="0"/>
    <s v="Asian"/>
    <n v="44"/>
    <x v="923"/>
    <n v="759"/>
    <n v="0.13"/>
    <x v="0"/>
    <x v="5"/>
  </r>
  <r>
    <x v="988"/>
    <s v="Luna Collins"/>
    <x v="18"/>
    <x v="2"/>
    <s v="Manufacturing"/>
    <x v="1"/>
    <s v="Black"/>
    <n v="59"/>
    <x v="924"/>
    <n v="855"/>
    <n v="0"/>
    <x v="0"/>
    <x v="1"/>
  </r>
  <r>
    <x v="989"/>
    <s v="John Campos"/>
    <x v="32"/>
    <x v="0"/>
    <s v="Manufacturing"/>
    <x v="0"/>
    <s v="Latino"/>
    <n v="34"/>
    <x v="925"/>
    <n v="872"/>
    <n v="0"/>
    <x v="2"/>
    <x v="11"/>
  </r>
  <r>
    <x v="990"/>
    <s v="Charlotte Banks"/>
    <x v="14"/>
    <x v="1"/>
    <s v="Corporate"/>
    <x v="1"/>
    <s v="Black"/>
    <n v="45"/>
    <x v="706"/>
    <n v="828"/>
    <n v="0"/>
    <x v="0"/>
    <x v="5"/>
  </r>
  <r>
    <x v="991"/>
    <s v="Miles Liu"/>
    <x v="1"/>
    <x v="1"/>
    <s v="Research &amp; Development"/>
    <x v="0"/>
    <s v="Asian"/>
    <n v="35"/>
    <x v="926"/>
    <n v="581"/>
    <n v="0"/>
    <x v="0"/>
    <x v="0"/>
  </r>
  <r>
    <x v="992"/>
    <s v="Violet Duong"/>
    <x v="11"/>
    <x v="5"/>
    <s v="Specialty Products"/>
    <x v="1"/>
    <s v="Asian"/>
    <n v="42"/>
    <x v="927"/>
    <n v="808"/>
    <n v="0.31"/>
    <x v="0"/>
    <x v="4"/>
  </r>
  <r>
    <x v="993"/>
    <s v="Isaac Xiong"/>
    <x v="10"/>
    <x v="4"/>
    <s v="Specialty Products"/>
    <x v="0"/>
    <s v="Asian"/>
    <n v="38"/>
    <x v="928"/>
    <n v="605"/>
    <n v="0.12"/>
    <x v="0"/>
    <x v="3"/>
  </r>
  <r>
    <x v="994"/>
    <s v="Ian Le"/>
    <x v="11"/>
    <x v="0"/>
    <s v="Specialty Products"/>
    <x v="0"/>
    <s v="Asian"/>
    <n v="46"/>
    <x v="929"/>
    <n v="783"/>
    <n v="0.36"/>
    <x v="0"/>
    <x v="5"/>
  </r>
  <r>
    <x v="995"/>
    <s v="Melody Delgado"/>
    <x v="28"/>
    <x v="2"/>
    <s v="Specialty Products"/>
    <x v="1"/>
    <s v="Latino"/>
    <n v="48"/>
    <x v="930"/>
    <n v="520"/>
    <n v="0"/>
    <x v="2"/>
    <x v="10"/>
  </r>
  <r>
    <x v="996"/>
    <s v="Eliza Bui"/>
    <x v="1"/>
    <x v="4"/>
    <s v="Corporate"/>
    <x v="1"/>
    <s v="Asian"/>
    <n v="63"/>
    <x v="931"/>
    <n v="527"/>
    <n v="0"/>
    <x v="0"/>
    <x v="3"/>
  </r>
  <r>
    <x v="997"/>
    <s v="Layla Wu"/>
    <x v="29"/>
    <x v="1"/>
    <s v="Research &amp; Development"/>
    <x v="1"/>
    <s v="Asian"/>
    <n v="31"/>
    <x v="932"/>
    <n v="948"/>
    <n v="0"/>
    <x v="0"/>
    <x v="8"/>
  </r>
  <r>
    <x v="998"/>
    <s v="Thomas Lam"/>
    <x v="0"/>
    <x v="0"/>
    <s v="Manufacturing"/>
    <x v="0"/>
    <s v="Asian"/>
    <n v="52"/>
    <x v="209"/>
    <n v="514"/>
    <n v="0"/>
    <x v="0"/>
    <x v="3"/>
  </r>
  <r>
    <x v="999"/>
    <s v="Willow Taylor"/>
    <x v="14"/>
    <x v="1"/>
    <s v="Corporate"/>
    <x v="1"/>
    <s v="Black"/>
    <n v="27"/>
    <x v="933"/>
    <n v="611"/>
    <n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6CA0F7-504B-406B-BC29-6C956AFF3A20}"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B11" firstHeaderRow="1" firstDataRow="1" firstDataCol="1"/>
  <pivotFields count="13">
    <pivotField compact="0" outline="0" subtotalTop="0" showAll="0"/>
    <pivotField compact="0" outline="0" subtotalTop="0" showAll="0">
      <items count="992">
        <item x="587"/>
        <item x="120"/>
        <item x="813"/>
        <item x="354"/>
        <item x="116"/>
        <item x="485"/>
        <item x="711"/>
        <item x="834"/>
        <item x="241"/>
        <item x="827"/>
        <item x="561"/>
        <item x="164"/>
        <item x="837"/>
        <item x="284"/>
        <item x="280"/>
        <item x="904"/>
        <item x="213"/>
        <item x="889"/>
        <item x="686"/>
        <item x="605"/>
        <item x="658"/>
        <item x="582"/>
        <item x="553"/>
        <item x="580"/>
        <item x="833"/>
        <item x="130"/>
        <item x="691"/>
        <item x="973"/>
        <item x="547"/>
        <item x="385"/>
        <item x="366"/>
        <item x="71"/>
        <item x="417"/>
        <item x="845"/>
        <item x="532"/>
        <item x="36"/>
        <item x="630"/>
        <item x="275"/>
        <item x="651"/>
        <item x="412"/>
        <item x="568"/>
        <item x="939"/>
        <item x="519"/>
        <item x="851"/>
        <item x="542"/>
        <item x="83"/>
        <item x="625"/>
        <item x="177"/>
        <item x="555"/>
        <item x="261"/>
        <item x="805"/>
        <item x="533"/>
        <item x="510"/>
        <item x="616"/>
        <item x="214"/>
        <item x="964"/>
        <item x="363"/>
        <item x="896"/>
        <item x="820"/>
        <item x="969"/>
        <item x="797"/>
        <item x="515"/>
        <item x="182"/>
        <item x="662"/>
        <item x="862"/>
        <item x="102"/>
        <item x="419"/>
        <item x="230"/>
        <item x="636"/>
        <item x="881"/>
        <item x="796"/>
        <item x="389"/>
        <item x="375"/>
        <item x="192"/>
        <item x="406"/>
        <item x="858"/>
        <item x="413"/>
        <item x="725"/>
        <item x="327"/>
        <item x="447"/>
        <item x="178"/>
        <item x="457"/>
        <item x="717"/>
        <item x="243"/>
        <item x="756"/>
        <item x="215"/>
        <item x="931"/>
        <item x="42"/>
        <item x="961"/>
        <item x="172"/>
        <item x="544"/>
        <item x="440"/>
        <item x="791"/>
        <item x="767"/>
        <item x="486"/>
        <item x="302"/>
        <item x="267"/>
        <item x="956"/>
        <item x="97"/>
        <item x="355"/>
        <item x="108"/>
        <item x="219"/>
        <item x="856"/>
        <item x="812"/>
        <item x="572"/>
        <item x="222"/>
        <item x="552"/>
        <item x="276"/>
        <item x="31"/>
        <item x="74"/>
        <item x="32"/>
        <item x="682"/>
        <item x="550"/>
        <item x="117"/>
        <item x="259"/>
        <item x="496"/>
        <item x="92"/>
        <item x="54"/>
        <item x="16"/>
        <item x="11"/>
        <item x="613"/>
        <item x="370"/>
        <item x="642"/>
        <item x="577"/>
        <item x="162"/>
        <item x="822"/>
        <item x="950"/>
        <item x="26"/>
        <item x="514"/>
        <item x="147"/>
        <item x="943"/>
        <item x="564"/>
        <item x="668"/>
        <item x="2"/>
        <item x="567"/>
        <item x="593"/>
        <item x="416"/>
        <item x="407"/>
        <item x="450"/>
        <item x="971"/>
        <item x="197"/>
        <item x="876"/>
        <item x="861"/>
        <item x="480"/>
        <item x="709"/>
        <item x="977"/>
        <item x="109"/>
        <item x="849"/>
        <item x="478"/>
        <item x="481"/>
        <item x="548"/>
        <item x="562"/>
        <item x="914"/>
        <item x="260"/>
        <item x="672"/>
        <item x="422"/>
        <item x="315"/>
        <item x="760"/>
        <item x="239"/>
        <item x="526"/>
        <item x="374"/>
        <item x="688"/>
        <item x="168"/>
        <item x="200"/>
        <item x="864"/>
        <item x="24"/>
        <item x="402"/>
        <item x="981"/>
        <item x="423"/>
        <item x="786"/>
        <item x="298"/>
        <item x="504"/>
        <item x="347"/>
        <item x="764"/>
        <item x="307"/>
        <item x="39"/>
        <item x="754"/>
        <item x="341"/>
        <item x="60"/>
        <item x="232"/>
        <item x="88"/>
        <item x="115"/>
        <item x="810"/>
        <item x="358"/>
        <item x="256"/>
        <item x="274"/>
        <item x="150"/>
        <item x="586"/>
        <item x="678"/>
        <item x="653"/>
        <item x="438"/>
        <item x="869"/>
        <item x="664"/>
        <item x="968"/>
        <item x="330"/>
        <item x="906"/>
        <item x="617"/>
        <item x="173"/>
        <item x="452"/>
        <item x="687"/>
        <item x="285"/>
        <item x="210"/>
        <item x="326"/>
        <item x="357"/>
        <item x="838"/>
        <item x="456"/>
        <item x="652"/>
        <item x="859"/>
        <item x="114"/>
        <item x="262"/>
        <item x="874"/>
        <item x="199"/>
        <item x="970"/>
        <item x="180"/>
        <item x="898"/>
        <item x="825"/>
        <item x="875"/>
        <item x="715"/>
        <item x="242"/>
        <item x="96"/>
        <item x="917"/>
        <item x="944"/>
        <item x="927"/>
        <item x="394"/>
        <item x="842"/>
        <item x="583"/>
        <item x="843"/>
        <item x="175"/>
        <item x="603"/>
        <item x="558"/>
        <item x="628"/>
        <item x="408"/>
        <item x="780"/>
        <item x="929"/>
        <item x="594"/>
        <item x="511"/>
        <item x="720"/>
        <item x="376"/>
        <item x="189"/>
        <item x="67"/>
        <item x="458"/>
        <item x="976"/>
        <item x="367"/>
        <item x="962"/>
        <item x="454"/>
        <item x="666"/>
        <item x="888"/>
        <item x="824"/>
        <item x="909"/>
        <item x="98"/>
        <item x="609"/>
        <item x="313"/>
        <item x="894"/>
        <item x="475"/>
        <item x="798"/>
        <item x="918"/>
        <item x="770"/>
        <item x="288"/>
        <item x="299"/>
        <item x="947"/>
        <item x="268"/>
        <item x="383"/>
        <item x="20"/>
        <item x="517"/>
        <item x="78"/>
        <item x="157"/>
        <item x="128"/>
        <item x="167"/>
        <item x="934"/>
        <item x="320"/>
        <item x="306"/>
        <item x="281"/>
        <item x="153"/>
        <item x="68"/>
        <item x="534"/>
        <item x="112"/>
        <item x="328"/>
        <item x="596"/>
        <item x="291"/>
        <item x="987"/>
        <item x="551"/>
        <item x="55"/>
        <item x="854"/>
        <item x="771"/>
        <item x="527"/>
        <item x="879"/>
        <item x="565"/>
        <item x="694"/>
        <item x="137"/>
        <item x="460"/>
        <item x="344"/>
        <item x="43"/>
        <item x="507"/>
        <item x="782"/>
        <item x="40"/>
        <item x="444"/>
        <item x="712"/>
        <item x="467"/>
        <item x="201"/>
        <item x="506"/>
        <item x="891"/>
        <item x="747"/>
        <item x="381"/>
        <item x="455"/>
        <item x="79"/>
        <item x="954"/>
        <item x="254"/>
        <item x="723"/>
        <item x="899"/>
        <item x="592"/>
        <item x="809"/>
        <item x="892"/>
        <item x="310"/>
        <item x="483"/>
        <item x="473"/>
        <item x="240"/>
        <item x="125"/>
        <item x="446"/>
        <item x="618"/>
        <item x="342"/>
        <item x="768"/>
        <item x="601"/>
        <item x="941"/>
        <item x="903"/>
        <item x="66"/>
        <item x="492"/>
        <item x="966"/>
        <item x="75"/>
        <item x="225"/>
        <item x="449"/>
        <item x="159"/>
        <item x="745"/>
        <item x="671"/>
        <item x="206"/>
        <item x="319"/>
        <item x="924"/>
        <item x="923"/>
        <item x="692"/>
        <item x="738"/>
        <item x="883"/>
        <item x="194"/>
        <item x="763"/>
        <item x="308"/>
        <item x="783"/>
        <item x="388"/>
        <item x="103"/>
        <item x="531"/>
        <item x="614"/>
        <item x="209"/>
        <item x="295"/>
        <item x="648"/>
        <item x="598"/>
        <item x="518"/>
        <item x="188"/>
        <item x="5"/>
        <item x="323"/>
        <item x="220"/>
        <item x="749"/>
        <item x="56"/>
        <item x="540"/>
        <item x="743"/>
        <item x="265"/>
        <item x="158"/>
        <item x="967"/>
        <item x="963"/>
        <item x="645"/>
        <item x="900"/>
        <item x="249"/>
        <item x="403"/>
        <item x="529"/>
        <item x="441"/>
        <item x="8"/>
        <item x="955"/>
        <item x="41"/>
        <item x="94"/>
        <item x="292"/>
        <item x="420"/>
        <item x="221"/>
        <item x="524"/>
        <item x="334"/>
        <item x="187"/>
        <item x="704"/>
        <item x="850"/>
        <item x="231"/>
        <item x="772"/>
        <item x="757"/>
        <item x="740"/>
        <item x="436"/>
        <item x="878"/>
        <item x="631"/>
        <item x="287"/>
        <item x="487"/>
        <item x="960"/>
        <item x="110"/>
        <item x="741"/>
        <item x="203"/>
        <item x="395"/>
        <item x="435"/>
        <item x="708"/>
        <item x="790"/>
        <item x="439"/>
        <item x="789"/>
        <item x="3"/>
        <item x="4"/>
        <item x="576"/>
        <item x="655"/>
        <item x="216"/>
        <item x="784"/>
        <item x="975"/>
        <item x="305"/>
        <item x="803"/>
        <item x="247"/>
        <item x="897"/>
        <item x="434"/>
        <item x="425"/>
        <item x="578"/>
        <item x="604"/>
        <item x="574"/>
        <item x="237"/>
        <item x="377"/>
        <item x="622"/>
        <item x="560"/>
        <item x="156"/>
        <item x="952"/>
        <item x="795"/>
        <item x="271"/>
        <item x="152"/>
        <item x="80"/>
        <item x="901"/>
        <item x="785"/>
        <item x="468"/>
        <item x="985"/>
        <item x="226"/>
        <item x="339"/>
        <item x="765"/>
        <item x="217"/>
        <item x="409"/>
        <item x="847"/>
        <item x="270"/>
        <item x="442"/>
        <item x="466"/>
        <item x="589"/>
        <item x="61"/>
        <item x="912"/>
        <item x="868"/>
        <item x="608"/>
        <item x="730"/>
        <item x="984"/>
        <item x="905"/>
        <item x="399"/>
        <item x="49"/>
        <item x="430"/>
        <item x="163"/>
        <item x="721"/>
        <item x="758"/>
        <item x="800"/>
        <item x="940"/>
        <item x="17"/>
        <item x="414"/>
        <item x="349"/>
        <item x="930"/>
        <item x="382"/>
        <item x="324"/>
        <item x="236"/>
        <item x="27"/>
        <item x="913"/>
        <item x="733"/>
        <item x="860"/>
        <item x="726"/>
        <item x="707"/>
        <item x="644"/>
        <item x="978"/>
        <item x="581"/>
        <item x="234"/>
        <item x="132"/>
        <item x="144"/>
        <item x="134"/>
        <item x="556"/>
        <item x="317"/>
        <item x="255"/>
        <item x="392"/>
        <item x="224"/>
        <item x="677"/>
        <item x="58"/>
        <item x="663"/>
        <item x="14"/>
        <item x="6"/>
        <item x="100"/>
        <item x="364"/>
        <item x="331"/>
        <item x="10"/>
        <item x="794"/>
        <item x="193"/>
        <item x="9"/>
        <item x="538"/>
        <item x="121"/>
        <item x="660"/>
        <item x="945"/>
        <item x="910"/>
        <item x="902"/>
        <item x="332"/>
        <item x="233"/>
        <item x="895"/>
        <item x="734"/>
        <item x="489"/>
        <item x="51"/>
        <item x="437"/>
        <item x="469"/>
        <item x="350"/>
        <item x="229"/>
        <item x="25"/>
        <item x="513"/>
        <item x="343"/>
        <item x="174"/>
        <item x="916"/>
        <item x="38"/>
        <item x="525"/>
        <item x="705"/>
        <item x="980"/>
        <item x="696"/>
        <item x="787"/>
        <item x="942"/>
        <item x="865"/>
        <item x="698"/>
        <item x="646"/>
        <item x="607"/>
        <item x="380"/>
        <item x="536"/>
        <item x="882"/>
        <item x="18"/>
        <item x="316"/>
        <item x="397"/>
        <item x="853"/>
        <item x="278"/>
        <item x="12"/>
        <item x="920"/>
        <item x="716"/>
        <item x="95"/>
        <item x="283"/>
        <item x="390"/>
        <item x="884"/>
        <item x="699"/>
        <item x="728"/>
        <item x="463"/>
        <item x="659"/>
        <item x="198"/>
        <item x="799"/>
        <item x="777"/>
        <item x="269"/>
        <item x="405"/>
        <item x="761"/>
        <item x="872"/>
        <item x="751"/>
        <item x="563"/>
        <item x="62"/>
        <item x="176"/>
        <item x="769"/>
        <item x="378"/>
        <item x="183"/>
        <item x="817"/>
        <item x="549"/>
        <item x="750"/>
        <item x="415"/>
        <item x="826"/>
        <item x="0"/>
        <item x="312"/>
        <item x="684"/>
        <item x="204"/>
        <item x="286"/>
        <item x="689"/>
        <item x="106"/>
        <item x="303"/>
        <item x="877"/>
        <item x="151"/>
        <item x="823"/>
        <item x="816"/>
        <item x="938"/>
        <item x="63"/>
        <item x="362"/>
        <item x="273"/>
        <item x="353"/>
        <item x="35"/>
        <item x="626"/>
        <item x="776"/>
        <item x="244"/>
        <item x="523"/>
        <item x="53"/>
        <item x="474"/>
        <item x="627"/>
        <item x="546"/>
        <item x="207"/>
        <item x="340"/>
        <item x="988"/>
        <item x="600"/>
        <item x="835"/>
        <item x="50"/>
        <item x="99"/>
        <item x="497"/>
        <item x="732"/>
        <item x="701"/>
        <item x="957"/>
        <item x="251"/>
        <item x="484"/>
        <item x="844"/>
        <item x="418"/>
        <item x="34"/>
        <item x="428"/>
        <item x="680"/>
        <item x="352"/>
        <item x="131"/>
        <item x="72"/>
        <item x="570"/>
        <item x="846"/>
        <item x="870"/>
        <item x="737"/>
        <item x="333"/>
        <item x="588"/>
        <item x="649"/>
        <item x="290"/>
        <item x="886"/>
        <item x="585"/>
        <item x="348"/>
        <item x="535"/>
        <item x="195"/>
        <item x="959"/>
        <item x="573"/>
        <item x="33"/>
        <item x="427"/>
        <item x="208"/>
        <item x="936"/>
        <item x="520"/>
        <item x="866"/>
        <item x="294"/>
        <item x="685"/>
        <item x="129"/>
        <item x="107"/>
        <item x="21"/>
        <item x="190"/>
        <item x="289"/>
        <item x="361"/>
        <item x="759"/>
        <item x="818"/>
        <item x="530"/>
        <item x="373"/>
        <item x="424"/>
        <item x="495"/>
        <item x="731"/>
        <item x="766"/>
        <item x="867"/>
        <item x="935"/>
        <item x="974"/>
        <item x="184"/>
        <item x="122"/>
        <item x="431"/>
        <item x="325"/>
        <item x="503"/>
        <item x="149"/>
        <item x="69"/>
        <item x="46"/>
        <item x="465"/>
        <item x="702"/>
        <item x="246"/>
        <item x="508"/>
        <item x="453"/>
        <item x="277"/>
        <item x="155"/>
        <item x="84"/>
        <item x="13"/>
        <item x="949"/>
        <item x="695"/>
        <item x="124"/>
        <item x="840"/>
        <item x="89"/>
        <item x="641"/>
        <item x="908"/>
        <item x="543"/>
        <item x="623"/>
        <item x="669"/>
        <item x="459"/>
        <item x="126"/>
        <item x="227"/>
        <item x="632"/>
        <item x="979"/>
        <item x="90"/>
        <item x="15"/>
        <item x="893"/>
        <item x="958"/>
        <item x="266"/>
        <item x="602"/>
        <item x="773"/>
        <item x="445"/>
        <item x="212"/>
        <item x="615"/>
        <item x="181"/>
        <item x="141"/>
        <item x="545"/>
        <item x="637"/>
        <item x="654"/>
        <item x="443"/>
        <item x="857"/>
        <item x="848"/>
        <item x="808"/>
        <item x="318"/>
        <item x="946"/>
        <item x="464"/>
        <item x="814"/>
        <item x="650"/>
        <item x="921"/>
        <item x="301"/>
        <item x="829"/>
        <item x="359"/>
        <item x="537"/>
        <item x="387"/>
        <item x="719"/>
        <item x="93"/>
        <item x="309"/>
        <item x="887"/>
        <item x="779"/>
        <item x="264"/>
        <item x="781"/>
        <item x="521"/>
        <item x="579"/>
        <item x="335"/>
        <item x="127"/>
        <item x="643"/>
        <item x="986"/>
        <item x="293"/>
        <item x="329"/>
        <item x="263"/>
        <item x="855"/>
        <item x="621"/>
        <item x="77"/>
        <item x="736"/>
        <item x="169"/>
        <item x="633"/>
        <item x="656"/>
        <item x="830"/>
        <item x="396"/>
        <item x="953"/>
        <item x="611"/>
        <item x="400"/>
        <item x="640"/>
        <item x="248"/>
        <item x="713"/>
        <item x="365"/>
        <item x="807"/>
        <item x="7"/>
        <item x="982"/>
        <item x="595"/>
        <item x="697"/>
        <item x="146"/>
        <item x="710"/>
        <item x="584"/>
        <item x="499"/>
        <item x="410"/>
        <item x="674"/>
        <item x="140"/>
        <item x="739"/>
        <item x="673"/>
        <item x="297"/>
        <item x="828"/>
        <item x="706"/>
        <item x="59"/>
        <item x="804"/>
        <item x="619"/>
        <item x="398"/>
        <item x="806"/>
        <item x="351"/>
        <item x="314"/>
        <item x="911"/>
        <item x="87"/>
        <item x="665"/>
        <item x="802"/>
        <item x="599"/>
        <item x="742"/>
        <item x="727"/>
        <item x="391"/>
        <item x="258"/>
        <item x="873"/>
        <item x="245"/>
        <item x="426"/>
        <item x="143"/>
        <item x="819"/>
        <item x="336"/>
        <item x="228"/>
        <item x="384"/>
        <item x="566"/>
        <item x="165"/>
        <item x="522"/>
        <item x="620"/>
        <item x="372"/>
        <item x="972"/>
        <item x="714"/>
        <item x="118"/>
        <item x="404"/>
        <item x="462"/>
        <item x="634"/>
        <item x="448"/>
        <item x="429"/>
        <item x="502"/>
        <item x="321"/>
        <item x="681"/>
        <item x="401"/>
        <item x="482"/>
        <item x="356"/>
        <item x="252"/>
        <item x="393"/>
        <item x="250"/>
        <item x="70"/>
        <item x="411"/>
        <item x="755"/>
        <item x="154"/>
        <item x="575"/>
        <item x="657"/>
        <item x="778"/>
        <item x="746"/>
        <item x="852"/>
        <item x="166"/>
        <item x="815"/>
        <item x="832"/>
        <item x="933"/>
        <item x="105"/>
        <item x="23"/>
        <item x="47"/>
        <item x="928"/>
        <item x="81"/>
        <item x="304"/>
        <item x="185"/>
        <item x="472"/>
        <item x="257"/>
        <item x="104"/>
        <item x="148"/>
        <item x="73"/>
        <item x="491"/>
        <item x="202"/>
        <item x="476"/>
        <item x="28"/>
        <item x="488"/>
        <item x="841"/>
        <item x="57"/>
        <item x="559"/>
        <item x="951"/>
        <item x="179"/>
        <item x="479"/>
        <item x="113"/>
        <item x="516"/>
        <item x="142"/>
        <item x="793"/>
        <item x="729"/>
        <item x="145"/>
        <item x="528"/>
        <item x="612"/>
        <item x="775"/>
        <item x="1"/>
        <item x="554"/>
        <item x="836"/>
        <item x="86"/>
        <item x="111"/>
        <item x="752"/>
        <item x="30"/>
        <item x="44"/>
        <item x="296"/>
        <item x="235"/>
        <item x="433"/>
        <item x="569"/>
        <item x="322"/>
        <item x="186"/>
        <item x="205"/>
        <item x="48"/>
        <item x="238"/>
        <item x="629"/>
        <item x="338"/>
        <item x="948"/>
        <item x="670"/>
        <item x="753"/>
        <item x="119"/>
        <item x="863"/>
        <item x="722"/>
        <item x="345"/>
        <item x="590"/>
        <item x="821"/>
        <item x="748"/>
        <item x="138"/>
        <item x="774"/>
        <item x="368"/>
        <item x="539"/>
        <item x="907"/>
        <item x="647"/>
        <item x="477"/>
        <item x="724"/>
        <item x="52"/>
        <item x="676"/>
        <item x="700"/>
        <item x="871"/>
        <item x="693"/>
        <item x="161"/>
        <item x="509"/>
        <item x="610"/>
        <item x="762"/>
        <item x="76"/>
        <item x="45"/>
        <item x="211"/>
        <item x="133"/>
        <item x="223"/>
        <item x="500"/>
        <item x="638"/>
        <item x="512"/>
        <item x="919"/>
        <item x="22"/>
        <item x="369"/>
        <item x="661"/>
        <item x="65"/>
        <item x="490"/>
        <item x="493"/>
        <item x="792"/>
        <item x="926"/>
        <item x="667"/>
        <item x="37"/>
        <item x="170"/>
        <item x="253"/>
        <item x="451"/>
        <item x="965"/>
        <item x="379"/>
        <item x="915"/>
        <item x="597"/>
        <item x="82"/>
        <item x="880"/>
        <item x="191"/>
        <item x="744"/>
        <item x="624"/>
        <item x="19"/>
        <item x="557"/>
        <item x="461"/>
        <item x="311"/>
        <item x="839"/>
        <item x="91"/>
        <item x="885"/>
        <item x="505"/>
        <item x="101"/>
        <item x="196"/>
        <item x="635"/>
        <item x="989"/>
        <item x="218"/>
        <item x="346"/>
        <item x="421"/>
        <item x="703"/>
        <item x="925"/>
        <item x="922"/>
        <item x="272"/>
        <item x="932"/>
        <item x="690"/>
        <item x="498"/>
        <item x="890"/>
        <item x="136"/>
        <item x="937"/>
        <item x="501"/>
        <item x="386"/>
        <item x="983"/>
        <item x="788"/>
        <item x="135"/>
        <item x="360"/>
        <item x="470"/>
        <item x="718"/>
        <item x="494"/>
        <item x="679"/>
        <item x="300"/>
        <item x="591"/>
        <item x="279"/>
        <item x="371"/>
        <item x="64"/>
        <item x="432"/>
        <item x="471"/>
        <item x="571"/>
        <item x="683"/>
        <item x="801"/>
        <item x="337"/>
        <item x="990"/>
        <item x="606"/>
        <item x="811"/>
        <item x="282"/>
        <item x="160"/>
        <item x="123"/>
        <item x="29"/>
        <item x="735"/>
        <item x="541"/>
        <item x="85"/>
        <item x="139"/>
        <item x="675"/>
        <item x="171"/>
        <item x="639"/>
        <item x="831"/>
        <item t="default"/>
      </items>
    </pivotField>
    <pivotField compact="0" outline="0" subtotalTop="0" showAll="0"/>
    <pivotField axis="axisRow" compact="0" outline="0" subtotalTop="0" showAll="0" defaultSubtotal="0">
      <items count="7">
        <item x="3"/>
        <item x="0"/>
        <item x="4"/>
        <item x="6"/>
        <item x="2"/>
        <item x="5"/>
        <item x="1"/>
      </items>
    </pivotField>
    <pivotField compact="0" outline="0" subtotalTop="0" showAll="0">
      <items count="6">
        <item x="1"/>
        <item x="0"/>
        <item x="4"/>
        <item x="2"/>
        <item x="3"/>
        <item t="default"/>
      </items>
    </pivotField>
    <pivotField compact="0" outline="0" subtotalTop="0" showAll="0"/>
    <pivotField compact="0" outline="0" subtotalTop="0" showAll="0"/>
    <pivotField compact="0" outline="0" subtotalTop="0" showAll="0"/>
    <pivotField compact="0" numFmtId="14" outline="0" subtotalTop="0" showAll="0"/>
    <pivotField dataField="1" compact="0" numFmtId="164" outline="0" subtotalTop="0" showAll="0"/>
    <pivotField compact="0" numFmtId="165" outline="0" subtotalTop="0" showAll="0"/>
    <pivotField compact="0" outline="0" subtotalTop="0" showAll="0"/>
    <pivotField compact="0" outline="0" subtotalTop="0" showAll="0"/>
  </pivotFields>
  <rowFields count="1">
    <field x="3"/>
  </rowFields>
  <rowItems count="8">
    <i>
      <x/>
    </i>
    <i>
      <x v="1"/>
    </i>
    <i>
      <x v="2"/>
    </i>
    <i>
      <x v="3"/>
    </i>
    <i>
      <x v="4"/>
    </i>
    <i>
      <x v="5"/>
    </i>
    <i>
      <x v="6"/>
    </i>
    <i t="grand">
      <x/>
    </i>
  </rowItems>
  <colItems count="1">
    <i/>
  </colItems>
  <dataFields count="1">
    <dataField name="Sum of Annual Salary" fld="9" baseField="0" baseItem="0"/>
  </dataFields>
  <formats count="1">
    <format dxfId="30">
      <pivotArea dataOnly="0" outline="0" fieldPosition="0">
        <references count="1">
          <reference field="3" count="0" defaultSubtotal="1"/>
        </references>
      </pivotArea>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EC7BCA-4813-4D83-B061-D22DB0EC9EC0}"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K3:AL17" firstHeaderRow="1" firstDataRow="1" firstDataCol="1"/>
  <pivotFields count="13">
    <pivotField compact="0" outline="0" subtotalTop="0" showAll="0"/>
    <pivotField compact="0" outline="0" subtotalTop="0" showAll="0">
      <items count="992">
        <item x="587"/>
        <item x="120"/>
        <item x="813"/>
        <item x="354"/>
        <item x="116"/>
        <item x="485"/>
        <item x="711"/>
        <item x="834"/>
        <item x="241"/>
        <item x="827"/>
        <item x="561"/>
        <item x="164"/>
        <item x="837"/>
        <item x="284"/>
        <item x="280"/>
        <item x="904"/>
        <item x="213"/>
        <item x="889"/>
        <item x="686"/>
        <item x="605"/>
        <item x="658"/>
        <item x="582"/>
        <item x="553"/>
        <item x="580"/>
        <item x="833"/>
        <item x="130"/>
        <item x="691"/>
        <item x="973"/>
        <item x="547"/>
        <item x="385"/>
        <item x="366"/>
        <item x="71"/>
        <item x="417"/>
        <item x="845"/>
        <item x="532"/>
        <item x="36"/>
        <item x="630"/>
        <item x="275"/>
        <item x="651"/>
        <item x="412"/>
        <item x="568"/>
        <item x="939"/>
        <item x="519"/>
        <item x="851"/>
        <item x="542"/>
        <item x="83"/>
        <item x="625"/>
        <item x="177"/>
        <item x="555"/>
        <item x="261"/>
        <item x="805"/>
        <item x="533"/>
        <item x="510"/>
        <item x="616"/>
        <item x="214"/>
        <item x="964"/>
        <item x="363"/>
        <item x="896"/>
        <item x="820"/>
        <item x="969"/>
        <item x="797"/>
        <item x="515"/>
        <item x="182"/>
        <item x="662"/>
        <item x="862"/>
        <item x="102"/>
        <item x="419"/>
        <item x="230"/>
        <item x="636"/>
        <item x="881"/>
        <item x="796"/>
        <item x="389"/>
        <item x="375"/>
        <item x="192"/>
        <item x="406"/>
        <item x="858"/>
        <item x="413"/>
        <item x="725"/>
        <item x="327"/>
        <item x="447"/>
        <item x="178"/>
        <item x="457"/>
        <item x="717"/>
        <item x="243"/>
        <item x="756"/>
        <item x="215"/>
        <item x="931"/>
        <item x="42"/>
        <item x="961"/>
        <item x="172"/>
        <item x="544"/>
        <item x="440"/>
        <item x="791"/>
        <item x="767"/>
        <item x="486"/>
        <item x="302"/>
        <item x="267"/>
        <item x="956"/>
        <item x="97"/>
        <item x="355"/>
        <item x="108"/>
        <item x="219"/>
        <item x="856"/>
        <item x="812"/>
        <item x="572"/>
        <item x="222"/>
        <item x="552"/>
        <item x="276"/>
        <item x="31"/>
        <item x="74"/>
        <item x="32"/>
        <item x="682"/>
        <item x="550"/>
        <item x="117"/>
        <item x="259"/>
        <item x="496"/>
        <item x="92"/>
        <item x="54"/>
        <item x="16"/>
        <item x="11"/>
        <item x="613"/>
        <item x="370"/>
        <item x="642"/>
        <item x="577"/>
        <item x="162"/>
        <item x="822"/>
        <item x="950"/>
        <item x="26"/>
        <item x="514"/>
        <item x="147"/>
        <item x="943"/>
        <item x="564"/>
        <item x="668"/>
        <item x="2"/>
        <item x="567"/>
        <item x="593"/>
        <item x="416"/>
        <item x="407"/>
        <item x="450"/>
        <item x="971"/>
        <item x="197"/>
        <item x="876"/>
        <item x="861"/>
        <item x="480"/>
        <item x="709"/>
        <item x="977"/>
        <item x="109"/>
        <item x="849"/>
        <item x="478"/>
        <item x="481"/>
        <item x="548"/>
        <item x="562"/>
        <item x="914"/>
        <item x="260"/>
        <item x="672"/>
        <item x="422"/>
        <item x="315"/>
        <item x="760"/>
        <item x="239"/>
        <item x="526"/>
        <item x="374"/>
        <item x="688"/>
        <item x="168"/>
        <item x="200"/>
        <item x="864"/>
        <item x="24"/>
        <item x="402"/>
        <item x="981"/>
        <item x="423"/>
        <item x="786"/>
        <item x="298"/>
        <item x="504"/>
        <item x="347"/>
        <item x="764"/>
        <item x="307"/>
        <item x="39"/>
        <item x="754"/>
        <item x="341"/>
        <item x="60"/>
        <item x="232"/>
        <item x="88"/>
        <item x="115"/>
        <item x="810"/>
        <item x="358"/>
        <item x="256"/>
        <item x="274"/>
        <item x="150"/>
        <item x="586"/>
        <item x="678"/>
        <item x="653"/>
        <item x="438"/>
        <item x="869"/>
        <item x="664"/>
        <item x="968"/>
        <item x="330"/>
        <item x="906"/>
        <item x="617"/>
        <item x="173"/>
        <item x="452"/>
        <item x="687"/>
        <item x="285"/>
        <item x="210"/>
        <item x="326"/>
        <item x="357"/>
        <item x="838"/>
        <item x="456"/>
        <item x="652"/>
        <item x="859"/>
        <item x="114"/>
        <item x="262"/>
        <item x="874"/>
        <item x="199"/>
        <item x="970"/>
        <item x="180"/>
        <item x="898"/>
        <item x="825"/>
        <item x="875"/>
        <item x="715"/>
        <item x="242"/>
        <item x="96"/>
        <item x="917"/>
        <item x="944"/>
        <item x="927"/>
        <item x="394"/>
        <item x="842"/>
        <item x="583"/>
        <item x="843"/>
        <item x="175"/>
        <item x="603"/>
        <item x="558"/>
        <item x="628"/>
        <item x="408"/>
        <item x="780"/>
        <item x="929"/>
        <item x="594"/>
        <item x="511"/>
        <item x="720"/>
        <item x="376"/>
        <item x="189"/>
        <item x="67"/>
        <item x="458"/>
        <item x="976"/>
        <item x="367"/>
        <item x="962"/>
        <item x="454"/>
        <item x="666"/>
        <item x="888"/>
        <item x="824"/>
        <item x="909"/>
        <item x="98"/>
        <item x="609"/>
        <item x="313"/>
        <item x="894"/>
        <item x="475"/>
        <item x="798"/>
        <item x="918"/>
        <item x="770"/>
        <item x="288"/>
        <item x="299"/>
        <item x="947"/>
        <item x="268"/>
        <item x="383"/>
        <item x="20"/>
        <item x="517"/>
        <item x="78"/>
        <item x="157"/>
        <item x="128"/>
        <item x="167"/>
        <item x="934"/>
        <item x="320"/>
        <item x="306"/>
        <item x="281"/>
        <item x="153"/>
        <item x="68"/>
        <item x="534"/>
        <item x="112"/>
        <item x="328"/>
        <item x="596"/>
        <item x="291"/>
        <item x="987"/>
        <item x="551"/>
        <item x="55"/>
        <item x="854"/>
        <item x="771"/>
        <item x="527"/>
        <item x="879"/>
        <item x="565"/>
        <item x="694"/>
        <item x="137"/>
        <item x="460"/>
        <item x="344"/>
        <item x="43"/>
        <item x="507"/>
        <item x="782"/>
        <item x="40"/>
        <item x="444"/>
        <item x="712"/>
        <item x="467"/>
        <item x="201"/>
        <item x="506"/>
        <item x="891"/>
        <item x="747"/>
        <item x="381"/>
        <item x="455"/>
        <item x="79"/>
        <item x="954"/>
        <item x="254"/>
        <item x="723"/>
        <item x="899"/>
        <item x="592"/>
        <item x="809"/>
        <item x="892"/>
        <item x="310"/>
        <item x="483"/>
        <item x="473"/>
        <item x="240"/>
        <item x="125"/>
        <item x="446"/>
        <item x="618"/>
        <item x="342"/>
        <item x="768"/>
        <item x="601"/>
        <item x="941"/>
        <item x="903"/>
        <item x="66"/>
        <item x="492"/>
        <item x="966"/>
        <item x="75"/>
        <item x="225"/>
        <item x="449"/>
        <item x="159"/>
        <item x="745"/>
        <item x="671"/>
        <item x="206"/>
        <item x="319"/>
        <item x="924"/>
        <item x="923"/>
        <item x="692"/>
        <item x="738"/>
        <item x="883"/>
        <item x="194"/>
        <item x="763"/>
        <item x="308"/>
        <item x="783"/>
        <item x="388"/>
        <item x="103"/>
        <item x="531"/>
        <item x="614"/>
        <item x="209"/>
        <item x="295"/>
        <item x="648"/>
        <item x="598"/>
        <item x="518"/>
        <item x="188"/>
        <item x="5"/>
        <item x="323"/>
        <item x="220"/>
        <item x="749"/>
        <item x="56"/>
        <item x="540"/>
        <item x="743"/>
        <item x="265"/>
        <item x="158"/>
        <item x="967"/>
        <item x="963"/>
        <item x="645"/>
        <item x="900"/>
        <item x="249"/>
        <item x="403"/>
        <item x="529"/>
        <item x="441"/>
        <item x="8"/>
        <item x="955"/>
        <item x="41"/>
        <item x="94"/>
        <item x="292"/>
        <item x="420"/>
        <item x="221"/>
        <item x="524"/>
        <item x="334"/>
        <item x="187"/>
        <item x="704"/>
        <item x="850"/>
        <item x="231"/>
        <item x="772"/>
        <item x="757"/>
        <item x="740"/>
        <item x="436"/>
        <item x="878"/>
        <item x="631"/>
        <item x="287"/>
        <item x="487"/>
        <item x="960"/>
        <item x="110"/>
        <item x="741"/>
        <item x="203"/>
        <item x="395"/>
        <item x="435"/>
        <item x="708"/>
        <item x="790"/>
        <item x="439"/>
        <item x="789"/>
        <item x="3"/>
        <item x="4"/>
        <item x="576"/>
        <item x="655"/>
        <item x="216"/>
        <item x="784"/>
        <item x="975"/>
        <item x="305"/>
        <item x="803"/>
        <item x="247"/>
        <item x="897"/>
        <item x="434"/>
        <item x="425"/>
        <item x="578"/>
        <item x="604"/>
        <item x="574"/>
        <item x="237"/>
        <item x="377"/>
        <item x="622"/>
        <item x="560"/>
        <item x="156"/>
        <item x="952"/>
        <item x="795"/>
        <item x="271"/>
        <item x="152"/>
        <item x="80"/>
        <item x="901"/>
        <item x="785"/>
        <item x="468"/>
        <item x="985"/>
        <item x="226"/>
        <item x="339"/>
        <item x="765"/>
        <item x="217"/>
        <item x="409"/>
        <item x="847"/>
        <item x="270"/>
        <item x="442"/>
        <item x="466"/>
        <item x="589"/>
        <item x="61"/>
        <item x="912"/>
        <item x="868"/>
        <item x="608"/>
        <item x="730"/>
        <item x="984"/>
        <item x="905"/>
        <item x="399"/>
        <item x="49"/>
        <item x="430"/>
        <item x="163"/>
        <item x="721"/>
        <item x="758"/>
        <item x="800"/>
        <item x="940"/>
        <item x="17"/>
        <item x="414"/>
        <item x="349"/>
        <item x="930"/>
        <item x="382"/>
        <item x="324"/>
        <item x="236"/>
        <item x="27"/>
        <item x="913"/>
        <item x="733"/>
        <item x="860"/>
        <item x="726"/>
        <item x="707"/>
        <item x="644"/>
        <item x="978"/>
        <item x="581"/>
        <item x="234"/>
        <item x="132"/>
        <item x="144"/>
        <item x="134"/>
        <item x="556"/>
        <item x="317"/>
        <item x="255"/>
        <item x="392"/>
        <item x="224"/>
        <item x="677"/>
        <item x="58"/>
        <item x="663"/>
        <item x="14"/>
        <item x="6"/>
        <item x="100"/>
        <item x="364"/>
        <item x="331"/>
        <item x="10"/>
        <item x="794"/>
        <item x="193"/>
        <item x="9"/>
        <item x="538"/>
        <item x="121"/>
        <item x="660"/>
        <item x="945"/>
        <item x="910"/>
        <item x="902"/>
        <item x="332"/>
        <item x="233"/>
        <item x="895"/>
        <item x="734"/>
        <item x="489"/>
        <item x="51"/>
        <item x="437"/>
        <item x="469"/>
        <item x="350"/>
        <item x="229"/>
        <item x="25"/>
        <item x="513"/>
        <item x="343"/>
        <item x="174"/>
        <item x="916"/>
        <item x="38"/>
        <item x="525"/>
        <item x="705"/>
        <item x="980"/>
        <item x="696"/>
        <item x="787"/>
        <item x="942"/>
        <item x="865"/>
        <item x="698"/>
        <item x="646"/>
        <item x="607"/>
        <item x="380"/>
        <item x="536"/>
        <item x="882"/>
        <item x="18"/>
        <item x="316"/>
        <item x="397"/>
        <item x="853"/>
        <item x="278"/>
        <item x="12"/>
        <item x="920"/>
        <item x="716"/>
        <item x="95"/>
        <item x="283"/>
        <item x="390"/>
        <item x="884"/>
        <item x="699"/>
        <item x="728"/>
        <item x="463"/>
        <item x="659"/>
        <item x="198"/>
        <item x="799"/>
        <item x="777"/>
        <item x="269"/>
        <item x="405"/>
        <item x="761"/>
        <item x="872"/>
        <item x="751"/>
        <item x="563"/>
        <item x="62"/>
        <item x="176"/>
        <item x="769"/>
        <item x="378"/>
        <item x="183"/>
        <item x="817"/>
        <item x="549"/>
        <item x="750"/>
        <item x="415"/>
        <item x="826"/>
        <item x="0"/>
        <item x="312"/>
        <item x="684"/>
        <item x="204"/>
        <item x="286"/>
        <item x="689"/>
        <item x="106"/>
        <item x="303"/>
        <item x="877"/>
        <item x="151"/>
        <item x="823"/>
        <item x="816"/>
        <item x="938"/>
        <item x="63"/>
        <item x="362"/>
        <item x="273"/>
        <item x="353"/>
        <item x="35"/>
        <item x="626"/>
        <item x="776"/>
        <item x="244"/>
        <item x="523"/>
        <item x="53"/>
        <item x="474"/>
        <item x="627"/>
        <item x="546"/>
        <item x="207"/>
        <item x="340"/>
        <item x="988"/>
        <item x="600"/>
        <item x="835"/>
        <item x="50"/>
        <item x="99"/>
        <item x="497"/>
        <item x="732"/>
        <item x="701"/>
        <item x="957"/>
        <item x="251"/>
        <item x="484"/>
        <item x="844"/>
        <item x="418"/>
        <item x="34"/>
        <item x="428"/>
        <item x="680"/>
        <item x="352"/>
        <item x="131"/>
        <item x="72"/>
        <item x="570"/>
        <item x="846"/>
        <item x="870"/>
        <item x="737"/>
        <item x="333"/>
        <item x="588"/>
        <item x="649"/>
        <item x="290"/>
        <item x="886"/>
        <item x="585"/>
        <item x="348"/>
        <item x="535"/>
        <item x="195"/>
        <item x="959"/>
        <item x="573"/>
        <item x="33"/>
        <item x="427"/>
        <item x="208"/>
        <item x="936"/>
        <item x="520"/>
        <item x="866"/>
        <item x="294"/>
        <item x="685"/>
        <item x="129"/>
        <item x="107"/>
        <item x="21"/>
        <item x="190"/>
        <item x="289"/>
        <item x="361"/>
        <item x="759"/>
        <item x="818"/>
        <item x="530"/>
        <item x="373"/>
        <item x="424"/>
        <item x="495"/>
        <item x="731"/>
        <item x="766"/>
        <item x="867"/>
        <item x="935"/>
        <item x="974"/>
        <item x="184"/>
        <item x="122"/>
        <item x="431"/>
        <item x="325"/>
        <item x="503"/>
        <item x="149"/>
        <item x="69"/>
        <item x="46"/>
        <item x="465"/>
        <item x="702"/>
        <item x="246"/>
        <item x="508"/>
        <item x="453"/>
        <item x="277"/>
        <item x="155"/>
        <item x="84"/>
        <item x="13"/>
        <item x="949"/>
        <item x="695"/>
        <item x="124"/>
        <item x="840"/>
        <item x="89"/>
        <item x="641"/>
        <item x="908"/>
        <item x="543"/>
        <item x="623"/>
        <item x="669"/>
        <item x="459"/>
        <item x="126"/>
        <item x="227"/>
        <item x="632"/>
        <item x="979"/>
        <item x="90"/>
        <item x="15"/>
        <item x="893"/>
        <item x="958"/>
        <item x="266"/>
        <item x="602"/>
        <item x="773"/>
        <item x="445"/>
        <item x="212"/>
        <item x="615"/>
        <item x="181"/>
        <item x="141"/>
        <item x="545"/>
        <item x="637"/>
        <item x="654"/>
        <item x="443"/>
        <item x="857"/>
        <item x="848"/>
        <item x="808"/>
        <item x="318"/>
        <item x="946"/>
        <item x="464"/>
        <item x="814"/>
        <item x="650"/>
        <item x="921"/>
        <item x="301"/>
        <item x="829"/>
        <item x="359"/>
        <item x="537"/>
        <item x="387"/>
        <item x="719"/>
        <item x="93"/>
        <item x="309"/>
        <item x="887"/>
        <item x="779"/>
        <item x="264"/>
        <item x="781"/>
        <item x="521"/>
        <item x="579"/>
        <item x="335"/>
        <item x="127"/>
        <item x="643"/>
        <item x="986"/>
        <item x="293"/>
        <item x="329"/>
        <item x="263"/>
        <item x="855"/>
        <item x="621"/>
        <item x="77"/>
        <item x="736"/>
        <item x="169"/>
        <item x="633"/>
        <item x="656"/>
        <item x="830"/>
        <item x="396"/>
        <item x="953"/>
        <item x="611"/>
        <item x="400"/>
        <item x="640"/>
        <item x="248"/>
        <item x="713"/>
        <item x="365"/>
        <item x="807"/>
        <item x="7"/>
        <item x="982"/>
        <item x="595"/>
        <item x="697"/>
        <item x="146"/>
        <item x="710"/>
        <item x="584"/>
        <item x="499"/>
        <item x="410"/>
        <item x="674"/>
        <item x="140"/>
        <item x="739"/>
        <item x="673"/>
        <item x="297"/>
        <item x="828"/>
        <item x="706"/>
        <item x="59"/>
        <item x="804"/>
        <item x="619"/>
        <item x="398"/>
        <item x="806"/>
        <item x="351"/>
        <item x="314"/>
        <item x="911"/>
        <item x="87"/>
        <item x="665"/>
        <item x="802"/>
        <item x="599"/>
        <item x="742"/>
        <item x="727"/>
        <item x="391"/>
        <item x="258"/>
        <item x="873"/>
        <item x="245"/>
        <item x="426"/>
        <item x="143"/>
        <item x="819"/>
        <item x="336"/>
        <item x="228"/>
        <item x="384"/>
        <item x="566"/>
        <item x="165"/>
        <item x="522"/>
        <item x="620"/>
        <item x="372"/>
        <item x="972"/>
        <item x="714"/>
        <item x="118"/>
        <item x="404"/>
        <item x="462"/>
        <item x="634"/>
        <item x="448"/>
        <item x="429"/>
        <item x="502"/>
        <item x="321"/>
        <item x="681"/>
        <item x="401"/>
        <item x="482"/>
        <item x="356"/>
        <item x="252"/>
        <item x="393"/>
        <item x="250"/>
        <item x="70"/>
        <item x="411"/>
        <item x="755"/>
        <item x="154"/>
        <item x="575"/>
        <item x="657"/>
        <item x="778"/>
        <item x="746"/>
        <item x="852"/>
        <item x="166"/>
        <item x="815"/>
        <item x="832"/>
        <item x="933"/>
        <item x="105"/>
        <item x="23"/>
        <item x="47"/>
        <item x="928"/>
        <item x="81"/>
        <item x="304"/>
        <item x="185"/>
        <item x="472"/>
        <item x="257"/>
        <item x="104"/>
        <item x="148"/>
        <item x="73"/>
        <item x="491"/>
        <item x="202"/>
        <item x="476"/>
        <item x="28"/>
        <item x="488"/>
        <item x="841"/>
        <item x="57"/>
        <item x="559"/>
        <item x="951"/>
        <item x="179"/>
        <item x="479"/>
        <item x="113"/>
        <item x="516"/>
        <item x="142"/>
        <item x="793"/>
        <item x="729"/>
        <item x="145"/>
        <item x="528"/>
        <item x="612"/>
        <item x="775"/>
        <item x="1"/>
        <item x="554"/>
        <item x="836"/>
        <item x="86"/>
        <item x="111"/>
        <item x="752"/>
        <item x="30"/>
        <item x="44"/>
        <item x="296"/>
        <item x="235"/>
        <item x="433"/>
        <item x="569"/>
        <item x="322"/>
        <item x="186"/>
        <item x="205"/>
        <item x="48"/>
        <item x="238"/>
        <item x="629"/>
        <item x="338"/>
        <item x="948"/>
        <item x="670"/>
        <item x="753"/>
        <item x="119"/>
        <item x="863"/>
        <item x="722"/>
        <item x="345"/>
        <item x="590"/>
        <item x="821"/>
        <item x="748"/>
        <item x="138"/>
        <item x="774"/>
        <item x="368"/>
        <item x="539"/>
        <item x="907"/>
        <item x="647"/>
        <item x="477"/>
        <item x="724"/>
        <item x="52"/>
        <item x="676"/>
        <item x="700"/>
        <item x="871"/>
        <item x="693"/>
        <item x="161"/>
        <item x="509"/>
        <item x="610"/>
        <item x="762"/>
        <item x="76"/>
        <item x="45"/>
        <item x="211"/>
        <item x="133"/>
        <item x="223"/>
        <item x="500"/>
        <item x="638"/>
        <item x="512"/>
        <item x="919"/>
        <item x="22"/>
        <item x="369"/>
        <item x="661"/>
        <item x="65"/>
        <item x="490"/>
        <item x="493"/>
        <item x="792"/>
        <item x="926"/>
        <item x="667"/>
        <item x="37"/>
        <item x="170"/>
        <item x="253"/>
        <item x="451"/>
        <item x="965"/>
        <item x="379"/>
        <item x="915"/>
        <item x="597"/>
        <item x="82"/>
        <item x="880"/>
        <item x="191"/>
        <item x="744"/>
        <item x="624"/>
        <item x="19"/>
        <item x="557"/>
        <item x="461"/>
        <item x="311"/>
        <item x="839"/>
        <item x="91"/>
        <item x="885"/>
        <item x="505"/>
        <item x="101"/>
        <item x="196"/>
        <item x="635"/>
        <item x="989"/>
        <item x="218"/>
        <item x="346"/>
        <item x="421"/>
        <item x="703"/>
        <item x="925"/>
        <item x="922"/>
        <item x="272"/>
        <item x="932"/>
        <item x="690"/>
        <item x="498"/>
        <item x="890"/>
        <item x="136"/>
        <item x="937"/>
        <item x="501"/>
        <item x="386"/>
        <item x="983"/>
        <item x="788"/>
        <item x="135"/>
        <item x="360"/>
        <item x="470"/>
        <item x="718"/>
        <item x="494"/>
        <item x="679"/>
        <item x="300"/>
        <item x="591"/>
        <item x="279"/>
        <item x="371"/>
        <item x="64"/>
        <item x="432"/>
        <item x="471"/>
        <item x="571"/>
        <item x="683"/>
        <item x="801"/>
        <item x="337"/>
        <item x="990"/>
        <item x="606"/>
        <item x="811"/>
        <item x="282"/>
        <item x="160"/>
        <item x="123"/>
        <item x="29"/>
        <item x="735"/>
        <item x="541"/>
        <item x="85"/>
        <item x="139"/>
        <item x="675"/>
        <item x="171"/>
        <item x="639"/>
        <item x="831"/>
        <item t="default"/>
      </items>
    </pivotField>
    <pivotField compact="0" outline="0" subtotalTop="0" showAll="0"/>
    <pivotField compact="0" outline="0" subtotalTop="0" showAll="0" defaultSubtotal="0">
      <items count="7">
        <item x="3"/>
        <item x="0"/>
        <item x="4"/>
        <item x="6"/>
        <item x="2"/>
        <item x="5"/>
        <item x="1"/>
      </items>
    </pivotField>
    <pivotField compact="0" outline="0" subtotalTop="0" showAll="0">
      <items count="6">
        <item x="1"/>
        <item x="0"/>
        <item x="4"/>
        <item x="2"/>
        <item x="3"/>
        <item t="default"/>
      </items>
    </pivotField>
    <pivotField compact="0" outline="0" subtotalTop="0" showAll="0">
      <items count="3">
        <item x="1"/>
        <item x="0"/>
        <item t="default"/>
      </items>
    </pivotField>
    <pivotField compact="0" outline="0" subtotalTop="0" showAll="0">
      <items count="5">
        <item x="0"/>
        <item x="3"/>
        <item x="2"/>
        <item x="1"/>
        <item t="default"/>
      </items>
    </pivotField>
    <pivotField compact="0" outline="0" subtotalTop="0" showAll="0">
      <items count="42">
        <item x="40"/>
        <item x="22"/>
        <item x="27"/>
        <item x="34"/>
        <item x="13"/>
        <item x="37"/>
        <item x="15"/>
        <item x="23"/>
        <item x="26"/>
        <item x="2"/>
        <item x="25"/>
        <item x="11"/>
        <item x="33"/>
        <item x="6"/>
        <item x="3"/>
        <item x="35"/>
        <item x="20"/>
        <item x="4"/>
        <item x="14"/>
        <item x="38"/>
        <item x="10"/>
        <item x="30"/>
        <item x="0"/>
        <item x="16"/>
        <item x="8"/>
        <item x="19"/>
        <item x="31"/>
        <item x="7"/>
        <item x="32"/>
        <item x="24"/>
        <item x="17"/>
        <item x="36"/>
        <item x="39"/>
        <item x="1"/>
        <item x="21"/>
        <item x="29"/>
        <item x="12"/>
        <item x="5"/>
        <item x="9"/>
        <item x="18"/>
        <item x="28"/>
        <item t="default"/>
      </items>
    </pivotField>
    <pivotField compact="0" numFmtId="14" outline="0" subtotalTop="0" showAll="0"/>
    <pivotField dataField="1" compact="0" numFmtId="164" outline="0" subtotalTop="0" showAll="0"/>
    <pivotField compact="0" numFmtId="165" outline="0" subtotalTop="0" showAll="0"/>
    <pivotField compact="0" outline="0" subtotalTop="0" showAll="0">
      <items count="4">
        <item x="2"/>
        <item x="1"/>
        <item x="0"/>
        <item t="default"/>
      </items>
    </pivotField>
    <pivotField axis="axisRow" compact="0" outline="0" subtotalTop="0" showAll="0">
      <items count="14">
        <item x="4"/>
        <item x="9"/>
        <item x="7"/>
        <item x="1"/>
        <item x="6"/>
        <item x="0"/>
        <item x="12"/>
        <item x="8"/>
        <item x="5"/>
        <item x="10"/>
        <item x="11"/>
        <item x="3"/>
        <item x="2"/>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Annual Salary" fld="9"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1" format="4">
      <pivotArea type="data" outline="0" fieldPosition="0">
        <references count="2">
          <reference field="4294967294" count="1" selected="0">
            <x v="0"/>
          </reference>
          <reference field="12" count="1" selected="0">
            <x v="3"/>
          </reference>
        </references>
      </pivotArea>
    </chartFormat>
    <chartFormat chart="1" format="5">
      <pivotArea type="data" outline="0" fieldPosition="0">
        <references count="2">
          <reference field="4294967294" count="1" selected="0">
            <x v="0"/>
          </reference>
          <reference field="12" count="1" selected="0">
            <x v="4"/>
          </reference>
        </references>
      </pivotArea>
    </chartFormat>
    <chartFormat chart="1" format="6">
      <pivotArea type="data" outline="0" fieldPosition="0">
        <references count="2">
          <reference field="4294967294" count="1" selected="0">
            <x v="0"/>
          </reference>
          <reference field="12" count="1" selected="0">
            <x v="5"/>
          </reference>
        </references>
      </pivotArea>
    </chartFormat>
    <chartFormat chart="1" format="7">
      <pivotArea type="data" outline="0" fieldPosition="0">
        <references count="2">
          <reference field="4294967294" count="1" selected="0">
            <x v="0"/>
          </reference>
          <reference field="12" count="1" selected="0">
            <x v="6"/>
          </reference>
        </references>
      </pivotArea>
    </chartFormat>
    <chartFormat chart="1" format="8">
      <pivotArea type="data" outline="0" fieldPosition="0">
        <references count="2">
          <reference field="4294967294" count="1" selected="0">
            <x v="0"/>
          </reference>
          <reference field="12" count="1" selected="0">
            <x v="7"/>
          </reference>
        </references>
      </pivotArea>
    </chartFormat>
    <chartFormat chart="1" format="9">
      <pivotArea type="data" outline="0" fieldPosition="0">
        <references count="2">
          <reference field="4294967294" count="1" selected="0">
            <x v="0"/>
          </reference>
          <reference field="12" count="1" selected="0">
            <x v="8"/>
          </reference>
        </references>
      </pivotArea>
    </chartFormat>
    <chartFormat chart="1" format="10">
      <pivotArea type="data" outline="0" fieldPosition="0">
        <references count="2">
          <reference field="4294967294" count="1" selected="0">
            <x v="0"/>
          </reference>
          <reference field="12" count="1" selected="0">
            <x v="9"/>
          </reference>
        </references>
      </pivotArea>
    </chartFormat>
    <chartFormat chart="1" format="11">
      <pivotArea type="data" outline="0" fieldPosition="0">
        <references count="2">
          <reference field="4294967294" count="1" selected="0">
            <x v="0"/>
          </reference>
          <reference field="12" count="1" selected="0">
            <x v="10"/>
          </reference>
        </references>
      </pivotArea>
    </chartFormat>
    <chartFormat chart="1" format="12">
      <pivotArea type="data" outline="0" fieldPosition="0">
        <references count="2">
          <reference field="4294967294" count="1" selected="0">
            <x v="0"/>
          </reference>
          <reference field="12" count="1" selected="0">
            <x v="11"/>
          </reference>
        </references>
      </pivotArea>
    </chartFormat>
    <chartFormat chart="1" format="13">
      <pivotArea type="data" outline="0" fieldPosition="0">
        <references count="2">
          <reference field="4294967294" count="1" selected="0">
            <x v="0"/>
          </reference>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865350-7EC9-4118-86AF-5BB743B97F61}"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X3:Y7" firstHeaderRow="1" firstDataRow="1" firstDataCol="1"/>
  <pivotFields count="13">
    <pivotField compact="0" outline="0" subtotalTop="0" showAll="0"/>
    <pivotField compact="0" outline="0" subtotalTop="0" showAll="0">
      <items count="992">
        <item x="587"/>
        <item x="120"/>
        <item x="813"/>
        <item x="354"/>
        <item x="116"/>
        <item x="485"/>
        <item x="711"/>
        <item x="834"/>
        <item x="241"/>
        <item x="827"/>
        <item x="561"/>
        <item x="164"/>
        <item x="837"/>
        <item x="284"/>
        <item x="280"/>
        <item x="904"/>
        <item x="213"/>
        <item x="889"/>
        <item x="686"/>
        <item x="605"/>
        <item x="658"/>
        <item x="582"/>
        <item x="553"/>
        <item x="580"/>
        <item x="833"/>
        <item x="130"/>
        <item x="691"/>
        <item x="973"/>
        <item x="547"/>
        <item x="385"/>
        <item x="366"/>
        <item x="71"/>
        <item x="417"/>
        <item x="845"/>
        <item x="532"/>
        <item x="36"/>
        <item x="630"/>
        <item x="275"/>
        <item x="651"/>
        <item x="412"/>
        <item x="568"/>
        <item x="939"/>
        <item x="519"/>
        <item x="851"/>
        <item x="542"/>
        <item x="83"/>
        <item x="625"/>
        <item x="177"/>
        <item x="555"/>
        <item x="261"/>
        <item x="805"/>
        <item x="533"/>
        <item x="510"/>
        <item x="616"/>
        <item x="214"/>
        <item x="964"/>
        <item x="363"/>
        <item x="896"/>
        <item x="820"/>
        <item x="969"/>
        <item x="797"/>
        <item x="515"/>
        <item x="182"/>
        <item x="662"/>
        <item x="862"/>
        <item x="102"/>
        <item x="419"/>
        <item x="230"/>
        <item x="636"/>
        <item x="881"/>
        <item x="796"/>
        <item x="389"/>
        <item x="375"/>
        <item x="192"/>
        <item x="406"/>
        <item x="858"/>
        <item x="413"/>
        <item x="725"/>
        <item x="327"/>
        <item x="447"/>
        <item x="178"/>
        <item x="457"/>
        <item x="717"/>
        <item x="243"/>
        <item x="756"/>
        <item x="215"/>
        <item x="931"/>
        <item x="42"/>
        <item x="961"/>
        <item x="172"/>
        <item x="544"/>
        <item x="440"/>
        <item x="791"/>
        <item x="767"/>
        <item x="486"/>
        <item x="302"/>
        <item x="267"/>
        <item x="956"/>
        <item x="97"/>
        <item x="355"/>
        <item x="108"/>
        <item x="219"/>
        <item x="856"/>
        <item x="812"/>
        <item x="572"/>
        <item x="222"/>
        <item x="552"/>
        <item x="276"/>
        <item x="31"/>
        <item x="74"/>
        <item x="32"/>
        <item x="682"/>
        <item x="550"/>
        <item x="117"/>
        <item x="259"/>
        <item x="496"/>
        <item x="92"/>
        <item x="54"/>
        <item x="16"/>
        <item x="11"/>
        <item x="613"/>
        <item x="370"/>
        <item x="642"/>
        <item x="577"/>
        <item x="162"/>
        <item x="822"/>
        <item x="950"/>
        <item x="26"/>
        <item x="514"/>
        <item x="147"/>
        <item x="943"/>
        <item x="564"/>
        <item x="668"/>
        <item x="2"/>
        <item x="567"/>
        <item x="593"/>
        <item x="416"/>
        <item x="407"/>
        <item x="450"/>
        <item x="971"/>
        <item x="197"/>
        <item x="876"/>
        <item x="861"/>
        <item x="480"/>
        <item x="709"/>
        <item x="977"/>
        <item x="109"/>
        <item x="849"/>
        <item x="478"/>
        <item x="481"/>
        <item x="548"/>
        <item x="562"/>
        <item x="914"/>
        <item x="260"/>
        <item x="672"/>
        <item x="422"/>
        <item x="315"/>
        <item x="760"/>
        <item x="239"/>
        <item x="526"/>
        <item x="374"/>
        <item x="688"/>
        <item x="168"/>
        <item x="200"/>
        <item x="864"/>
        <item x="24"/>
        <item x="402"/>
        <item x="981"/>
        <item x="423"/>
        <item x="786"/>
        <item x="298"/>
        <item x="504"/>
        <item x="347"/>
        <item x="764"/>
        <item x="307"/>
        <item x="39"/>
        <item x="754"/>
        <item x="341"/>
        <item x="60"/>
        <item x="232"/>
        <item x="88"/>
        <item x="115"/>
        <item x="810"/>
        <item x="358"/>
        <item x="256"/>
        <item x="274"/>
        <item x="150"/>
        <item x="586"/>
        <item x="678"/>
        <item x="653"/>
        <item x="438"/>
        <item x="869"/>
        <item x="664"/>
        <item x="968"/>
        <item x="330"/>
        <item x="906"/>
        <item x="617"/>
        <item x="173"/>
        <item x="452"/>
        <item x="687"/>
        <item x="285"/>
        <item x="210"/>
        <item x="326"/>
        <item x="357"/>
        <item x="838"/>
        <item x="456"/>
        <item x="652"/>
        <item x="859"/>
        <item x="114"/>
        <item x="262"/>
        <item x="874"/>
        <item x="199"/>
        <item x="970"/>
        <item x="180"/>
        <item x="898"/>
        <item x="825"/>
        <item x="875"/>
        <item x="715"/>
        <item x="242"/>
        <item x="96"/>
        <item x="917"/>
        <item x="944"/>
        <item x="927"/>
        <item x="394"/>
        <item x="842"/>
        <item x="583"/>
        <item x="843"/>
        <item x="175"/>
        <item x="603"/>
        <item x="558"/>
        <item x="628"/>
        <item x="408"/>
        <item x="780"/>
        <item x="929"/>
        <item x="594"/>
        <item x="511"/>
        <item x="720"/>
        <item x="376"/>
        <item x="189"/>
        <item x="67"/>
        <item x="458"/>
        <item x="976"/>
        <item x="367"/>
        <item x="962"/>
        <item x="454"/>
        <item x="666"/>
        <item x="888"/>
        <item x="824"/>
        <item x="909"/>
        <item x="98"/>
        <item x="609"/>
        <item x="313"/>
        <item x="894"/>
        <item x="475"/>
        <item x="798"/>
        <item x="918"/>
        <item x="770"/>
        <item x="288"/>
        <item x="299"/>
        <item x="947"/>
        <item x="268"/>
        <item x="383"/>
        <item x="20"/>
        <item x="517"/>
        <item x="78"/>
        <item x="157"/>
        <item x="128"/>
        <item x="167"/>
        <item x="934"/>
        <item x="320"/>
        <item x="306"/>
        <item x="281"/>
        <item x="153"/>
        <item x="68"/>
        <item x="534"/>
        <item x="112"/>
        <item x="328"/>
        <item x="596"/>
        <item x="291"/>
        <item x="987"/>
        <item x="551"/>
        <item x="55"/>
        <item x="854"/>
        <item x="771"/>
        <item x="527"/>
        <item x="879"/>
        <item x="565"/>
        <item x="694"/>
        <item x="137"/>
        <item x="460"/>
        <item x="344"/>
        <item x="43"/>
        <item x="507"/>
        <item x="782"/>
        <item x="40"/>
        <item x="444"/>
        <item x="712"/>
        <item x="467"/>
        <item x="201"/>
        <item x="506"/>
        <item x="891"/>
        <item x="747"/>
        <item x="381"/>
        <item x="455"/>
        <item x="79"/>
        <item x="954"/>
        <item x="254"/>
        <item x="723"/>
        <item x="899"/>
        <item x="592"/>
        <item x="809"/>
        <item x="892"/>
        <item x="310"/>
        <item x="483"/>
        <item x="473"/>
        <item x="240"/>
        <item x="125"/>
        <item x="446"/>
        <item x="618"/>
        <item x="342"/>
        <item x="768"/>
        <item x="601"/>
        <item x="941"/>
        <item x="903"/>
        <item x="66"/>
        <item x="492"/>
        <item x="966"/>
        <item x="75"/>
        <item x="225"/>
        <item x="449"/>
        <item x="159"/>
        <item x="745"/>
        <item x="671"/>
        <item x="206"/>
        <item x="319"/>
        <item x="924"/>
        <item x="923"/>
        <item x="692"/>
        <item x="738"/>
        <item x="883"/>
        <item x="194"/>
        <item x="763"/>
        <item x="308"/>
        <item x="783"/>
        <item x="388"/>
        <item x="103"/>
        <item x="531"/>
        <item x="614"/>
        <item x="209"/>
        <item x="295"/>
        <item x="648"/>
        <item x="598"/>
        <item x="518"/>
        <item x="188"/>
        <item x="5"/>
        <item x="323"/>
        <item x="220"/>
        <item x="749"/>
        <item x="56"/>
        <item x="540"/>
        <item x="743"/>
        <item x="265"/>
        <item x="158"/>
        <item x="967"/>
        <item x="963"/>
        <item x="645"/>
        <item x="900"/>
        <item x="249"/>
        <item x="403"/>
        <item x="529"/>
        <item x="441"/>
        <item x="8"/>
        <item x="955"/>
        <item x="41"/>
        <item x="94"/>
        <item x="292"/>
        <item x="420"/>
        <item x="221"/>
        <item x="524"/>
        <item x="334"/>
        <item x="187"/>
        <item x="704"/>
        <item x="850"/>
        <item x="231"/>
        <item x="772"/>
        <item x="757"/>
        <item x="740"/>
        <item x="436"/>
        <item x="878"/>
        <item x="631"/>
        <item x="287"/>
        <item x="487"/>
        <item x="960"/>
        <item x="110"/>
        <item x="741"/>
        <item x="203"/>
        <item x="395"/>
        <item x="435"/>
        <item x="708"/>
        <item x="790"/>
        <item x="439"/>
        <item x="789"/>
        <item x="3"/>
        <item x="4"/>
        <item x="576"/>
        <item x="655"/>
        <item x="216"/>
        <item x="784"/>
        <item x="975"/>
        <item x="305"/>
        <item x="803"/>
        <item x="247"/>
        <item x="897"/>
        <item x="434"/>
        <item x="425"/>
        <item x="578"/>
        <item x="604"/>
        <item x="574"/>
        <item x="237"/>
        <item x="377"/>
        <item x="622"/>
        <item x="560"/>
        <item x="156"/>
        <item x="952"/>
        <item x="795"/>
        <item x="271"/>
        <item x="152"/>
        <item x="80"/>
        <item x="901"/>
        <item x="785"/>
        <item x="468"/>
        <item x="985"/>
        <item x="226"/>
        <item x="339"/>
        <item x="765"/>
        <item x="217"/>
        <item x="409"/>
        <item x="847"/>
        <item x="270"/>
        <item x="442"/>
        <item x="466"/>
        <item x="589"/>
        <item x="61"/>
        <item x="912"/>
        <item x="868"/>
        <item x="608"/>
        <item x="730"/>
        <item x="984"/>
        <item x="905"/>
        <item x="399"/>
        <item x="49"/>
        <item x="430"/>
        <item x="163"/>
        <item x="721"/>
        <item x="758"/>
        <item x="800"/>
        <item x="940"/>
        <item x="17"/>
        <item x="414"/>
        <item x="349"/>
        <item x="930"/>
        <item x="382"/>
        <item x="324"/>
        <item x="236"/>
        <item x="27"/>
        <item x="913"/>
        <item x="733"/>
        <item x="860"/>
        <item x="726"/>
        <item x="707"/>
        <item x="644"/>
        <item x="978"/>
        <item x="581"/>
        <item x="234"/>
        <item x="132"/>
        <item x="144"/>
        <item x="134"/>
        <item x="556"/>
        <item x="317"/>
        <item x="255"/>
        <item x="392"/>
        <item x="224"/>
        <item x="677"/>
        <item x="58"/>
        <item x="663"/>
        <item x="14"/>
        <item x="6"/>
        <item x="100"/>
        <item x="364"/>
        <item x="331"/>
        <item x="10"/>
        <item x="794"/>
        <item x="193"/>
        <item x="9"/>
        <item x="538"/>
        <item x="121"/>
        <item x="660"/>
        <item x="945"/>
        <item x="910"/>
        <item x="902"/>
        <item x="332"/>
        <item x="233"/>
        <item x="895"/>
        <item x="734"/>
        <item x="489"/>
        <item x="51"/>
        <item x="437"/>
        <item x="469"/>
        <item x="350"/>
        <item x="229"/>
        <item x="25"/>
        <item x="513"/>
        <item x="343"/>
        <item x="174"/>
        <item x="916"/>
        <item x="38"/>
        <item x="525"/>
        <item x="705"/>
        <item x="980"/>
        <item x="696"/>
        <item x="787"/>
        <item x="942"/>
        <item x="865"/>
        <item x="698"/>
        <item x="646"/>
        <item x="607"/>
        <item x="380"/>
        <item x="536"/>
        <item x="882"/>
        <item x="18"/>
        <item x="316"/>
        <item x="397"/>
        <item x="853"/>
        <item x="278"/>
        <item x="12"/>
        <item x="920"/>
        <item x="716"/>
        <item x="95"/>
        <item x="283"/>
        <item x="390"/>
        <item x="884"/>
        <item x="699"/>
        <item x="728"/>
        <item x="463"/>
        <item x="659"/>
        <item x="198"/>
        <item x="799"/>
        <item x="777"/>
        <item x="269"/>
        <item x="405"/>
        <item x="761"/>
        <item x="872"/>
        <item x="751"/>
        <item x="563"/>
        <item x="62"/>
        <item x="176"/>
        <item x="769"/>
        <item x="378"/>
        <item x="183"/>
        <item x="817"/>
        <item x="549"/>
        <item x="750"/>
        <item x="415"/>
        <item x="826"/>
        <item x="0"/>
        <item x="312"/>
        <item x="684"/>
        <item x="204"/>
        <item x="286"/>
        <item x="689"/>
        <item x="106"/>
        <item x="303"/>
        <item x="877"/>
        <item x="151"/>
        <item x="823"/>
        <item x="816"/>
        <item x="938"/>
        <item x="63"/>
        <item x="362"/>
        <item x="273"/>
        <item x="353"/>
        <item x="35"/>
        <item x="626"/>
        <item x="776"/>
        <item x="244"/>
        <item x="523"/>
        <item x="53"/>
        <item x="474"/>
        <item x="627"/>
        <item x="546"/>
        <item x="207"/>
        <item x="340"/>
        <item x="988"/>
        <item x="600"/>
        <item x="835"/>
        <item x="50"/>
        <item x="99"/>
        <item x="497"/>
        <item x="732"/>
        <item x="701"/>
        <item x="957"/>
        <item x="251"/>
        <item x="484"/>
        <item x="844"/>
        <item x="418"/>
        <item x="34"/>
        <item x="428"/>
        <item x="680"/>
        <item x="352"/>
        <item x="131"/>
        <item x="72"/>
        <item x="570"/>
        <item x="846"/>
        <item x="870"/>
        <item x="737"/>
        <item x="333"/>
        <item x="588"/>
        <item x="649"/>
        <item x="290"/>
        <item x="886"/>
        <item x="585"/>
        <item x="348"/>
        <item x="535"/>
        <item x="195"/>
        <item x="959"/>
        <item x="573"/>
        <item x="33"/>
        <item x="427"/>
        <item x="208"/>
        <item x="936"/>
        <item x="520"/>
        <item x="866"/>
        <item x="294"/>
        <item x="685"/>
        <item x="129"/>
        <item x="107"/>
        <item x="21"/>
        <item x="190"/>
        <item x="289"/>
        <item x="361"/>
        <item x="759"/>
        <item x="818"/>
        <item x="530"/>
        <item x="373"/>
        <item x="424"/>
        <item x="495"/>
        <item x="731"/>
        <item x="766"/>
        <item x="867"/>
        <item x="935"/>
        <item x="974"/>
        <item x="184"/>
        <item x="122"/>
        <item x="431"/>
        <item x="325"/>
        <item x="503"/>
        <item x="149"/>
        <item x="69"/>
        <item x="46"/>
        <item x="465"/>
        <item x="702"/>
        <item x="246"/>
        <item x="508"/>
        <item x="453"/>
        <item x="277"/>
        <item x="155"/>
        <item x="84"/>
        <item x="13"/>
        <item x="949"/>
        <item x="695"/>
        <item x="124"/>
        <item x="840"/>
        <item x="89"/>
        <item x="641"/>
        <item x="908"/>
        <item x="543"/>
        <item x="623"/>
        <item x="669"/>
        <item x="459"/>
        <item x="126"/>
        <item x="227"/>
        <item x="632"/>
        <item x="979"/>
        <item x="90"/>
        <item x="15"/>
        <item x="893"/>
        <item x="958"/>
        <item x="266"/>
        <item x="602"/>
        <item x="773"/>
        <item x="445"/>
        <item x="212"/>
        <item x="615"/>
        <item x="181"/>
        <item x="141"/>
        <item x="545"/>
        <item x="637"/>
        <item x="654"/>
        <item x="443"/>
        <item x="857"/>
        <item x="848"/>
        <item x="808"/>
        <item x="318"/>
        <item x="946"/>
        <item x="464"/>
        <item x="814"/>
        <item x="650"/>
        <item x="921"/>
        <item x="301"/>
        <item x="829"/>
        <item x="359"/>
        <item x="537"/>
        <item x="387"/>
        <item x="719"/>
        <item x="93"/>
        <item x="309"/>
        <item x="887"/>
        <item x="779"/>
        <item x="264"/>
        <item x="781"/>
        <item x="521"/>
        <item x="579"/>
        <item x="335"/>
        <item x="127"/>
        <item x="643"/>
        <item x="986"/>
        <item x="293"/>
        <item x="329"/>
        <item x="263"/>
        <item x="855"/>
        <item x="621"/>
        <item x="77"/>
        <item x="736"/>
        <item x="169"/>
        <item x="633"/>
        <item x="656"/>
        <item x="830"/>
        <item x="396"/>
        <item x="953"/>
        <item x="611"/>
        <item x="400"/>
        <item x="640"/>
        <item x="248"/>
        <item x="713"/>
        <item x="365"/>
        <item x="807"/>
        <item x="7"/>
        <item x="982"/>
        <item x="595"/>
        <item x="697"/>
        <item x="146"/>
        <item x="710"/>
        <item x="584"/>
        <item x="499"/>
        <item x="410"/>
        <item x="674"/>
        <item x="140"/>
        <item x="739"/>
        <item x="673"/>
        <item x="297"/>
        <item x="828"/>
        <item x="706"/>
        <item x="59"/>
        <item x="804"/>
        <item x="619"/>
        <item x="398"/>
        <item x="806"/>
        <item x="351"/>
        <item x="314"/>
        <item x="911"/>
        <item x="87"/>
        <item x="665"/>
        <item x="802"/>
        <item x="599"/>
        <item x="742"/>
        <item x="727"/>
        <item x="391"/>
        <item x="258"/>
        <item x="873"/>
        <item x="245"/>
        <item x="426"/>
        <item x="143"/>
        <item x="819"/>
        <item x="336"/>
        <item x="228"/>
        <item x="384"/>
        <item x="566"/>
        <item x="165"/>
        <item x="522"/>
        <item x="620"/>
        <item x="372"/>
        <item x="972"/>
        <item x="714"/>
        <item x="118"/>
        <item x="404"/>
        <item x="462"/>
        <item x="634"/>
        <item x="448"/>
        <item x="429"/>
        <item x="502"/>
        <item x="321"/>
        <item x="681"/>
        <item x="401"/>
        <item x="482"/>
        <item x="356"/>
        <item x="252"/>
        <item x="393"/>
        <item x="250"/>
        <item x="70"/>
        <item x="411"/>
        <item x="755"/>
        <item x="154"/>
        <item x="575"/>
        <item x="657"/>
        <item x="778"/>
        <item x="746"/>
        <item x="852"/>
        <item x="166"/>
        <item x="815"/>
        <item x="832"/>
        <item x="933"/>
        <item x="105"/>
        <item x="23"/>
        <item x="47"/>
        <item x="928"/>
        <item x="81"/>
        <item x="304"/>
        <item x="185"/>
        <item x="472"/>
        <item x="257"/>
        <item x="104"/>
        <item x="148"/>
        <item x="73"/>
        <item x="491"/>
        <item x="202"/>
        <item x="476"/>
        <item x="28"/>
        <item x="488"/>
        <item x="841"/>
        <item x="57"/>
        <item x="559"/>
        <item x="951"/>
        <item x="179"/>
        <item x="479"/>
        <item x="113"/>
        <item x="516"/>
        <item x="142"/>
        <item x="793"/>
        <item x="729"/>
        <item x="145"/>
        <item x="528"/>
        <item x="612"/>
        <item x="775"/>
        <item x="1"/>
        <item x="554"/>
        <item x="836"/>
        <item x="86"/>
        <item x="111"/>
        <item x="752"/>
        <item x="30"/>
        <item x="44"/>
        <item x="296"/>
        <item x="235"/>
        <item x="433"/>
        <item x="569"/>
        <item x="322"/>
        <item x="186"/>
        <item x="205"/>
        <item x="48"/>
        <item x="238"/>
        <item x="629"/>
        <item x="338"/>
        <item x="948"/>
        <item x="670"/>
        <item x="753"/>
        <item x="119"/>
        <item x="863"/>
        <item x="722"/>
        <item x="345"/>
        <item x="590"/>
        <item x="821"/>
        <item x="748"/>
        <item x="138"/>
        <item x="774"/>
        <item x="368"/>
        <item x="539"/>
        <item x="907"/>
        <item x="647"/>
        <item x="477"/>
        <item x="724"/>
        <item x="52"/>
        <item x="676"/>
        <item x="700"/>
        <item x="871"/>
        <item x="693"/>
        <item x="161"/>
        <item x="509"/>
        <item x="610"/>
        <item x="762"/>
        <item x="76"/>
        <item x="45"/>
        <item x="211"/>
        <item x="133"/>
        <item x="223"/>
        <item x="500"/>
        <item x="638"/>
        <item x="512"/>
        <item x="919"/>
        <item x="22"/>
        <item x="369"/>
        <item x="661"/>
        <item x="65"/>
        <item x="490"/>
        <item x="493"/>
        <item x="792"/>
        <item x="926"/>
        <item x="667"/>
        <item x="37"/>
        <item x="170"/>
        <item x="253"/>
        <item x="451"/>
        <item x="965"/>
        <item x="379"/>
        <item x="915"/>
        <item x="597"/>
        <item x="82"/>
        <item x="880"/>
        <item x="191"/>
        <item x="744"/>
        <item x="624"/>
        <item x="19"/>
        <item x="557"/>
        <item x="461"/>
        <item x="311"/>
        <item x="839"/>
        <item x="91"/>
        <item x="885"/>
        <item x="505"/>
        <item x="101"/>
        <item x="196"/>
        <item x="635"/>
        <item x="989"/>
        <item x="218"/>
        <item x="346"/>
        <item x="421"/>
        <item x="703"/>
        <item x="925"/>
        <item x="922"/>
        <item x="272"/>
        <item x="932"/>
        <item x="690"/>
        <item x="498"/>
        <item x="890"/>
        <item x="136"/>
        <item x="937"/>
        <item x="501"/>
        <item x="386"/>
        <item x="983"/>
        <item x="788"/>
        <item x="135"/>
        <item x="360"/>
        <item x="470"/>
        <item x="718"/>
        <item x="494"/>
        <item x="679"/>
        <item x="300"/>
        <item x="591"/>
        <item x="279"/>
        <item x="371"/>
        <item x="64"/>
        <item x="432"/>
        <item x="471"/>
        <item x="571"/>
        <item x="683"/>
        <item x="801"/>
        <item x="337"/>
        <item x="990"/>
        <item x="606"/>
        <item x="811"/>
        <item x="282"/>
        <item x="160"/>
        <item x="123"/>
        <item x="29"/>
        <item x="735"/>
        <item x="541"/>
        <item x="85"/>
        <item x="139"/>
        <item x="675"/>
        <item x="171"/>
        <item x="639"/>
        <item x="831"/>
        <item t="default"/>
      </items>
    </pivotField>
    <pivotField compact="0" outline="0" subtotalTop="0" showAll="0"/>
    <pivotField compact="0" outline="0" subtotalTop="0" showAll="0" defaultSubtotal="0">
      <items count="7">
        <item x="3"/>
        <item x="0"/>
        <item x="4"/>
        <item x="6"/>
        <item x="2"/>
        <item x="5"/>
        <item x="1"/>
      </items>
    </pivotField>
    <pivotField compact="0" outline="0" subtotalTop="0" showAll="0">
      <items count="6">
        <item x="1"/>
        <item x="0"/>
        <item x="4"/>
        <item x="2"/>
        <item x="3"/>
        <item t="default"/>
      </items>
    </pivotField>
    <pivotField compact="0" outline="0" subtotalTop="0" showAll="0">
      <items count="3">
        <item x="1"/>
        <item x="0"/>
        <item t="default"/>
      </items>
    </pivotField>
    <pivotField compact="0" outline="0" subtotalTop="0" showAll="0">
      <items count="5">
        <item x="0"/>
        <item x="3"/>
        <item x="2"/>
        <item x="1"/>
        <item t="default"/>
      </items>
    </pivotField>
    <pivotField compact="0" outline="0" subtotalTop="0" showAll="0">
      <items count="42">
        <item x="40"/>
        <item x="22"/>
        <item x="27"/>
        <item x="34"/>
        <item x="13"/>
        <item x="37"/>
        <item x="15"/>
        <item x="23"/>
        <item x="26"/>
        <item x="2"/>
        <item x="25"/>
        <item x="11"/>
        <item x="33"/>
        <item x="6"/>
        <item x="3"/>
        <item x="35"/>
        <item x="20"/>
        <item x="4"/>
        <item x="14"/>
        <item x="38"/>
        <item x="10"/>
        <item x="30"/>
        <item x="0"/>
        <item x="16"/>
        <item x="8"/>
        <item x="19"/>
        <item x="31"/>
        <item x="7"/>
        <item x="32"/>
        <item x="24"/>
        <item x="17"/>
        <item x="36"/>
        <item x="39"/>
        <item x="1"/>
        <item x="21"/>
        <item x="29"/>
        <item x="12"/>
        <item x="5"/>
        <item x="9"/>
        <item x="18"/>
        <item x="28"/>
        <item t="default"/>
      </items>
    </pivotField>
    <pivotField compact="0" numFmtId="14" outline="0" subtotalTop="0" showAll="0"/>
    <pivotField dataField="1" compact="0" numFmtId="164" outline="0" subtotalTop="0" showAll="0"/>
    <pivotField compact="0" numFmtId="165" outline="0" subtotalTop="0" showAll="0"/>
    <pivotField axis="axisRow" compact="0" outline="0" subtotalTop="0" showAll="0">
      <items count="4">
        <item x="2"/>
        <item x="1"/>
        <item x="0"/>
        <item t="default"/>
      </items>
    </pivotField>
    <pivotField compact="0" outline="0" subtotalTop="0" showAll="0"/>
  </pivotFields>
  <rowFields count="1">
    <field x="11"/>
  </rowFields>
  <rowItems count="4">
    <i>
      <x/>
    </i>
    <i>
      <x v="1"/>
    </i>
    <i>
      <x v="2"/>
    </i>
    <i t="grand">
      <x/>
    </i>
  </rowItems>
  <colItems count="1">
    <i/>
  </colItems>
  <dataFields count="1">
    <dataField name="Sum of Annual Salar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19E882-2E87-42AC-8126-5AFCB1064F0D}"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M3:N6" firstHeaderRow="1" firstDataRow="1" firstDataCol="1"/>
  <pivotFields count="13">
    <pivotField compact="0" outline="0" subtotalTop="0" showAll="0"/>
    <pivotField compact="0" outline="0" subtotalTop="0" showAll="0">
      <items count="992">
        <item x="587"/>
        <item x="120"/>
        <item x="813"/>
        <item x="354"/>
        <item x="116"/>
        <item x="485"/>
        <item x="711"/>
        <item x="834"/>
        <item x="241"/>
        <item x="827"/>
        <item x="561"/>
        <item x="164"/>
        <item x="837"/>
        <item x="284"/>
        <item x="280"/>
        <item x="904"/>
        <item x="213"/>
        <item x="889"/>
        <item x="686"/>
        <item x="605"/>
        <item x="658"/>
        <item x="582"/>
        <item x="553"/>
        <item x="580"/>
        <item x="833"/>
        <item x="130"/>
        <item x="691"/>
        <item x="973"/>
        <item x="547"/>
        <item x="385"/>
        <item x="366"/>
        <item x="71"/>
        <item x="417"/>
        <item x="845"/>
        <item x="532"/>
        <item x="36"/>
        <item x="630"/>
        <item x="275"/>
        <item x="651"/>
        <item x="412"/>
        <item x="568"/>
        <item x="939"/>
        <item x="519"/>
        <item x="851"/>
        <item x="542"/>
        <item x="83"/>
        <item x="625"/>
        <item x="177"/>
        <item x="555"/>
        <item x="261"/>
        <item x="805"/>
        <item x="533"/>
        <item x="510"/>
        <item x="616"/>
        <item x="214"/>
        <item x="964"/>
        <item x="363"/>
        <item x="896"/>
        <item x="820"/>
        <item x="969"/>
        <item x="797"/>
        <item x="515"/>
        <item x="182"/>
        <item x="662"/>
        <item x="862"/>
        <item x="102"/>
        <item x="419"/>
        <item x="230"/>
        <item x="636"/>
        <item x="881"/>
        <item x="796"/>
        <item x="389"/>
        <item x="375"/>
        <item x="192"/>
        <item x="406"/>
        <item x="858"/>
        <item x="413"/>
        <item x="725"/>
        <item x="327"/>
        <item x="447"/>
        <item x="178"/>
        <item x="457"/>
        <item x="717"/>
        <item x="243"/>
        <item x="756"/>
        <item x="215"/>
        <item x="931"/>
        <item x="42"/>
        <item x="961"/>
        <item x="172"/>
        <item x="544"/>
        <item x="440"/>
        <item x="791"/>
        <item x="767"/>
        <item x="486"/>
        <item x="302"/>
        <item x="267"/>
        <item x="956"/>
        <item x="97"/>
        <item x="355"/>
        <item x="108"/>
        <item x="219"/>
        <item x="856"/>
        <item x="812"/>
        <item x="572"/>
        <item x="222"/>
        <item x="552"/>
        <item x="276"/>
        <item x="31"/>
        <item x="74"/>
        <item x="32"/>
        <item x="682"/>
        <item x="550"/>
        <item x="117"/>
        <item x="259"/>
        <item x="496"/>
        <item x="92"/>
        <item x="54"/>
        <item x="16"/>
        <item x="11"/>
        <item x="613"/>
        <item x="370"/>
        <item x="642"/>
        <item x="577"/>
        <item x="162"/>
        <item x="822"/>
        <item x="950"/>
        <item x="26"/>
        <item x="514"/>
        <item x="147"/>
        <item x="943"/>
        <item x="564"/>
        <item x="668"/>
        <item x="2"/>
        <item x="567"/>
        <item x="593"/>
        <item x="416"/>
        <item x="407"/>
        <item x="450"/>
        <item x="971"/>
        <item x="197"/>
        <item x="876"/>
        <item x="861"/>
        <item x="480"/>
        <item x="709"/>
        <item x="977"/>
        <item x="109"/>
        <item x="849"/>
        <item x="478"/>
        <item x="481"/>
        <item x="548"/>
        <item x="562"/>
        <item x="914"/>
        <item x="260"/>
        <item x="672"/>
        <item x="422"/>
        <item x="315"/>
        <item x="760"/>
        <item x="239"/>
        <item x="526"/>
        <item x="374"/>
        <item x="688"/>
        <item x="168"/>
        <item x="200"/>
        <item x="864"/>
        <item x="24"/>
        <item x="402"/>
        <item x="981"/>
        <item x="423"/>
        <item x="786"/>
        <item x="298"/>
        <item x="504"/>
        <item x="347"/>
        <item x="764"/>
        <item x="307"/>
        <item x="39"/>
        <item x="754"/>
        <item x="341"/>
        <item x="60"/>
        <item x="232"/>
        <item x="88"/>
        <item x="115"/>
        <item x="810"/>
        <item x="358"/>
        <item x="256"/>
        <item x="274"/>
        <item x="150"/>
        <item x="586"/>
        <item x="678"/>
        <item x="653"/>
        <item x="438"/>
        <item x="869"/>
        <item x="664"/>
        <item x="968"/>
        <item x="330"/>
        <item x="906"/>
        <item x="617"/>
        <item x="173"/>
        <item x="452"/>
        <item x="687"/>
        <item x="285"/>
        <item x="210"/>
        <item x="326"/>
        <item x="357"/>
        <item x="838"/>
        <item x="456"/>
        <item x="652"/>
        <item x="859"/>
        <item x="114"/>
        <item x="262"/>
        <item x="874"/>
        <item x="199"/>
        <item x="970"/>
        <item x="180"/>
        <item x="898"/>
        <item x="825"/>
        <item x="875"/>
        <item x="715"/>
        <item x="242"/>
        <item x="96"/>
        <item x="917"/>
        <item x="944"/>
        <item x="927"/>
        <item x="394"/>
        <item x="842"/>
        <item x="583"/>
        <item x="843"/>
        <item x="175"/>
        <item x="603"/>
        <item x="558"/>
        <item x="628"/>
        <item x="408"/>
        <item x="780"/>
        <item x="929"/>
        <item x="594"/>
        <item x="511"/>
        <item x="720"/>
        <item x="376"/>
        <item x="189"/>
        <item x="67"/>
        <item x="458"/>
        <item x="976"/>
        <item x="367"/>
        <item x="962"/>
        <item x="454"/>
        <item x="666"/>
        <item x="888"/>
        <item x="824"/>
        <item x="909"/>
        <item x="98"/>
        <item x="609"/>
        <item x="313"/>
        <item x="894"/>
        <item x="475"/>
        <item x="798"/>
        <item x="918"/>
        <item x="770"/>
        <item x="288"/>
        <item x="299"/>
        <item x="947"/>
        <item x="268"/>
        <item x="383"/>
        <item x="20"/>
        <item x="517"/>
        <item x="78"/>
        <item x="157"/>
        <item x="128"/>
        <item x="167"/>
        <item x="934"/>
        <item x="320"/>
        <item x="306"/>
        <item x="281"/>
        <item x="153"/>
        <item x="68"/>
        <item x="534"/>
        <item x="112"/>
        <item x="328"/>
        <item x="596"/>
        <item x="291"/>
        <item x="987"/>
        <item x="551"/>
        <item x="55"/>
        <item x="854"/>
        <item x="771"/>
        <item x="527"/>
        <item x="879"/>
        <item x="565"/>
        <item x="694"/>
        <item x="137"/>
        <item x="460"/>
        <item x="344"/>
        <item x="43"/>
        <item x="507"/>
        <item x="782"/>
        <item x="40"/>
        <item x="444"/>
        <item x="712"/>
        <item x="467"/>
        <item x="201"/>
        <item x="506"/>
        <item x="891"/>
        <item x="747"/>
        <item x="381"/>
        <item x="455"/>
        <item x="79"/>
        <item x="954"/>
        <item x="254"/>
        <item x="723"/>
        <item x="899"/>
        <item x="592"/>
        <item x="809"/>
        <item x="892"/>
        <item x="310"/>
        <item x="483"/>
        <item x="473"/>
        <item x="240"/>
        <item x="125"/>
        <item x="446"/>
        <item x="618"/>
        <item x="342"/>
        <item x="768"/>
        <item x="601"/>
        <item x="941"/>
        <item x="903"/>
        <item x="66"/>
        <item x="492"/>
        <item x="966"/>
        <item x="75"/>
        <item x="225"/>
        <item x="449"/>
        <item x="159"/>
        <item x="745"/>
        <item x="671"/>
        <item x="206"/>
        <item x="319"/>
        <item x="924"/>
        <item x="923"/>
        <item x="692"/>
        <item x="738"/>
        <item x="883"/>
        <item x="194"/>
        <item x="763"/>
        <item x="308"/>
        <item x="783"/>
        <item x="388"/>
        <item x="103"/>
        <item x="531"/>
        <item x="614"/>
        <item x="209"/>
        <item x="295"/>
        <item x="648"/>
        <item x="598"/>
        <item x="518"/>
        <item x="188"/>
        <item x="5"/>
        <item x="323"/>
        <item x="220"/>
        <item x="749"/>
        <item x="56"/>
        <item x="540"/>
        <item x="743"/>
        <item x="265"/>
        <item x="158"/>
        <item x="967"/>
        <item x="963"/>
        <item x="645"/>
        <item x="900"/>
        <item x="249"/>
        <item x="403"/>
        <item x="529"/>
        <item x="441"/>
        <item x="8"/>
        <item x="955"/>
        <item x="41"/>
        <item x="94"/>
        <item x="292"/>
        <item x="420"/>
        <item x="221"/>
        <item x="524"/>
        <item x="334"/>
        <item x="187"/>
        <item x="704"/>
        <item x="850"/>
        <item x="231"/>
        <item x="772"/>
        <item x="757"/>
        <item x="740"/>
        <item x="436"/>
        <item x="878"/>
        <item x="631"/>
        <item x="287"/>
        <item x="487"/>
        <item x="960"/>
        <item x="110"/>
        <item x="741"/>
        <item x="203"/>
        <item x="395"/>
        <item x="435"/>
        <item x="708"/>
        <item x="790"/>
        <item x="439"/>
        <item x="789"/>
        <item x="3"/>
        <item x="4"/>
        <item x="576"/>
        <item x="655"/>
        <item x="216"/>
        <item x="784"/>
        <item x="975"/>
        <item x="305"/>
        <item x="803"/>
        <item x="247"/>
        <item x="897"/>
        <item x="434"/>
        <item x="425"/>
        <item x="578"/>
        <item x="604"/>
        <item x="574"/>
        <item x="237"/>
        <item x="377"/>
        <item x="622"/>
        <item x="560"/>
        <item x="156"/>
        <item x="952"/>
        <item x="795"/>
        <item x="271"/>
        <item x="152"/>
        <item x="80"/>
        <item x="901"/>
        <item x="785"/>
        <item x="468"/>
        <item x="985"/>
        <item x="226"/>
        <item x="339"/>
        <item x="765"/>
        <item x="217"/>
        <item x="409"/>
        <item x="847"/>
        <item x="270"/>
        <item x="442"/>
        <item x="466"/>
        <item x="589"/>
        <item x="61"/>
        <item x="912"/>
        <item x="868"/>
        <item x="608"/>
        <item x="730"/>
        <item x="984"/>
        <item x="905"/>
        <item x="399"/>
        <item x="49"/>
        <item x="430"/>
        <item x="163"/>
        <item x="721"/>
        <item x="758"/>
        <item x="800"/>
        <item x="940"/>
        <item x="17"/>
        <item x="414"/>
        <item x="349"/>
        <item x="930"/>
        <item x="382"/>
        <item x="324"/>
        <item x="236"/>
        <item x="27"/>
        <item x="913"/>
        <item x="733"/>
        <item x="860"/>
        <item x="726"/>
        <item x="707"/>
        <item x="644"/>
        <item x="978"/>
        <item x="581"/>
        <item x="234"/>
        <item x="132"/>
        <item x="144"/>
        <item x="134"/>
        <item x="556"/>
        <item x="317"/>
        <item x="255"/>
        <item x="392"/>
        <item x="224"/>
        <item x="677"/>
        <item x="58"/>
        <item x="663"/>
        <item x="14"/>
        <item x="6"/>
        <item x="100"/>
        <item x="364"/>
        <item x="331"/>
        <item x="10"/>
        <item x="794"/>
        <item x="193"/>
        <item x="9"/>
        <item x="538"/>
        <item x="121"/>
        <item x="660"/>
        <item x="945"/>
        <item x="910"/>
        <item x="902"/>
        <item x="332"/>
        <item x="233"/>
        <item x="895"/>
        <item x="734"/>
        <item x="489"/>
        <item x="51"/>
        <item x="437"/>
        <item x="469"/>
        <item x="350"/>
        <item x="229"/>
        <item x="25"/>
        <item x="513"/>
        <item x="343"/>
        <item x="174"/>
        <item x="916"/>
        <item x="38"/>
        <item x="525"/>
        <item x="705"/>
        <item x="980"/>
        <item x="696"/>
        <item x="787"/>
        <item x="942"/>
        <item x="865"/>
        <item x="698"/>
        <item x="646"/>
        <item x="607"/>
        <item x="380"/>
        <item x="536"/>
        <item x="882"/>
        <item x="18"/>
        <item x="316"/>
        <item x="397"/>
        <item x="853"/>
        <item x="278"/>
        <item x="12"/>
        <item x="920"/>
        <item x="716"/>
        <item x="95"/>
        <item x="283"/>
        <item x="390"/>
        <item x="884"/>
        <item x="699"/>
        <item x="728"/>
        <item x="463"/>
        <item x="659"/>
        <item x="198"/>
        <item x="799"/>
        <item x="777"/>
        <item x="269"/>
        <item x="405"/>
        <item x="761"/>
        <item x="872"/>
        <item x="751"/>
        <item x="563"/>
        <item x="62"/>
        <item x="176"/>
        <item x="769"/>
        <item x="378"/>
        <item x="183"/>
        <item x="817"/>
        <item x="549"/>
        <item x="750"/>
        <item x="415"/>
        <item x="826"/>
        <item x="0"/>
        <item x="312"/>
        <item x="684"/>
        <item x="204"/>
        <item x="286"/>
        <item x="689"/>
        <item x="106"/>
        <item x="303"/>
        <item x="877"/>
        <item x="151"/>
        <item x="823"/>
        <item x="816"/>
        <item x="938"/>
        <item x="63"/>
        <item x="362"/>
        <item x="273"/>
        <item x="353"/>
        <item x="35"/>
        <item x="626"/>
        <item x="776"/>
        <item x="244"/>
        <item x="523"/>
        <item x="53"/>
        <item x="474"/>
        <item x="627"/>
        <item x="546"/>
        <item x="207"/>
        <item x="340"/>
        <item x="988"/>
        <item x="600"/>
        <item x="835"/>
        <item x="50"/>
        <item x="99"/>
        <item x="497"/>
        <item x="732"/>
        <item x="701"/>
        <item x="957"/>
        <item x="251"/>
        <item x="484"/>
        <item x="844"/>
        <item x="418"/>
        <item x="34"/>
        <item x="428"/>
        <item x="680"/>
        <item x="352"/>
        <item x="131"/>
        <item x="72"/>
        <item x="570"/>
        <item x="846"/>
        <item x="870"/>
        <item x="737"/>
        <item x="333"/>
        <item x="588"/>
        <item x="649"/>
        <item x="290"/>
        <item x="886"/>
        <item x="585"/>
        <item x="348"/>
        <item x="535"/>
        <item x="195"/>
        <item x="959"/>
        <item x="573"/>
        <item x="33"/>
        <item x="427"/>
        <item x="208"/>
        <item x="936"/>
        <item x="520"/>
        <item x="866"/>
        <item x="294"/>
        <item x="685"/>
        <item x="129"/>
        <item x="107"/>
        <item x="21"/>
        <item x="190"/>
        <item x="289"/>
        <item x="361"/>
        <item x="759"/>
        <item x="818"/>
        <item x="530"/>
        <item x="373"/>
        <item x="424"/>
        <item x="495"/>
        <item x="731"/>
        <item x="766"/>
        <item x="867"/>
        <item x="935"/>
        <item x="974"/>
        <item x="184"/>
        <item x="122"/>
        <item x="431"/>
        <item x="325"/>
        <item x="503"/>
        <item x="149"/>
        <item x="69"/>
        <item x="46"/>
        <item x="465"/>
        <item x="702"/>
        <item x="246"/>
        <item x="508"/>
        <item x="453"/>
        <item x="277"/>
        <item x="155"/>
        <item x="84"/>
        <item x="13"/>
        <item x="949"/>
        <item x="695"/>
        <item x="124"/>
        <item x="840"/>
        <item x="89"/>
        <item x="641"/>
        <item x="908"/>
        <item x="543"/>
        <item x="623"/>
        <item x="669"/>
        <item x="459"/>
        <item x="126"/>
        <item x="227"/>
        <item x="632"/>
        <item x="979"/>
        <item x="90"/>
        <item x="15"/>
        <item x="893"/>
        <item x="958"/>
        <item x="266"/>
        <item x="602"/>
        <item x="773"/>
        <item x="445"/>
        <item x="212"/>
        <item x="615"/>
        <item x="181"/>
        <item x="141"/>
        <item x="545"/>
        <item x="637"/>
        <item x="654"/>
        <item x="443"/>
        <item x="857"/>
        <item x="848"/>
        <item x="808"/>
        <item x="318"/>
        <item x="946"/>
        <item x="464"/>
        <item x="814"/>
        <item x="650"/>
        <item x="921"/>
        <item x="301"/>
        <item x="829"/>
        <item x="359"/>
        <item x="537"/>
        <item x="387"/>
        <item x="719"/>
        <item x="93"/>
        <item x="309"/>
        <item x="887"/>
        <item x="779"/>
        <item x="264"/>
        <item x="781"/>
        <item x="521"/>
        <item x="579"/>
        <item x="335"/>
        <item x="127"/>
        <item x="643"/>
        <item x="986"/>
        <item x="293"/>
        <item x="329"/>
        <item x="263"/>
        <item x="855"/>
        <item x="621"/>
        <item x="77"/>
        <item x="736"/>
        <item x="169"/>
        <item x="633"/>
        <item x="656"/>
        <item x="830"/>
        <item x="396"/>
        <item x="953"/>
        <item x="611"/>
        <item x="400"/>
        <item x="640"/>
        <item x="248"/>
        <item x="713"/>
        <item x="365"/>
        <item x="807"/>
        <item x="7"/>
        <item x="982"/>
        <item x="595"/>
        <item x="697"/>
        <item x="146"/>
        <item x="710"/>
        <item x="584"/>
        <item x="499"/>
        <item x="410"/>
        <item x="674"/>
        <item x="140"/>
        <item x="739"/>
        <item x="673"/>
        <item x="297"/>
        <item x="828"/>
        <item x="706"/>
        <item x="59"/>
        <item x="804"/>
        <item x="619"/>
        <item x="398"/>
        <item x="806"/>
        <item x="351"/>
        <item x="314"/>
        <item x="911"/>
        <item x="87"/>
        <item x="665"/>
        <item x="802"/>
        <item x="599"/>
        <item x="742"/>
        <item x="727"/>
        <item x="391"/>
        <item x="258"/>
        <item x="873"/>
        <item x="245"/>
        <item x="426"/>
        <item x="143"/>
        <item x="819"/>
        <item x="336"/>
        <item x="228"/>
        <item x="384"/>
        <item x="566"/>
        <item x="165"/>
        <item x="522"/>
        <item x="620"/>
        <item x="372"/>
        <item x="972"/>
        <item x="714"/>
        <item x="118"/>
        <item x="404"/>
        <item x="462"/>
        <item x="634"/>
        <item x="448"/>
        <item x="429"/>
        <item x="502"/>
        <item x="321"/>
        <item x="681"/>
        <item x="401"/>
        <item x="482"/>
        <item x="356"/>
        <item x="252"/>
        <item x="393"/>
        <item x="250"/>
        <item x="70"/>
        <item x="411"/>
        <item x="755"/>
        <item x="154"/>
        <item x="575"/>
        <item x="657"/>
        <item x="778"/>
        <item x="746"/>
        <item x="852"/>
        <item x="166"/>
        <item x="815"/>
        <item x="832"/>
        <item x="933"/>
        <item x="105"/>
        <item x="23"/>
        <item x="47"/>
        <item x="928"/>
        <item x="81"/>
        <item x="304"/>
        <item x="185"/>
        <item x="472"/>
        <item x="257"/>
        <item x="104"/>
        <item x="148"/>
        <item x="73"/>
        <item x="491"/>
        <item x="202"/>
        <item x="476"/>
        <item x="28"/>
        <item x="488"/>
        <item x="841"/>
        <item x="57"/>
        <item x="559"/>
        <item x="951"/>
        <item x="179"/>
        <item x="479"/>
        <item x="113"/>
        <item x="516"/>
        <item x="142"/>
        <item x="793"/>
        <item x="729"/>
        <item x="145"/>
        <item x="528"/>
        <item x="612"/>
        <item x="775"/>
        <item x="1"/>
        <item x="554"/>
        <item x="836"/>
        <item x="86"/>
        <item x="111"/>
        <item x="752"/>
        <item x="30"/>
        <item x="44"/>
        <item x="296"/>
        <item x="235"/>
        <item x="433"/>
        <item x="569"/>
        <item x="322"/>
        <item x="186"/>
        <item x="205"/>
        <item x="48"/>
        <item x="238"/>
        <item x="629"/>
        <item x="338"/>
        <item x="948"/>
        <item x="670"/>
        <item x="753"/>
        <item x="119"/>
        <item x="863"/>
        <item x="722"/>
        <item x="345"/>
        <item x="590"/>
        <item x="821"/>
        <item x="748"/>
        <item x="138"/>
        <item x="774"/>
        <item x="368"/>
        <item x="539"/>
        <item x="907"/>
        <item x="647"/>
        <item x="477"/>
        <item x="724"/>
        <item x="52"/>
        <item x="676"/>
        <item x="700"/>
        <item x="871"/>
        <item x="693"/>
        <item x="161"/>
        <item x="509"/>
        <item x="610"/>
        <item x="762"/>
        <item x="76"/>
        <item x="45"/>
        <item x="211"/>
        <item x="133"/>
        <item x="223"/>
        <item x="500"/>
        <item x="638"/>
        <item x="512"/>
        <item x="919"/>
        <item x="22"/>
        <item x="369"/>
        <item x="661"/>
        <item x="65"/>
        <item x="490"/>
        <item x="493"/>
        <item x="792"/>
        <item x="926"/>
        <item x="667"/>
        <item x="37"/>
        <item x="170"/>
        <item x="253"/>
        <item x="451"/>
        <item x="965"/>
        <item x="379"/>
        <item x="915"/>
        <item x="597"/>
        <item x="82"/>
        <item x="880"/>
        <item x="191"/>
        <item x="744"/>
        <item x="624"/>
        <item x="19"/>
        <item x="557"/>
        <item x="461"/>
        <item x="311"/>
        <item x="839"/>
        <item x="91"/>
        <item x="885"/>
        <item x="505"/>
        <item x="101"/>
        <item x="196"/>
        <item x="635"/>
        <item x="989"/>
        <item x="218"/>
        <item x="346"/>
        <item x="421"/>
        <item x="703"/>
        <item x="925"/>
        <item x="922"/>
        <item x="272"/>
        <item x="932"/>
        <item x="690"/>
        <item x="498"/>
        <item x="890"/>
        <item x="136"/>
        <item x="937"/>
        <item x="501"/>
        <item x="386"/>
        <item x="983"/>
        <item x="788"/>
        <item x="135"/>
        <item x="360"/>
        <item x="470"/>
        <item x="718"/>
        <item x="494"/>
        <item x="679"/>
        <item x="300"/>
        <item x="591"/>
        <item x="279"/>
        <item x="371"/>
        <item x="64"/>
        <item x="432"/>
        <item x="471"/>
        <item x="571"/>
        <item x="683"/>
        <item x="801"/>
        <item x="337"/>
        <item x="990"/>
        <item x="606"/>
        <item x="811"/>
        <item x="282"/>
        <item x="160"/>
        <item x="123"/>
        <item x="29"/>
        <item x="735"/>
        <item x="541"/>
        <item x="85"/>
        <item x="139"/>
        <item x="675"/>
        <item x="171"/>
        <item x="639"/>
        <item x="831"/>
        <item t="default"/>
      </items>
    </pivotField>
    <pivotField compact="0" outline="0" subtotalTop="0" showAll="0"/>
    <pivotField compact="0" outline="0" subtotalTop="0" showAll="0" defaultSubtotal="0">
      <items count="7">
        <item x="3"/>
        <item x="0"/>
        <item x="4"/>
        <item x="6"/>
        <item x="2"/>
        <item x="5"/>
        <item x="1"/>
      </items>
    </pivotField>
    <pivotField compact="0" outline="0" subtotalTop="0" showAll="0">
      <items count="6">
        <item x="1"/>
        <item x="0"/>
        <item x="4"/>
        <item x="2"/>
        <item x="3"/>
        <item t="default"/>
      </items>
    </pivotField>
    <pivotField axis="axisRow" compact="0" outline="0" subtotalTop="0" showAll="0">
      <items count="3">
        <item x="1"/>
        <item x="0"/>
        <item t="default"/>
      </items>
    </pivotField>
    <pivotField compact="0" outline="0" subtotalTop="0" showAll="0"/>
    <pivotField compact="0" outline="0" subtotalTop="0" showAll="0">
      <items count="42">
        <item x="40"/>
        <item x="22"/>
        <item x="27"/>
        <item x="34"/>
        <item x="13"/>
        <item x="37"/>
        <item x="15"/>
        <item x="23"/>
        <item x="26"/>
        <item x="2"/>
        <item x="25"/>
        <item x="11"/>
        <item x="33"/>
        <item x="6"/>
        <item x="3"/>
        <item x="35"/>
        <item x="20"/>
        <item x="4"/>
        <item x="14"/>
        <item x="38"/>
        <item x="10"/>
        <item x="30"/>
        <item x="0"/>
        <item x="16"/>
        <item x="8"/>
        <item x="19"/>
        <item x="31"/>
        <item x="7"/>
        <item x="32"/>
        <item x="24"/>
        <item x="17"/>
        <item x="36"/>
        <item x="39"/>
        <item x="1"/>
        <item x="21"/>
        <item x="29"/>
        <item x="12"/>
        <item x="5"/>
        <item x="9"/>
        <item x="18"/>
        <item x="28"/>
        <item t="default"/>
      </items>
    </pivotField>
    <pivotField compact="0" numFmtId="14" outline="0" subtotalTop="0" showAll="0"/>
    <pivotField dataField="1" compact="0" numFmtId="164" outline="0" subtotalTop="0" showAll="0"/>
    <pivotField compact="0" numFmtId="165" outline="0" subtotalTop="0" showAll="0"/>
    <pivotField compact="0" outline="0" subtotalTop="0" showAll="0"/>
    <pivotField compact="0" outline="0" subtotalTop="0" showAll="0"/>
  </pivotFields>
  <rowFields count="1">
    <field x="5"/>
  </rowFields>
  <rowItems count="3">
    <i>
      <x/>
    </i>
    <i>
      <x v="1"/>
    </i>
    <i t="grand">
      <x/>
    </i>
  </rowItems>
  <colItems count="1">
    <i/>
  </colItems>
  <dataFields count="1">
    <dataField name="Sum of Annual Salary" fld="9"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1"/>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CE93D6-E8A3-42AD-869F-CC52487C460B}" name="PivotTable1" cacheId="3" dataOnRows="1" dataPosition="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94" firstHeaderRow="1" firstDataRow="2" firstDataCol="1"/>
  <pivotFields count="16">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axis="axisRow" numFmtId="14" showAll="0">
      <items count="935">
        <item x="707"/>
        <item x="395"/>
        <item x="406"/>
        <item x="342"/>
        <item x="845"/>
        <item x="534"/>
        <item x="882"/>
        <item x="283"/>
        <item x="70"/>
        <item x="411"/>
        <item x="542"/>
        <item x="116"/>
        <item x="924"/>
        <item x="56"/>
        <item x="782"/>
        <item x="681"/>
        <item x="172"/>
        <item x="657"/>
        <item x="825"/>
        <item x="857"/>
        <item x="711"/>
        <item x="469"/>
        <item x="755"/>
        <item x="629"/>
        <item x="182"/>
        <item x="854"/>
        <item x="673"/>
        <item x="140"/>
        <item x="515"/>
        <item x="898"/>
        <item x="256"/>
        <item x="866"/>
        <item x="146"/>
        <item x="81"/>
        <item x="128"/>
        <item x="589"/>
        <item x="199"/>
        <item x="862"/>
        <item x="243"/>
        <item x="290"/>
        <item x="284"/>
        <item x="372"/>
        <item x="474"/>
        <item x="299"/>
        <item x="922"/>
        <item x="479"/>
        <item x="777"/>
        <item x="510"/>
        <item x="15"/>
        <item x="631"/>
        <item x="543"/>
        <item x="506"/>
        <item x="775"/>
        <item x="249"/>
        <item x="24"/>
        <item x="832"/>
        <item x="843"/>
        <item x="407"/>
        <item x="364"/>
        <item x="607"/>
        <item x="454"/>
        <item x="734"/>
        <item x="489"/>
        <item x="668"/>
        <item x="359"/>
        <item x="223"/>
        <item x="321"/>
        <item x="475"/>
        <item x="138"/>
        <item x="40"/>
        <item x="718"/>
        <item x="264"/>
        <item x="918"/>
        <item x="280"/>
        <item x="7"/>
        <item x="252"/>
        <item x="646"/>
        <item x="548"/>
        <item x="239"/>
        <item x="634"/>
        <item x="412"/>
        <item x="779"/>
        <item x="740"/>
        <item x="551"/>
        <item x="259"/>
        <item x="157"/>
        <item x="574"/>
        <item x="894"/>
        <item x="57"/>
        <item x="186"/>
        <item x="104"/>
        <item x="909"/>
        <item x="781"/>
        <item x="770"/>
        <item x="560"/>
        <item x="207"/>
        <item x="856"/>
        <item x="887"/>
        <item x="448"/>
        <item x="717"/>
        <item x="435"/>
        <item x="637"/>
        <item x="818"/>
        <item x="794"/>
        <item x="563"/>
        <item x="217"/>
        <item x="521"/>
        <item x="644"/>
        <item x="202"/>
        <item x="486"/>
        <item x="816"/>
        <item x="327"/>
        <item x="846"/>
        <item x="52"/>
        <item x="511"/>
        <item x="30"/>
        <item x="273"/>
        <item x="355"/>
        <item x="564"/>
        <item x="649"/>
        <item x="203"/>
        <item x="760"/>
        <item x="54"/>
        <item x="468"/>
        <item x="114"/>
        <item x="29"/>
        <item x="281"/>
        <item x="404"/>
        <item x="616"/>
        <item x="592"/>
        <item x="665"/>
        <item x="848"/>
        <item x="129"/>
        <item x="383"/>
        <item x="892"/>
        <item x="465"/>
        <item x="402"/>
        <item x="341"/>
        <item x="141"/>
        <item x="466"/>
        <item x="706"/>
        <item x="391"/>
        <item x="627"/>
        <item x="200"/>
        <item x="890"/>
        <item x="643"/>
        <item x="722"/>
        <item x="751"/>
        <item x="588"/>
        <item x="620"/>
        <item x="787"/>
        <item x="170"/>
        <item x="92"/>
        <item x="496"/>
        <item x="293"/>
        <item x="595"/>
        <item x="235"/>
        <item x="112"/>
        <item x="63"/>
        <item x="768"/>
        <item x="598"/>
        <item x="10"/>
        <item x="497"/>
        <item x="210"/>
        <item x="702"/>
        <item x="838"/>
        <item x="74"/>
        <item x="154"/>
        <item x="423"/>
        <item x="731"/>
        <item x="544"/>
        <item x="893"/>
        <item x="728"/>
        <item x="439"/>
        <item x="5"/>
        <item x="183"/>
        <item x="25"/>
        <item x="577"/>
        <item x="632"/>
        <item x="350"/>
        <item x="746"/>
        <item x="461"/>
        <item x="27"/>
        <item x="214"/>
        <item x="855"/>
        <item x="450"/>
        <item x="266"/>
        <item x="719"/>
        <item x="109"/>
        <item x="189"/>
        <item x="778"/>
        <item x="44"/>
        <item x="133"/>
        <item x="602"/>
        <item x="397"/>
        <item x="552"/>
        <item x="675"/>
        <item x="514"/>
        <item x="901"/>
        <item x="55"/>
        <item x="282"/>
        <item x="4"/>
        <item x="159"/>
        <item x="737"/>
        <item x="197"/>
        <item x="891"/>
        <item x="270"/>
        <item x="807"/>
        <item x="687"/>
        <item x="324"/>
        <item x="42"/>
        <item x="853"/>
        <item x="618"/>
        <item x="292"/>
        <item x="664"/>
        <item x="386"/>
        <item x="773"/>
        <item x="599"/>
        <item x="907"/>
        <item x="371"/>
        <item x="455"/>
        <item x="93"/>
        <item x="351"/>
        <item x="347"/>
        <item x="294"/>
        <item x="884"/>
        <item x="821"/>
        <item x="488"/>
        <item x="582"/>
        <item x="881"/>
        <item x="438"/>
        <item x="805"/>
        <item x="441"/>
        <item x="730"/>
        <item x="178"/>
        <item x="23"/>
        <item x="666"/>
        <item x="222"/>
        <item x="417"/>
        <item x="130"/>
        <item x="225"/>
        <item x="76"/>
        <item x="788"/>
        <item x="257"/>
        <item x="97"/>
        <item x="150"/>
        <item x="888"/>
        <item x="766"/>
        <item x="752"/>
        <item x="416"/>
        <item x="148"/>
        <item x="619"/>
        <item x="520"/>
        <item x="419"/>
        <item x="923"/>
        <item x="929"/>
        <item x="803"/>
        <item x="169"/>
        <item x="535"/>
        <item x="467"/>
        <item x="876"/>
        <item x="445"/>
        <item x="271"/>
        <item x="776"/>
        <item x="134"/>
        <item x="796"/>
        <item x="83"/>
        <item x="401"/>
        <item x="571"/>
        <item x="478"/>
        <item x="251"/>
        <item x="523"/>
        <item x="795"/>
        <item x="149"/>
        <item x="87"/>
        <item x="656"/>
        <item x="814"/>
        <item x="919"/>
        <item x="444"/>
        <item x="473"/>
        <item x="906"/>
        <item x="908"/>
        <item x="62"/>
        <item x="85"/>
        <item x="549"/>
        <item x="658"/>
        <item x="531"/>
        <item x="696"/>
        <item x="194"/>
        <item x="604"/>
        <item x="494"/>
        <item x="819"/>
        <item x="712"/>
        <item x="19"/>
        <item x="253"/>
        <item x="522"/>
        <item x="137"/>
        <item x="747"/>
        <item x="373"/>
        <item x="726"/>
        <item x="797"/>
        <item x="889"/>
        <item x="345"/>
        <item x="859"/>
        <item x="165"/>
        <item x="6"/>
        <item x="66"/>
        <item x="344"/>
        <item x="490"/>
        <item x="433"/>
        <item x="487"/>
        <item x="357"/>
        <item x="35"/>
        <item x="285"/>
        <item x="365"/>
        <item x="578"/>
        <item x="810"/>
        <item x="317"/>
        <item x="390"/>
        <item x="434"/>
        <item x="244"/>
        <item x="375"/>
        <item x="315"/>
        <item x="834"/>
        <item x="783"/>
        <item x="558"/>
        <item x="382"/>
        <item x="691"/>
        <item x="530"/>
        <item x="539"/>
        <item x="791"/>
        <item x="590"/>
        <item x="811"/>
        <item x="198"/>
        <item x="557"/>
        <item x="628"/>
        <item x="356"/>
        <item x="793"/>
        <item x="815"/>
        <item x="931"/>
        <item x="330"/>
        <item x="224"/>
        <item x="61"/>
        <item x="16"/>
        <item x="121"/>
        <item x="60"/>
        <item x="758"/>
        <item x="849"/>
        <item x="546"/>
        <item x="721"/>
        <item x="193"/>
        <item x="260"/>
        <item x="863"/>
        <item x="852"/>
        <item x="384"/>
        <item x="430"/>
        <item x="867"/>
        <item x="123"/>
        <item x="762"/>
        <item x="800"/>
        <item x="492"/>
        <item x="47"/>
        <item x="585"/>
        <item x="798"/>
        <item x="716"/>
        <item x="46"/>
        <item x="536"/>
        <item x="897"/>
        <item x="179"/>
        <item x="277"/>
        <item x="605"/>
        <item x="873"/>
        <item x="690"/>
        <item x="120"/>
        <item x="177"/>
        <item x="212"/>
        <item x="304"/>
        <item x="532"/>
        <item x="451"/>
        <item x="650"/>
        <item x="8"/>
        <item x="911"/>
        <item x="671"/>
        <item x="247"/>
        <item x="90"/>
        <item x="895"/>
        <item x="601"/>
        <item x="432"/>
        <item x="840"/>
        <item x="611"/>
        <item x="809"/>
        <item x="682"/>
        <item x="686"/>
        <item x="877"/>
        <item x="545"/>
        <item x="879"/>
        <item x="358"/>
        <item x="326"/>
        <item x="833"/>
        <item x="875"/>
        <item x="440"/>
        <item x="698"/>
        <item x="275"/>
        <item x="39"/>
        <item x="725"/>
        <item x="642"/>
        <item x="826"/>
        <item x="912"/>
        <item x="100"/>
        <item x="80"/>
        <item x="880"/>
        <item x="573"/>
        <item x="236"/>
        <item x="823"/>
        <item x="361"/>
        <item x="59"/>
        <item x="262"/>
        <item x="483"/>
        <item x="166"/>
        <item x="567"/>
        <item x="729"/>
        <item x="360"/>
        <item x="362"/>
        <item x="928"/>
        <item x="446"/>
        <item x="808"/>
        <item x="930"/>
        <item x="526"/>
        <item x="51"/>
        <item x="493"/>
        <item x="635"/>
        <item x="233"/>
        <item x="206"/>
        <item x="353"/>
        <item x="741"/>
        <item x="405"/>
        <item x="705"/>
        <item x="215"/>
        <item x="764"/>
        <item x="396"/>
        <item x="306"/>
        <item x="185"/>
        <item x="313"/>
        <item x="626"/>
        <item x="621"/>
        <item x="387"/>
        <item x="274"/>
        <item x="122"/>
        <item x="765"/>
        <item x="105"/>
        <item x="144"/>
        <item x="21"/>
        <item x="415"/>
        <item x="132"/>
        <item x="370"/>
        <item x="181"/>
        <item x="659"/>
        <item x="242"/>
        <item x="263"/>
        <item x="108"/>
        <item x="381"/>
        <item x="1"/>
        <item x="772"/>
        <item x="329"/>
        <item x="874"/>
        <item x="470"/>
        <item x="481"/>
        <item x="638"/>
        <item x="196"/>
        <item x="180"/>
        <item x="799"/>
        <item x="837"/>
        <item x="896"/>
        <item x="89"/>
        <item x="145"/>
        <item x="789"/>
        <item x="872"/>
        <item x="593"/>
        <item x="234"/>
        <item x="173"/>
        <item x="346"/>
        <item x="735"/>
        <item x="201"/>
        <item x="11"/>
        <item x="622"/>
        <item x="780"/>
        <item x="331"/>
        <item x="240"/>
        <item x="785"/>
        <item x="927"/>
        <item x="524"/>
        <item x="917"/>
        <item x="813"/>
        <item x="265"/>
        <item x="254"/>
        <item x="499"/>
        <item x="226"/>
        <item x="443"/>
        <item x="689"/>
        <item x="555"/>
        <item x="831"/>
        <item x="369"/>
        <item x="661"/>
        <item x="258"/>
        <item x="771"/>
        <item x="442"/>
        <item x="802"/>
        <item x="525"/>
        <item x="9"/>
        <item x="763"/>
        <item x="715"/>
        <item x="850"/>
        <item x="869"/>
        <item x="792"/>
        <item x="921"/>
        <item x="88"/>
        <item x="425"/>
        <item x="289"/>
        <item x="736"/>
        <item x="328"/>
        <item x="581"/>
        <item x="670"/>
        <item x="268"/>
        <item x="428"/>
        <item x="709"/>
        <item x="68"/>
        <item x="167"/>
        <item x="308"/>
        <item x="131"/>
        <item x="339"/>
        <item x="94"/>
        <item x="537"/>
        <item x="79"/>
        <item x="188"/>
        <item x="633"/>
        <item x="36"/>
        <item x="245"/>
        <item x="915"/>
        <item x="868"/>
        <item x="147"/>
        <item x="699"/>
        <item x="192"/>
        <item x="20"/>
        <item x="291"/>
        <item x="902"/>
        <item x="298"/>
        <item x="648"/>
        <item x="757"/>
        <item x="174"/>
        <item x="519"/>
        <item x="314"/>
        <item x="37"/>
        <item x="518"/>
        <item x="195"/>
        <item x="393"/>
        <item x="587"/>
        <item x="161"/>
        <item x="53"/>
        <item x="502"/>
        <item x="98"/>
        <item x="107"/>
        <item x="171"/>
        <item x="421"/>
        <item x="86"/>
        <item x="694"/>
        <item x="594"/>
        <item x="491"/>
        <item x="774"/>
        <item x="914"/>
        <item x="516"/>
        <item x="817"/>
        <item x="482"/>
        <item x="756"/>
        <item x="708"/>
        <item x="761"/>
        <item x="828"/>
        <item x="307"/>
        <item x="336"/>
        <item x="45"/>
        <item x="835"/>
        <item x="408"/>
        <item x="652"/>
        <item x="663"/>
        <item x="613"/>
        <item x="232"/>
        <item x="237"/>
        <item x="528"/>
        <item x="418"/>
        <item x="464"/>
        <item x="583"/>
        <item x="303"/>
        <item x="457"/>
        <item x="662"/>
        <item x="363"/>
        <item x="844"/>
        <item x="847"/>
        <item x="900"/>
        <item x="248"/>
        <item x="28"/>
        <item x="420"/>
        <item x="139"/>
        <item x="312"/>
        <item x="255"/>
        <item x="565"/>
        <item x="459"/>
        <item x="449"/>
        <item x="205"/>
        <item x="119"/>
        <item x="456"/>
        <item x="18"/>
        <item x="12"/>
        <item x="504"/>
        <item x="279"/>
        <item x="32"/>
        <item x="99"/>
        <item x="297"/>
        <item x="484"/>
        <item x="529"/>
        <item x="111"/>
        <item x="33"/>
        <item x="343"/>
        <item x="333"/>
        <item x="899"/>
        <item x="603"/>
        <item x="864"/>
        <item x="160"/>
        <item x="851"/>
        <item x="3"/>
        <item x="77"/>
        <item x="647"/>
        <item x="410"/>
        <item x="115"/>
        <item x="452"/>
        <item x="580"/>
        <item x="500"/>
        <item x="517"/>
        <item x="49"/>
        <item x="143"/>
        <item x="683"/>
        <item x="678"/>
        <item x="597"/>
        <item x="614"/>
        <item x="841"/>
        <item x="13"/>
        <item x="447"/>
        <item x="125"/>
        <item x="168"/>
        <item x="309"/>
        <item x="101"/>
        <item x="426"/>
        <item x="932"/>
        <item x="676"/>
        <item x="692"/>
        <item x="727"/>
        <item x="697"/>
        <item x="267"/>
        <item x="576"/>
        <item x="409"/>
        <item x="688"/>
        <item x="858"/>
        <item x="477"/>
        <item x="703"/>
        <item x="22"/>
        <item x="505"/>
        <item x="300"/>
        <item x="241"/>
        <item x="641"/>
        <item x="653"/>
        <item x="527"/>
        <item x="422"/>
        <item x="732"/>
        <item x="316"/>
        <item x="570"/>
        <item x="916"/>
        <item x="512"/>
        <item x="836"/>
        <item x="591"/>
        <item x="700"/>
        <item x="886"/>
        <item x="332"/>
        <item x="250"/>
        <item x="17"/>
        <item x="878"/>
        <item x="759"/>
        <item x="2"/>
        <item x="685"/>
        <item x="839"/>
        <item x="117"/>
        <item x="436"/>
        <item x="606"/>
        <item x="677"/>
        <item x="562"/>
        <item x="65"/>
        <item x="654"/>
        <item x="910"/>
        <item x="71"/>
        <item x="569"/>
        <item x="301"/>
        <item x="509"/>
        <item x="871"/>
        <item x="394"/>
        <item x="348"/>
        <item x="126"/>
        <item x="538"/>
        <item x="463"/>
        <item x="572"/>
        <item x="579"/>
        <item x="399"/>
        <item x="617"/>
        <item x="615"/>
        <item x="95"/>
        <item x="400"/>
        <item x="58"/>
        <item x="413"/>
        <item x="216"/>
        <item x="842"/>
        <item x="674"/>
        <item x="184"/>
        <item x="142"/>
        <item x="804"/>
        <item x="753"/>
        <item x="388"/>
        <item x="458"/>
        <item x="392"/>
        <item x="476"/>
        <item x="672"/>
        <item x="559"/>
        <item x="302"/>
        <item x="96"/>
        <item x="286"/>
        <item x="472"/>
        <item x="790"/>
        <item x="723"/>
        <item x="367"/>
        <item x="667"/>
        <item x="228"/>
        <item x="135"/>
        <item x="429"/>
        <item x="349"/>
        <item x="246"/>
        <item x="221"/>
        <item x="806"/>
        <item x="311"/>
        <item x="693"/>
        <item x="191"/>
        <item x="824"/>
        <item x="612"/>
        <item x="883"/>
        <item x="374"/>
        <item x="380"/>
        <item x="701"/>
        <item x="72"/>
        <item x="424"/>
        <item x="75"/>
        <item x="325"/>
        <item x="630"/>
        <item x="462"/>
        <item x="337"/>
        <item x="913"/>
        <item x="624"/>
        <item x="69"/>
        <item x="636"/>
        <item x="208"/>
        <item x="745"/>
        <item x="163"/>
        <item x="812"/>
        <item x="575"/>
        <item x="366"/>
        <item x="151"/>
        <item x="238"/>
        <item x="695"/>
        <item x="453"/>
        <item x="31"/>
        <item x="905"/>
        <item x="743"/>
        <item x="414"/>
        <item x="507"/>
        <item x="175"/>
        <item x="640"/>
        <item x="103"/>
        <item x="26"/>
        <item x="398"/>
        <item x="78"/>
        <item x="127"/>
        <item x="340"/>
        <item x="288"/>
        <item x="156"/>
        <item x="385"/>
        <item x="124"/>
        <item x="608"/>
        <item x="176"/>
        <item x="784"/>
        <item x="431"/>
        <item x="296"/>
        <item x="933"/>
        <item x="714"/>
        <item x="750"/>
        <item x="379"/>
        <item x="861"/>
        <item x="501"/>
        <item x="925"/>
        <item x="110"/>
        <item x="651"/>
        <item x="655"/>
        <item x="720"/>
        <item x="113"/>
        <item x="218"/>
        <item x="219"/>
        <item x="14"/>
        <item x="305"/>
        <item x="323"/>
        <item x="41"/>
        <item x="554"/>
        <item x="498"/>
        <item x="155"/>
        <item x="769"/>
        <item x="920"/>
        <item x="334"/>
        <item x="870"/>
        <item x="645"/>
        <item x="64"/>
        <item x="50"/>
        <item x="190"/>
        <item x="926"/>
        <item x="403"/>
        <item x="82"/>
        <item x="278"/>
        <item x="885"/>
        <item x="561"/>
        <item x="669"/>
        <item x="43"/>
        <item x="389"/>
        <item x="660"/>
        <item x="566"/>
        <item x="865"/>
        <item x="827"/>
        <item x="230"/>
        <item x="136"/>
        <item x="754"/>
        <item x="679"/>
        <item x="480"/>
        <item x="354"/>
        <item x="553"/>
        <item x="513"/>
        <item x="738"/>
        <item x="211"/>
        <item x="533"/>
        <item x="904"/>
        <item x="801"/>
        <item x="318"/>
        <item x="378"/>
        <item x="625"/>
        <item x="820"/>
        <item x="38"/>
        <item x="84"/>
        <item x="710"/>
        <item x="684"/>
        <item x="152"/>
        <item x="204"/>
        <item x="744"/>
        <item x="584"/>
        <item x="541"/>
        <item x="739"/>
        <item x="213"/>
        <item x="610"/>
        <item x="623"/>
        <item x="48"/>
        <item x="829"/>
        <item x="704"/>
        <item x="368"/>
        <item x="471"/>
        <item x="319"/>
        <item x="338"/>
        <item x="67"/>
        <item x="749"/>
        <item x="0"/>
        <item x="295"/>
        <item x="540"/>
        <item x="287"/>
        <item x="639"/>
        <item x="162"/>
        <item x="600"/>
        <item x="437"/>
        <item x="102"/>
        <item x="118"/>
        <item x="556"/>
        <item x="860"/>
        <item x="547"/>
        <item x="352"/>
        <item x="276"/>
        <item x="164"/>
        <item x="272"/>
        <item x="460"/>
        <item x="503"/>
        <item x="724"/>
        <item x="485"/>
        <item x="748"/>
        <item x="322"/>
        <item x="376"/>
        <item x="427"/>
        <item x="320"/>
        <item x="822"/>
        <item x="903"/>
        <item x="227"/>
        <item x="269"/>
        <item x="231"/>
        <item x="596"/>
        <item x="187"/>
        <item x="508"/>
        <item x="568"/>
        <item x="158"/>
        <item x="550"/>
        <item x="153"/>
        <item x="34"/>
        <item x="767"/>
        <item x="680"/>
        <item x="73"/>
        <item x="733"/>
        <item x="229"/>
        <item x="495"/>
        <item x="377"/>
        <item x="310"/>
        <item x="786"/>
        <item x="742"/>
        <item x="609"/>
        <item x="586"/>
        <item x="209"/>
        <item x="830"/>
        <item x="91"/>
        <item x="335"/>
        <item x="220"/>
        <item x="106"/>
        <item x="261"/>
        <item x="713"/>
        <item t="default"/>
      </items>
    </pivotField>
    <pivotField numFmtId="164" showAll="0"/>
    <pivotField numFmtId="165"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x="2"/>
        <item sd="0" x="3"/>
        <item sd="0" x="4"/>
        <item sd="0" x="5"/>
        <item t="default"/>
      </items>
    </pivotField>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s>
  <rowFields count="4">
    <field x="15"/>
    <field x="-2"/>
    <field x="13"/>
    <field x="8"/>
  </rowFields>
  <rowItems count="90">
    <i>
      <x v="1"/>
    </i>
    <i r="1">
      <x/>
    </i>
    <i r="1" i="1">
      <x v="1"/>
    </i>
    <i>
      <x v="2"/>
    </i>
    <i r="1">
      <x/>
    </i>
    <i r="1" i="1">
      <x v="1"/>
    </i>
    <i>
      <x v="3"/>
    </i>
    <i r="1">
      <x/>
    </i>
    <i r="1" i="1">
      <x v="1"/>
    </i>
    <i>
      <x v="4"/>
    </i>
    <i r="1">
      <x/>
    </i>
    <i r="1" i="1">
      <x v="1"/>
    </i>
    <i>
      <x v="5"/>
    </i>
    <i r="1">
      <x/>
    </i>
    <i r="1" i="1">
      <x v="1"/>
    </i>
    <i>
      <x v="6"/>
    </i>
    <i r="1">
      <x/>
    </i>
    <i r="1" i="1">
      <x v="1"/>
    </i>
    <i>
      <x v="7"/>
    </i>
    <i r="1">
      <x/>
    </i>
    <i r="1" i="1">
      <x v="1"/>
    </i>
    <i>
      <x v="8"/>
    </i>
    <i r="1">
      <x/>
    </i>
    <i r="1" i="1">
      <x v="1"/>
    </i>
    <i>
      <x v="9"/>
    </i>
    <i r="1">
      <x/>
    </i>
    <i r="1" i="1">
      <x v="1"/>
    </i>
    <i>
      <x v="10"/>
    </i>
    <i r="1">
      <x/>
    </i>
    <i r="1" i="1">
      <x v="1"/>
    </i>
    <i>
      <x v="11"/>
    </i>
    <i r="1">
      <x/>
    </i>
    <i r="1" i="1">
      <x v="1"/>
    </i>
    <i>
      <x v="12"/>
    </i>
    <i r="1">
      <x/>
    </i>
    <i r="1" i="1">
      <x v="1"/>
    </i>
    <i>
      <x v="13"/>
    </i>
    <i r="1">
      <x/>
    </i>
    <i r="1" i="1">
      <x v="1"/>
    </i>
    <i>
      <x v="14"/>
    </i>
    <i r="1">
      <x/>
    </i>
    <i r="1" i="1">
      <x v="1"/>
    </i>
    <i>
      <x v="15"/>
    </i>
    <i r="1">
      <x/>
    </i>
    <i r="1" i="1">
      <x v="1"/>
    </i>
    <i>
      <x v="16"/>
    </i>
    <i r="1">
      <x/>
    </i>
    <i r="1" i="1">
      <x v="1"/>
    </i>
    <i>
      <x v="17"/>
    </i>
    <i r="1">
      <x/>
    </i>
    <i r="1" i="1">
      <x v="1"/>
    </i>
    <i>
      <x v="18"/>
    </i>
    <i r="1">
      <x/>
    </i>
    <i r="1" i="1">
      <x v="1"/>
    </i>
    <i>
      <x v="19"/>
    </i>
    <i r="1">
      <x/>
    </i>
    <i r="1" i="1">
      <x v="1"/>
    </i>
    <i>
      <x v="20"/>
    </i>
    <i r="1">
      <x/>
    </i>
    <i r="1" i="1">
      <x v="1"/>
    </i>
    <i>
      <x v="21"/>
    </i>
    <i r="1">
      <x/>
    </i>
    <i r="1" i="1">
      <x v="1"/>
    </i>
    <i>
      <x v="22"/>
    </i>
    <i r="1">
      <x/>
    </i>
    <i r="1" i="1">
      <x v="1"/>
    </i>
    <i>
      <x v="23"/>
    </i>
    <i r="1">
      <x/>
    </i>
    <i r="1" i="1">
      <x v="1"/>
    </i>
    <i>
      <x v="24"/>
    </i>
    <i r="1">
      <x/>
    </i>
    <i r="1" i="1">
      <x v="1"/>
    </i>
    <i>
      <x v="25"/>
    </i>
    <i r="1">
      <x/>
    </i>
    <i r="1" i="1">
      <x v="1"/>
    </i>
    <i>
      <x v="26"/>
    </i>
    <i r="1">
      <x/>
    </i>
    <i r="1" i="1">
      <x v="1"/>
    </i>
    <i>
      <x v="27"/>
    </i>
    <i r="1">
      <x/>
    </i>
    <i r="1" i="1">
      <x v="1"/>
    </i>
    <i>
      <x v="28"/>
    </i>
    <i r="1">
      <x/>
    </i>
    <i r="1" i="1">
      <x v="1"/>
    </i>
    <i>
      <x v="29"/>
    </i>
    <i r="1">
      <x/>
    </i>
    <i r="1" i="1">
      <x v="1"/>
    </i>
    <i>
      <x v="30"/>
    </i>
    <i r="1">
      <x/>
    </i>
    <i r="1" i="1">
      <x v="1"/>
    </i>
  </rowItems>
  <colFields count="1">
    <field x="14"/>
  </colFields>
  <colItems count="4">
    <i>
      <x v="1"/>
    </i>
    <i>
      <x v="2"/>
    </i>
    <i>
      <x v="3"/>
    </i>
    <i>
      <x v="4"/>
    </i>
  </colItems>
  <dataFields count="2">
    <dataField name="Count of Employee ID2" fld="0" subtotal="count" baseField="14" baseItem="4">
      <extLst>
        <ext xmlns:x14="http://schemas.microsoft.com/office/spreadsheetml/2009/9/main" uri="{E15A36E0-9728-4e99-A89B-3F7291B0FE68}">
          <x14:dataField pivotShowAs="rankAscending"/>
        </ext>
      </extLst>
    </dataField>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C053E5-7D60-4311-B15A-B4754DEF6D54}" name="PivotTable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F31" firstHeaderRow="1" firstDataRow="4" firstDataCol="1"/>
  <pivotFields count="16">
    <pivotField dataField="1" showAll="0"/>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axis="axisRow" showAll="0">
      <items count="8">
        <item x="3"/>
        <item x="0"/>
        <item x="4"/>
        <item x="6"/>
        <item x="2"/>
        <item x="5"/>
        <item x="1"/>
        <item t="default"/>
      </items>
    </pivotField>
    <pivotField showAll="0"/>
    <pivotField showAll="0">
      <items count="3">
        <item x="1"/>
        <item x="0"/>
        <item t="default"/>
      </items>
    </pivotField>
    <pivotField showAll="0"/>
    <pivotField showAll="0"/>
    <pivotField axis="axisCol" numFmtId="14" showAll="0">
      <items count="935">
        <item x="707"/>
        <item x="395"/>
        <item x="406"/>
        <item x="342"/>
        <item x="845"/>
        <item x="534"/>
        <item x="882"/>
        <item x="283"/>
        <item x="70"/>
        <item x="411"/>
        <item x="542"/>
        <item x="116"/>
        <item x="924"/>
        <item x="56"/>
        <item x="782"/>
        <item x="681"/>
        <item x="172"/>
        <item x="657"/>
        <item x="825"/>
        <item x="857"/>
        <item x="711"/>
        <item x="469"/>
        <item x="755"/>
        <item x="629"/>
        <item x="182"/>
        <item x="854"/>
        <item x="673"/>
        <item x="140"/>
        <item x="515"/>
        <item x="898"/>
        <item x="256"/>
        <item x="866"/>
        <item x="146"/>
        <item x="81"/>
        <item x="128"/>
        <item x="589"/>
        <item x="199"/>
        <item x="862"/>
        <item x="243"/>
        <item x="290"/>
        <item x="284"/>
        <item x="372"/>
        <item x="474"/>
        <item x="299"/>
        <item x="922"/>
        <item x="479"/>
        <item x="777"/>
        <item x="510"/>
        <item x="15"/>
        <item x="631"/>
        <item x="543"/>
        <item x="506"/>
        <item x="775"/>
        <item x="249"/>
        <item x="24"/>
        <item x="832"/>
        <item x="843"/>
        <item x="407"/>
        <item x="364"/>
        <item x="607"/>
        <item x="454"/>
        <item x="734"/>
        <item x="489"/>
        <item x="668"/>
        <item x="359"/>
        <item x="223"/>
        <item x="321"/>
        <item x="475"/>
        <item x="138"/>
        <item x="40"/>
        <item x="718"/>
        <item x="264"/>
        <item x="918"/>
        <item x="280"/>
        <item x="7"/>
        <item x="252"/>
        <item x="646"/>
        <item x="548"/>
        <item x="239"/>
        <item x="634"/>
        <item x="412"/>
        <item x="779"/>
        <item x="740"/>
        <item x="551"/>
        <item x="259"/>
        <item x="157"/>
        <item x="574"/>
        <item x="894"/>
        <item x="57"/>
        <item x="186"/>
        <item x="104"/>
        <item x="909"/>
        <item x="781"/>
        <item x="770"/>
        <item x="560"/>
        <item x="207"/>
        <item x="856"/>
        <item x="887"/>
        <item x="448"/>
        <item x="717"/>
        <item x="435"/>
        <item x="637"/>
        <item x="818"/>
        <item x="794"/>
        <item x="563"/>
        <item x="217"/>
        <item x="521"/>
        <item x="644"/>
        <item x="202"/>
        <item x="486"/>
        <item x="816"/>
        <item x="327"/>
        <item x="846"/>
        <item x="52"/>
        <item x="511"/>
        <item x="30"/>
        <item x="273"/>
        <item x="355"/>
        <item x="564"/>
        <item x="649"/>
        <item x="203"/>
        <item x="760"/>
        <item x="54"/>
        <item x="468"/>
        <item x="114"/>
        <item x="29"/>
        <item x="281"/>
        <item x="404"/>
        <item x="616"/>
        <item x="592"/>
        <item x="665"/>
        <item x="848"/>
        <item x="129"/>
        <item x="383"/>
        <item x="892"/>
        <item x="465"/>
        <item x="402"/>
        <item x="341"/>
        <item x="141"/>
        <item x="466"/>
        <item x="706"/>
        <item x="391"/>
        <item x="627"/>
        <item x="200"/>
        <item x="890"/>
        <item x="643"/>
        <item x="722"/>
        <item x="751"/>
        <item x="588"/>
        <item x="620"/>
        <item x="787"/>
        <item x="170"/>
        <item x="92"/>
        <item x="496"/>
        <item x="293"/>
        <item x="595"/>
        <item x="235"/>
        <item x="112"/>
        <item x="63"/>
        <item x="768"/>
        <item x="598"/>
        <item x="10"/>
        <item x="497"/>
        <item x="210"/>
        <item x="702"/>
        <item x="838"/>
        <item x="74"/>
        <item x="154"/>
        <item x="423"/>
        <item x="731"/>
        <item x="544"/>
        <item x="893"/>
        <item x="728"/>
        <item x="439"/>
        <item x="5"/>
        <item x="183"/>
        <item x="25"/>
        <item x="577"/>
        <item x="632"/>
        <item x="350"/>
        <item x="746"/>
        <item x="461"/>
        <item x="27"/>
        <item x="214"/>
        <item x="855"/>
        <item x="450"/>
        <item x="266"/>
        <item x="719"/>
        <item x="109"/>
        <item x="189"/>
        <item x="778"/>
        <item x="44"/>
        <item x="133"/>
        <item x="602"/>
        <item x="397"/>
        <item x="552"/>
        <item x="675"/>
        <item x="514"/>
        <item x="901"/>
        <item x="55"/>
        <item x="282"/>
        <item x="4"/>
        <item x="159"/>
        <item x="737"/>
        <item x="197"/>
        <item x="891"/>
        <item x="270"/>
        <item x="807"/>
        <item x="687"/>
        <item x="324"/>
        <item x="42"/>
        <item x="853"/>
        <item x="618"/>
        <item x="292"/>
        <item x="664"/>
        <item x="386"/>
        <item x="773"/>
        <item x="599"/>
        <item x="907"/>
        <item x="371"/>
        <item x="455"/>
        <item x="93"/>
        <item x="351"/>
        <item x="347"/>
        <item x="294"/>
        <item x="884"/>
        <item x="821"/>
        <item x="488"/>
        <item x="582"/>
        <item x="881"/>
        <item x="438"/>
        <item x="805"/>
        <item x="441"/>
        <item x="730"/>
        <item x="178"/>
        <item x="23"/>
        <item x="666"/>
        <item x="222"/>
        <item x="417"/>
        <item x="130"/>
        <item x="225"/>
        <item x="76"/>
        <item x="788"/>
        <item x="257"/>
        <item x="97"/>
        <item x="150"/>
        <item x="888"/>
        <item x="766"/>
        <item x="752"/>
        <item x="416"/>
        <item x="148"/>
        <item x="619"/>
        <item x="520"/>
        <item x="419"/>
        <item x="923"/>
        <item x="929"/>
        <item x="803"/>
        <item x="169"/>
        <item x="535"/>
        <item x="467"/>
        <item x="876"/>
        <item x="445"/>
        <item x="271"/>
        <item x="776"/>
        <item x="134"/>
        <item x="796"/>
        <item x="83"/>
        <item x="401"/>
        <item x="571"/>
        <item x="478"/>
        <item x="251"/>
        <item x="523"/>
        <item x="795"/>
        <item x="149"/>
        <item x="87"/>
        <item x="656"/>
        <item x="814"/>
        <item x="919"/>
        <item x="444"/>
        <item x="473"/>
        <item x="906"/>
        <item x="908"/>
        <item x="62"/>
        <item x="85"/>
        <item x="549"/>
        <item x="658"/>
        <item x="531"/>
        <item x="696"/>
        <item x="194"/>
        <item x="604"/>
        <item x="494"/>
        <item x="819"/>
        <item x="712"/>
        <item x="19"/>
        <item x="253"/>
        <item x="522"/>
        <item x="137"/>
        <item x="747"/>
        <item x="373"/>
        <item x="726"/>
        <item x="797"/>
        <item x="889"/>
        <item x="345"/>
        <item x="859"/>
        <item x="165"/>
        <item x="6"/>
        <item x="66"/>
        <item x="344"/>
        <item x="490"/>
        <item x="433"/>
        <item x="487"/>
        <item x="357"/>
        <item x="35"/>
        <item x="285"/>
        <item x="365"/>
        <item x="578"/>
        <item x="810"/>
        <item x="317"/>
        <item x="390"/>
        <item x="434"/>
        <item x="244"/>
        <item x="375"/>
        <item x="315"/>
        <item x="834"/>
        <item x="783"/>
        <item x="558"/>
        <item x="382"/>
        <item x="691"/>
        <item x="530"/>
        <item x="539"/>
        <item x="791"/>
        <item x="590"/>
        <item x="811"/>
        <item x="198"/>
        <item x="557"/>
        <item x="628"/>
        <item x="356"/>
        <item x="793"/>
        <item x="815"/>
        <item x="931"/>
        <item x="330"/>
        <item x="224"/>
        <item x="61"/>
        <item x="16"/>
        <item x="121"/>
        <item x="60"/>
        <item x="758"/>
        <item x="849"/>
        <item x="546"/>
        <item x="721"/>
        <item x="193"/>
        <item x="260"/>
        <item x="863"/>
        <item x="852"/>
        <item x="384"/>
        <item x="430"/>
        <item x="867"/>
        <item x="123"/>
        <item x="762"/>
        <item x="800"/>
        <item x="492"/>
        <item x="47"/>
        <item x="585"/>
        <item x="798"/>
        <item x="716"/>
        <item x="46"/>
        <item x="536"/>
        <item x="897"/>
        <item x="179"/>
        <item x="277"/>
        <item x="605"/>
        <item x="873"/>
        <item x="690"/>
        <item x="120"/>
        <item x="177"/>
        <item x="212"/>
        <item x="304"/>
        <item x="532"/>
        <item x="451"/>
        <item x="650"/>
        <item x="8"/>
        <item x="911"/>
        <item x="671"/>
        <item x="247"/>
        <item x="90"/>
        <item x="895"/>
        <item x="601"/>
        <item x="432"/>
        <item x="840"/>
        <item x="611"/>
        <item x="809"/>
        <item x="682"/>
        <item x="686"/>
        <item x="877"/>
        <item x="545"/>
        <item x="879"/>
        <item x="358"/>
        <item x="326"/>
        <item x="833"/>
        <item x="875"/>
        <item x="440"/>
        <item x="698"/>
        <item x="275"/>
        <item x="39"/>
        <item x="725"/>
        <item x="642"/>
        <item x="826"/>
        <item x="912"/>
        <item x="100"/>
        <item x="80"/>
        <item x="880"/>
        <item x="573"/>
        <item x="236"/>
        <item x="823"/>
        <item x="361"/>
        <item x="59"/>
        <item x="262"/>
        <item x="483"/>
        <item x="166"/>
        <item x="567"/>
        <item x="729"/>
        <item x="360"/>
        <item x="362"/>
        <item x="928"/>
        <item x="446"/>
        <item x="808"/>
        <item x="930"/>
        <item x="526"/>
        <item x="51"/>
        <item x="493"/>
        <item x="635"/>
        <item x="233"/>
        <item x="206"/>
        <item x="353"/>
        <item x="741"/>
        <item x="405"/>
        <item x="705"/>
        <item x="215"/>
        <item x="764"/>
        <item x="396"/>
        <item x="306"/>
        <item x="185"/>
        <item x="313"/>
        <item x="626"/>
        <item x="621"/>
        <item x="387"/>
        <item x="274"/>
        <item x="122"/>
        <item x="765"/>
        <item x="105"/>
        <item x="144"/>
        <item x="21"/>
        <item x="415"/>
        <item x="132"/>
        <item x="370"/>
        <item x="181"/>
        <item x="659"/>
        <item x="242"/>
        <item x="263"/>
        <item x="108"/>
        <item x="381"/>
        <item x="1"/>
        <item x="772"/>
        <item x="329"/>
        <item x="874"/>
        <item x="470"/>
        <item x="481"/>
        <item x="638"/>
        <item x="196"/>
        <item x="180"/>
        <item x="799"/>
        <item x="837"/>
        <item x="896"/>
        <item x="89"/>
        <item x="145"/>
        <item x="789"/>
        <item x="872"/>
        <item x="593"/>
        <item x="234"/>
        <item x="173"/>
        <item x="346"/>
        <item x="735"/>
        <item x="201"/>
        <item x="11"/>
        <item x="622"/>
        <item x="780"/>
        <item x="331"/>
        <item x="240"/>
        <item x="785"/>
        <item x="927"/>
        <item x="524"/>
        <item x="917"/>
        <item x="813"/>
        <item x="265"/>
        <item x="254"/>
        <item x="499"/>
        <item x="226"/>
        <item x="443"/>
        <item x="689"/>
        <item x="555"/>
        <item x="831"/>
        <item x="369"/>
        <item x="661"/>
        <item x="258"/>
        <item x="771"/>
        <item x="442"/>
        <item x="802"/>
        <item x="525"/>
        <item x="9"/>
        <item x="763"/>
        <item x="715"/>
        <item x="850"/>
        <item x="869"/>
        <item x="792"/>
        <item x="921"/>
        <item x="88"/>
        <item x="425"/>
        <item x="289"/>
        <item x="736"/>
        <item x="328"/>
        <item x="581"/>
        <item x="670"/>
        <item x="268"/>
        <item x="428"/>
        <item x="709"/>
        <item x="68"/>
        <item x="167"/>
        <item x="308"/>
        <item x="131"/>
        <item x="339"/>
        <item x="94"/>
        <item x="537"/>
        <item x="79"/>
        <item x="188"/>
        <item x="633"/>
        <item x="36"/>
        <item x="245"/>
        <item x="915"/>
        <item x="868"/>
        <item x="147"/>
        <item x="699"/>
        <item x="192"/>
        <item x="20"/>
        <item x="291"/>
        <item x="902"/>
        <item x="298"/>
        <item x="648"/>
        <item x="757"/>
        <item x="174"/>
        <item x="519"/>
        <item x="314"/>
        <item x="37"/>
        <item x="518"/>
        <item x="195"/>
        <item x="393"/>
        <item x="587"/>
        <item x="161"/>
        <item x="53"/>
        <item x="502"/>
        <item x="98"/>
        <item x="107"/>
        <item x="171"/>
        <item x="421"/>
        <item x="86"/>
        <item x="694"/>
        <item x="594"/>
        <item x="491"/>
        <item x="774"/>
        <item x="914"/>
        <item x="516"/>
        <item x="817"/>
        <item x="482"/>
        <item x="756"/>
        <item x="708"/>
        <item x="761"/>
        <item x="828"/>
        <item x="307"/>
        <item x="336"/>
        <item x="45"/>
        <item x="835"/>
        <item x="408"/>
        <item x="652"/>
        <item x="663"/>
        <item x="613"/>
        <item x="232"/>
        <item x="237"/>
        <item x="528"/>
        <item x="418"/>
        <item x="464"/>
        <item x="583"/>
        <item x="303"/>
        <item x="457"/>
        <item x="662"/>
        <item x="363"/>
        <item x="844"/>
        <item x="847"/>
        <item x="900"/>
        <item x="248"/>
        <item x="28"/>
        <item x="420"/>
        <item x="139"/>
        <item x="312"/>
        <item x="255"/>
        <item x="565"/>
        <item x="459"/>
        <item x="449"/>
        <item x="205"/>
        <item x="119"/>
        <item x="456"/>
        <item x="18"/>
        <item x="12"/>
        <item x="504"/>
        <item x="279"/>
        <item x="32"/>
        <item x="99"/>
        <item x="297"/>
        <item x="484"/>
        <item x="529"/>
        <item x="111"/>
        <item x="33"/>
        <item x="343"/>
        <item x="333"/>
        <item x="899"/>
        <item x="603"/>
        <item x="864"/>
        <item x="160"/>
        <item x="851"/>
        <item x="3"/>
        <item x="77"/>
        <item x="647"/>
        <item x="410"/>
        <item x="115"/>
        <item x="452"/>
        <item x="580"/>
        <item x="500"/>
        <item x="517"/>
        <item x="49"/>
        <item x="143"/>
        <item x="683"/>
        <item x="678"/>
        <item x="597"/>
        <item x="614"/>
        <item x="841"/>
        <item x="13"/>
        <item x="447"/>
        <item x="125"/>
        <item x="168"/>
        <item x="309"/>
        <item x="101"/>
        <item x="426"/>
        <item x="932"/>
        <item x="676"/>
        <item x="692"/>
        <item x="727"/>
        <item x="697"/>
        <item x="267"/>
        <item x="576"/>
        <item x="409"/>
        <item x="688"/>
        <item x="858"/>
        <item x="477"/>
        <item x="703"/>
        <item x="22"/>
        <item x="505"/>
        <item x="300"/>
        <item x="241"/>
        <item x="641"/>
        <item x="653"/>
        <item x="527"/>
        <item x="422"/>
        <item x="732"/>
        <item x="316"/>
        <item x="570"/>
        <item x="916"/>
        <item x="512"/>
        <item x="836"/>
        <item x="591"/>
        <item x="700"/>
        <item x="886"/>
        <item x="332"/>
        <item x="250"/>
        <item x="17"/>
        <item x="878"/>
        <item x="759"/>
        <item x="2"/>
        <item x="685"/>
        <item x="839"/>
        <item x="117"/>
        <item x="436"/>
        <item x="606"/>
        <item x="677"/>
        <item x="562"/>
        <item x="65"/>
        <item x="654"/>
        <item x="910"/>
        <item x="71"/>
        <item x="569"/>
        <item x="301"/>
        <item x="509"/>
        <item x="871"/>
        <item x="394"/>
        <item x="348"/>
        <item x="126"/>
        <item x="538"/>
        <item x="463"/>
        <item x="572"/>
        <item x="579"/>
        <item x="399"/>
        <item x="617"/>
        <item x="615"/>
        <item x="95"/>
        <item x="400"/>
        <item x="58"/>
        <item x="413"/>
        <item x="216"/>
        <item x="842"/>
        <item x="674"/>
        <item x="184"/>
        <item x="142"/>
        <item x="804"/>
        <item x="753"/>
        <item x="388"/>
        <item x="458"/>
        <item x="392"/>
        <item x="476"/>
        <item x="672"/>
        <item x="559"/>
        <item x="302"/>
        <item x="96"/>
        <item x="286"/>
        <item x="472"/>
        <item x="790"/>
        <item x="723"/>
        <item x="367"/>
        <item x="667"/>
        <item x="228"/>
        <item x="135"/>
        <item x="429"/>
        <item x="349"/>
        <item x="246"/>
        <item x="221"/>
        <item x="806"/>
        <item x="311"/>
        <item x="693"/>
        <item x="191"/>
        <item x="824"/>
        <item x="612"/>
        <item x="883"/>
        <item x="374"/>
        <item x="380"/>
        <item x="701"/>
        <item x="72"/>
        <item x="424"/>
        <item x="75"/>
        <item x="325"/>
        <item x="630"/>
        <item x="462"/>
        <item x="337"/>
        <item x="913"/>
        <item x="624"/>
        <item x="69"/>
        <item x="636"/>
        <item x="208"/>
        <item x="745"/>
        <item x="163"/>
        <item x="812"/>
        <item x="575"/>
        <item x="366"/>
        <item x="151"/>
        <item x="238"/>
        <item x="695"/>
        <item x="453"/>
        <item x="31"/>
        <item x="905"/>
        <item x="743"/>
        <item x="414"/>
        <item x="507"/>
        <item x="175"/>
        <item x="640"/>
        <item x="103"/>
        <item x="26"/>
        <item x="398"/>
        <item x="78"/>
        <item x="127"/>
        <item x="340"/>
        <item x="288"/>
        <item x="156"/>
        <item x="385"/>
        <item x="124"/>
        <item x="608"/>
        <item x="176"/>
        <item x="784"/>
        <item x="431"/>
        <item x="296"/>
        <item x="933"/>
        <item x="714"/>
        <item x="750"/>
        <item x="379"/>
        <item x="861"/>
        <item x="501"/>
        <item x="925"/>
        <item x="110"/>
        <item x="651"/>
        <item x="655"/>
        <item x="720"/>
        <item x="113"/>
        <item x="218"/>
        <item x="219"/>
        <item x="14"/>
        <item x="305"/>
        <item x="323"/>
        <item x="41"/>
        <item x="554"/>
        <item x="498"/>
        <item x="155"/>
        <item x="769"/>
        <item x="920"/>
        <item x="334"/>
        <item x="870"/>
        <item x="645"/>
        <item x="64"/>
        <item x="50"/>
        <item x="190"/>
        <item x="926"/>
        <item x="403"/>
        <item x="82"/>
        <item x="278"/>
        <item x="885"/>
        <item x="561"/>
        <item x="669"/>
        <item x="43"/>
        <item x="389"/>
        <item x="660"/>
        <item x="566"/>
        <item x="865"/>
        <item x="827"/>
        <item x="230"/>
        <item x="136"/>
        <item x="754"/>
        <item x="679"/>
        <item x="480"/>
        <item x="354"/>
        <item x="553"/>
        <item x="513"/>
        <item x="738"/>
        <item x="211"/>
        <item x="533"/>
        <item x="904"/>
        <item x="801"/>
        <item x="318"/>
        <item x="378"/>
        <item x="625"/>
        <item x="820"/>
        <item x="38"/>
        <item x="84"/>
        <item x="710"/>
        <item x="684"/>
        <item x="152"/>
        <item x="204"/>
        <item x="744"/>
        <item x="584"/>
        <item x="541"/>
        <item x="739"/>
        <item x="213"/>
        <item x="610"/>
        <item x="623"/>
        <item x="48"/>
        <item x="829"/>
        <item x="704"/>
        <item x="368"/>
        <item x="471"/>
        <item x="319"/>
        <item x="338"/>
        <item x="67"/>
        <item x="749"/>
        <item x="0"/>
        <item x="295"/>
        <item x="540"/>
        <item x="287"/>
        <item x="639"/>
        <item x="162"/>
        <item x="600"/>
        <item x="437"/>
        <item x="102"/>
        <item x="118"/>
        <item x="556"/>
        <item x="860"/>
        <item x="547"/>
        <item x="352"/>
        <item x="276"/>
        <item x="164"/>
        <item x="272"/>
        <item x="460"/>
        <item x="503"/>
        <item x="724"/>
        <item x="485"/>
        <item x="748"/>
        <item x="322"/>
        <item x="376"/>
        <item x="427"/>
        <item x="320"/>
        <item x="822"/>
        <item x="903"/>
        <item x="227"/>
        <item x="269"/>
        <item x="231"/>
        <item x="596"/>
        <item x="187"/>
        <item x="508"/>
        <item x="568"/>
        <item x="158"/>
        <item x="550"/>
        <item x="153"/>
        <item x="34"/>
        <item x="767"/>
        <item x="680"/>
        <item x="73"/>
        <item x="733"/>
        <item x="229"/>
        <item x="495"/>
        <item x="377"/>
        <item x="310"/>
        <item x="786"/>
        <item x="742"/>
        <item x="609"/>
        <item x="586"/>
        <item x="209"/>
        <item x="830"/>
        <item x="91"/>
        <item x="335"/>
        <item x="220"/>
        <item x="106"/>
        <item x="261"/>
        <item x="713"/>
        <item t="default"/>
      </items>
    </pivotField>
    <pivotField numFmtId="164" showAll="0"/>
    <pivotField numFmtId="165" showAll="0"/>
    <pivotField axis="axisRow" showAll="0">
      <items count="4">
        <item x="2"/>
        <item x="1"/>
        <item x="0"/>
        <item t="default"/>
      </items>
    </pivotField>
    <pivotField showAll="0">
      <items count="14">
        <item x="4"/>
        <item x="9"/>
        <item x="7"/>
        <item x="1"/>
        <item x="6"/>
        <item x="0"/>
        <item x="12"/>
        <item x="8"/>
        <item x="5"/>
        <item x="10"/>
        <item x="11"/>
        <item x="3"/>
        <item x="2"/>
        <item t="default"/>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showAll="0" defaultSubtota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s>
    </pivotField>
  </pivotFields>
  <rowFields count="2">
    <field x="11"/>
    <field x="3"/>
  </rowFields>
  <rowItems count="25">
    <i>
      <x/>
    </i>
    <i r="1">
      <x/>
    </i>
    <i r="1">
      <x v="1"/>
    </i>
    <i r="1">
      <x v="2"/>
    </i>
    <i r="1">
      <x v="3"/>
    </i>
    <i r="1">
      <x v="4"/>
    </i>
    <i r="1">
      <x v="5"/>
    </i>
    <i r="1">
      <x v="6"/>
    </i>
    <i>
      <x v="1"/>
    </i>
    <i r="1">
      <x/>
    </i>
    <i r="1">
      <x v="1"/>
    </i>
    <i r="1">
      <x v="2"/>
    </i>
    <i r="1">
      <x v="3"/>
    </i>
    <i r="1">
      <x v="4"/>
    </i>
    <i r="1">
      <x v="5"/>
    </i>
    <i r="1">
      <x v="6"/>
    </i>
    <i>
      <x v="2"/>
    </i>
    <i r="1">
      <x/>
    </i>
    <i r="1">
      <x v="1"/>
    </i>
    <i r="1">
      <x v="2"/>
    </i>
    <i r="1">
      <x v="3"/>
    </i>
    <i r="1">
      <x v="4"/>
    </i>
    <i r="1">
      <x v="5"/>
    </i>
    <i r="1">
      <x v="6"/>
    </i>
    <i t="grand">
      <x/>
    </i>
  </rowItems>
  <colFields count="3">
    <field x="14"/>
    <field x="13"/>
    <field x="8"/>
  </colFields>
  <colItems count="5">
    <i>
      <x v="1"/>
    </i>
    <i>
      <x v="2"/>
    </i>
    <i>
      <x v="3"/>
    </i>
    <i>
      <x v="4"/>
    </i>
    <i t="grand">
      <x/>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16BE2A-D655-4937-ABBA-D7CCA3AC5DFD}" name="report connectio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6">
    <pivotField dataField="1" showAll="0"/>
    <pivotField showAll="0"/>
    <pivotField showAll="0">
      <items count="34">
        <item x="14"/>
        <item x="1"/>
        <item x="6"/>
        <item x="21"/>
        <item x="15"/>
        <item x="18"/>
        <item x="20"/>
        <item x="0"/>
        <item x="30"/>
        <item x="4"/>
        <item x="25"/>
        <item x="19"/>
        <item x="26"/>
        <item x="24"/>
        <item x="17"/>
        <item x="3"/>
        <item x="8"/>
        <item x="2"/>
        <item x="28"/>
        <item x="27"/>
        <item x="32"/>
        <item x="31"/>
        <item x="12"/>
        <item x="22"/>
        <item x="29"/>
        <item x="5"/>
        <item x="23"/>
        <item x="10"/>
        <item x="7"/>
        <item x="9"/>
        <item x="13"/>
        <item x="16"/>
        <item x="11"/>
        <item t="default"/>
      </items>
    </pivotField>
    <pivotField axis="axisRow" showAll="0">
      <items count="8">
        <item x="3"/>
        <item x="0"/>
        <item x="4"/>
        <item x="6"/>
        <item x="2"/>
        <item x="5"/>
        <item x="1"/>
        <item t="default"/>
      </items>
    </pivotField>
    <pivotField showAll="0"/>
    <pivotField showAll="0"/>
    <pivotField showAll="0"/>
    <pivotField showAll="0"/>
    <pivotField numFmtId="14" showAll="0">
      <items count="935">
        <item x="707"/>
        <item x="395"/>
        <item x="406"/>
        <item x="342"/>
        <item x="845"/>
        <item x="534"/>
        <item x="882"/>
        <item x="283"/>
        <item x="70"/>
        <item x="411"/>
        <item x="542"/>
        <item x="116"/>
        <item x="924"/>
        <item x="56"/>
        <item x="782"/>
        <item x="681"/>
        <item x="172"/>
        <item x="657"/>
        <item x="825"/>
        <item x="857"/>
        <item x="711"/>
        <item x="469"/>
        <item x="755"/>
        <item x="629"/>
        <item x="182"/>
        <item x="854"/>
        <item x="673"/>
        <item x="140"/>
        <item x="515"/>
        <item x="898"/>
        <item x="256"/>
        <item x="866"/>
        <item x="146"/>
        <item x="81"/>
        <item x="128"/>
        <item x="589"/>
        <item x="199"/>
        <item x="862"/>
        <item x="243"/>
        <item x="290"/>
        <item x="284"/>
        <item x="372"/>
        <item x="474"/>
        <item x="299"/>
        <item x="922"/>
        <item x="479"/>
        <item x="777"/>
        <item x="510"/>
        <item x="15"/>
        <item x="631"/>
        <item x="543"/>
        <item x="506"/>
        <item x="775"/>
        <item x="249"/>
        <item x="24"/>
        <item x="832"/>
        <item x="843"/>
        <item x="407"/>
        <item x="364"/>
        <item x="607"/>
        <item x="454"/>
        <item x="734"/>
        <item x="489"/>
        <item x="668"/>
        <item x="359"/>
        <item x="223"/>
        <item x="321"/>
        <item x="475"/>
        <item x="138"/>
        <item x="40"/>
        <item x="718"/>
        <item x="264"/>
        <item x="918"/>
        <item x="280"/>
        <item x="7"/>
        <item x="252"/>
        <item x="646"/>
        <item x="548"/>
        <item x="239"/>
        <item x="634"/>
        <item x="412"/>
        <item x="779"/>
        <item x="740"/>
        <item x="551"/>
        <item x="259"/>
        <item x="157"/>
        <item x="574"/>
        <item x="894"/>
        <item x="57"/>
        <item x="186"/>
        <item x="104"/>
        <item x="909"/>
        <item x="781"/>
        <item x="770"/>
        <item x="560"/>
        <item x="207"/>
        <item x="856"/>
        <item x="887"/>
        <item x="448"/>
        <item x="717"/>
        <item x="435"/>
        <item x="637"/>
        <item x="818"/>
        <item x="794"/>
        <item x="563"/>
        <item x="217"/>
        <item x="521"/>
        <item x="644"/>
        <item x="202"/>
        <item x="486"/>
        <item x="816"/>
        <item x="327"/>
        <item x="846"/>
        <item x="52"/>
        <item x="511"/>
        <item x="30"/>
        <item x="273"/>
        <item x="355"/>
        <item x="564"/>
        <item x="649"/>
        <item x="203"/>
        <item x="760"/>
        <item x="54"/>
        <item x="468"/>
        <item x="114"/>
        <item x="29"/>
        <item x="281"/>
        <item x="404"/>
        <item x="616"/>
        <item x="592"/>
        <item x="665"/>
        <item x="848"/>
        <item x="129"/>
        <item x="383"/>
        <item x="892"/>
        <item x="465"/>
        <item x="402"/>
        <item x="341"/>
        <item x="141"/>
        <item x="466"/>
        <item x="706"/>
        <item x="391"/>
        <item x="627"/>
        <item x="200"/>
        <item x="890"/>
        <item x="643"/>
        <item x="722"/>
        <item x="751"/>
        <item x="588"/>
        <item x="620"/>
        <item x="787"/>
        <item x="170"/>
        <item x="92"/>
        <item x="496"/>
        <item x="293"/>
        <item x="595"/>
        <item x="235"/>
        <item x="112"/>
        <item x="63"/>
        <item x="768"/>
        <item x="598"/>
        <item x="10"/>
        <item x="497"/>
        <item x="210"/>
        <item x="702"/>
        <item x="838"/>
        <item x="74"/>
        <item x="154"/>
        <item x="423"/>
        <item x="731"/>
        <item x="544"/>
        <item x="893"/>
        <item x="728"/>
        <item x="439"/>
        <item x="5"/>
        <item x="183"/>
        <item x="25"/>
        <item x="577"/>
        <item x="632"/>
        <item x="350"/>
        <item x="746"/>
        <item x="461"/>
        <item x="27"/>
        <item x="214"/>
        <item x="855"/>
        <item x="450"/>
        <item x="266"/>
        <item x="719"/>
        <item x="109"/>
        <item x="189"/>
        <item x="778"/>
        <item x="44"/>
        <item x="133"/>
        <item x="602"/>
        <item x="397"/>
        <item x="552"/>
        <item x="675"/>
        <item x="514"/>
        <item x="901"/>
        <item x="55"/>
        <item x="282"/>
        <item x="4"/>
        <item x="159"/>
        <item x="737"/>
        <item x="197"/>
        <item x="891"/>
        <item x="270"/>
        <item x="807"/>
        <item x="687"/>
        <item x="324"/>
        <item x="42"/>
        <item x="853"/>
        <item x="618"/>
        <item x="292"/>
        <item x="664"/>
        <item x="386"/>
        <item x="773"/>
        <item x="599"/>
        <item x="907"/>
        <item x="371"/>
        <item x="455"/>
        <item x="93"/>
        <item x="351"/>
        <item x="347"/>
        <item x="294"/>
        <item x="884"/>
        <item x="821"/>
        <item x="488"/>
        <item x="582"/>
        <item x="881"/>
        <item x="438"/>
        <item x="805"/>
        <item x="441"/>
        <item x="730"/>
        <item x="178"/>
        <item x="23"/>
        <item x="666"/>
        <item x="222"/>
        <item x="417"/>
        <item x="130"/>
        <item x="225"/>
        <item x="76"/>
        <item x="788"/>
        <item x="257"/>
        <item x="97"/>
        <item x="150"/>
        <item x="888"/>
        <item x="766"/>
        <item x="752"/>
        <item x="416"/>
        <item x="148"/>
        <item x="619"/>
        <item x="520"/>
        <item x="419"/>
        <item x="923"/>
        <item x="929"/>
        <item x="803"/>
        <item x="169"/>
        <item x="535"/>
        <item x="467"/>
        <item x="876"/>
        <item x="445"/>
        <item x="271"/>
        <item x="776"/>
        <item x="134"/>
        <item x="796"/>
        <item x="83"/>
        <item x="401"/>
        <item x="571"/>
        <item x="478"/>
        <item x="251"/>
        <item x="523"/>
        <item x="795"/>
        <item x="149"/>
        <item x="87"/>
        <item x="656"/>
        <item x="814"/>
        <item x="919"/>
        <item x="444"/>
        <item x="473"/>
        <item x="906"/>
        <item x="908"/>
        <item x="62"/>
        <item x="85"/>
        <item x="549"/>
        <item x="658"/>
        <item x="531"/>
        <item x="696"/>
        <item x="194"/>
        <item x="604"/>
        <item x="494"/>
        <item x="819"/>
        <item x="712"/>
        <item x="19"/>
        <item x="253"/>
        <item x="522"/>
        <item x="137"/>
        <item x="747"/>
        <item x="373"/>
        <item x="726"/>
        <item x="797"/>
        <item x="889"/>
        <item x="345"/>
        <item x="859"/>
        <item x="165"/>
        <item x="6"/>
        <item x="66"/>
        <item x="344"/>
        <item x="490"/>
        <item x="433"/>
        <item x="487"/>
        <item x="357"/>
        <item x="35"/>
        <item x="285"/>
        <item x="365"/>
        <item x="578"/>
        <item x="810"/>
        <item x="317"/>
        <item x="390"/>
        <item x="434"/>
        <item x="244"/>
        <item x="375"/>
        <item x="315"/>
        <item x="834"/>
        <item x="783"/>
        <item x="558"/>
        <item x="382"/>
        <item x="691"/>
        <item x="530"/>
        <item x="539"/>
        <item x="791"/>
        <item x="590"/>
        <item x="811"/>
        <item x="198"/>
        <item x="557"/>
        <item x="628"/>
        <item x="356"/>
        <item x="793"/>
        <item x="815"/>
        <item x="931"/>
        <item x="330"/>
        <item x="224"/>
        <item x="61"/>
        <item x="16"/>
        <item x="121"/>
        <item x="60"/>
        <item x="758"/>
        <item x="849"/>
        <item x="546"/>
        <item x="721"/>
        <item x="193"/>
        <item x="260"/>
        <item x="863"/>
        <item x="852"/>
        <item x="384"/>
        <item x="430"/>
        <item x="867"/>
        <item x="123"/>
        <item x="762"/>
        <item x="800"/>
        <item x="492"/>
        <item x="47"/>
        <item x="585"/>
        <item x="798"/>
        <item x="716"/>
        <item x="46"/>
        <item x="536"/>
        <item x="897"/>
        <item x="179"/>
        <item x="277"/>
        <item x="605"/>
        <item x="873"/>
        <item x="690"/>
        <item x="120"/>
        <item x="177"/>
        <item x="212"/>
        <item x="304"/>
        <item x="532"/>
        <item x="451"/>
        <item x="650"/>
        <item x="8"/>
        <item x="911"/>
        <item x="671"/>
        <item x="247"/>
        <item x="90"/>
        <item x="895"/>
        <item x="601"/>
        <item x="432"/>
        <item x="840"/>
        <item x="611"/>
        <item x="809"/>
        <item x="682"/>
        <item x="686"/>
        <item x="877"/>
        <item x="545"/>
        <item x="879"/>
        <item x="358"/>
        <item x="326"/>
        <item x="833"/>
        <item x="875"/>
        <item x="440"/>
        <item x="698"/>
        <item x="275"/>
        <item x="39"/>
        <item x="725"/>
        <item x="642"/>
        <item x="826"/>
        <item x="912"/>
        <item x="100"/>
        <item x="80"/>
        <item x="880"/>
        <item x="573"/>
        <item x="236"/>
        <item x="823"/>
        <item x="361"/>
        <item x="59"/>
        <item x="262"/>
        <item x="483"/>
        <item x="166"/>
        <item x="567"/>
        <item x="729"/>
        <item x="360"/>
        <item x="362"/>
        <item x="928"/>
        <item x="446"/>
        <item x="808"/>
        <item x="930"/>
        <item x="526"/>
        <item x="51"/>
        <item x="493"/>
        <item x="635"/>
        <item x="233"/>
        <item x="206"/>
        <item x="353"/>
        <item x="741"/>
        <item x="405"/>
        <item x="705"/>
        <item x="215"/>
        <item x="764"/>
        <item x="396"/>
        <item x="306"/>
        <item x="185"/>
        <item x="313"/>
        <item x="626"/>
        <item x="621"/>
        <item x="387"/>
        <item x="274"/>
        <item x="122"/>
        <item x="765"/>
        <item x="105"/>
        <item x="144"/>
        <item x="21"/>
        <item x="415"/>
        <item x="132"/>
        <item x="370"/>
        <item x="181"/>
        <item x="659"/>
        <item x="242"/>
        <item x="263"/>
        <item x="108"/>
        <item x="381"/>
        <item x="1"/>
        <item x="772"/>
        <item x="329"/>
        <item x="874"/>
        <item x="470"/>
        <item x="481"/>
        <item x="638"/>
        <item x="196"/>
        <item x="180"/>
        <item x="799"/>
        <item x="837"/>
        <item x="896"/>
        <item x="89"/>
        <item x="145"/>
        <item x="789"/>
        <item x="872"/>
        <item x="593"/>
        <item x="234"/>
        <item x="173"/>
        <item x="346"/>
        <item x="735"/>
        <item x="201"/>
        <item x="11"/>
        <item x="622"/>
        <item x="780"/>
        <item x="331"/>
        <item x="240"/>
        <item x="785"/>
        <item x="927"/>
        <item x="524"/>
        <item x="917"/>
        <item x="813"/>
        <item x="265"/>
        <item x="254"/>
        <item x="499"/>
        <item x="226"/>
        <item x="443"/>
        <item x="689"/>
        <item x="555"/>
        <item x="831"/>
        <item x="369"/>
        <item x="661"/>
        <item x="258"/>
        <item x="771"/>
        <item x="442"/>
        <item x="802"/>
        <item x="525"/>
        <item x="9"/>
        <item x="763"/>
        <item x="715"/>
        <item x="850"/>
        <item x="869"/>
        <item x="792"/>
        <item x="921"/>
        <item x="88"/>
        <item x="425"/>
        <item x="289"/>
        <item x="736"/>
        <item x="328"/>
        <item x="581"/>
        <item x="670"/>
        <item x="268"/>
        <item x="428"/>
        <item x="709"/>
        <item x="68"/>
        <item x="167"/>
        <item x="308"/>
        <item x="131"/>
        <item x="339"/>
        <item x="94"/>
        <item x="537"/>
        <item x="79"/>
        <item x="188"/>
        <item x="633"/>
        <item x="36"/>
        <item x="245"/>
        <item x="915"/>
        <item x="868"/>
        <item x="147"/>
        <item x="699"/>
        <item x="192"/>
        <item x="20"/>
        <item x="291"/>
        <item x="902"/>
        <item x="298"/>
        <item x="648"/>
        <item x="757"/>
        <item x="174"/>
        <item x="519"/>
        <item x="314"/>
        <item x="37"/>
        <item x="518"/>
        <item x="195"/>
        <item x="393"/>
        <item x="587"/>
        <item x="161"/>
        <item x="53"/>
        <item x="502"/>
        <item x="98"/>
        <item x="107"/>
        <item x="171"/>
        <item x="421"/>
        <item x="86"/>
        <item x="694"/>
        <item x="594"/>
        <item x="491"/>
        <item x="774"/>
        <item x="914"/>
        <item x="516"/>
        <item x="817"/>
        <item x="482"/>
        <item x="756"/>
        <item x="708"/>
        <item x="761"/>
        <item x="828"/>
        <item x="307"/>
        <item x="336"/>
        <item x="45"/>
        <item x="835"/>
        <item x="408"/>
        <item x="652"/>
        <item x="663"/>
        <item x="613"/>
        <item x="232"/>
        <item x="237"/>
        <item x="528"/>
        <item x="418"/>
        <item x="464"/>
        <item x="583"/>
        <item x="303"/>
        <item x="457"/>
        <item x="662"/>
        <item x="363"/>
        <item x="844"/>
        <item x="847"/>
        <item x="900"/>
        <item x="248"/>
        <item x="28"/>
        <item x="420"/>
        <item x="139"/>
        <item x="312"/>
        <item x="255"/>
        <item x="565"/>
        <item x="459"/>
        <item x="449"/>
        <item x="205"/>
        <item x="119"/>
        <item x="456"/>
        <item x="18"/>
        <item x="12"/>
        <item x="504"/>
        <item x="279"/>
        <item x="32"/>
        <item x="99"/>
        <item x="297"/>
        <item x="484"/>
        <item x="529"/>
        <item x="111"/>
        <item x="33"/>
        <item x="343"/>
        <item x="333"/>
        <item x="899"/>
        <item x="603"/>
        <item x="864"/>
        <item x="160"/>
        <item x="851"/>
        <item x="3"/>
        <item x="77"/>
        <item x="647"/>
        <item x="410"/>
        <item x="115"/>
        <item x="452"/>
        <item x="580"/>
        <item x="500"/>
        <item x="517"/>
        <item x="49"/>
        <item x="143"/>
        <item x="683"/>
        <item x="678"/>
        <item x="597"/>
        <item x="614"/>
        <item x="841"/>
        <item x="13"/>
        <item x="447"/>
        <item x="125"/>
        <item x="168"/>
        <item x="309"/>
        <item x="101"/>
        <item x="426"/>
        <item x="932"/>
        <item x="676"/>
        <item x="692"/>
        <item x="727"/>
        <item x="697"/>
        <item x="267"/>
        <item x="576"/>
        <item x="409"/>
        <item x="688"/>
        <item x="858"/>
        <item x="477"/>
        <item x="703"/>
        <item x="22"/>
        <item x="505"/>
        <item x="300"/>
        <item x="241"/>
        <item x="641"/>
        <item x="653"/>
        <item x="527"/>
        <item x="422"/>
        <item x="732"/>
        <item x="316"/>
        <item x="570"/>
        <item x="916"/>
        <item x="512"/>
        <item x="836"/>
        <item x="591"/>
        <item x="700"/>
        <item x="886"/>
        <item x="332"/>
        <item x="250"/>
        <item x="17"/>
        <item x="878"/>
        <item x="759"/>
        <item x="2"/>
        <item x="685"/>
        <item x="839"/>
        <item x="117"/>
        <item x="436"/>
        <item x="606"/>
        <item x="677"/>
        <item x="562"/>
        <item x="65"/>
        <item x="654"/>
        <item x="910"/>
        <item x="71"/>
        <item x="569"/>
        <item x="301"/>
        <item x="509"/>
        <item x="871"/>
        <item x="394"/>
        <item x="348"/>
        <item x="126"/>
        <item x="538"/>
        <item x="463"/>
        <item x="572"/>
        <item x="579"/>
        <item x="399"/>
        <item x="617"/>
        <item x="615"/>
        <item x="95"/>
        <item x="400"/>
        <item x="58"/>
        <item x="413"/>
        <item x="216"/>
        <item x="842"/>
        <item x="674"/>
        <item x="184"/>
        <item x="142"/>
        <item x="804"/>
        <item x="753"/>
        <item x="388"/>
        <item x="458"/>
        <item x="392"/>
        <item x="476"/>
        <item x="672"/>
        <item x="559"/>
        <item x="302"/>
        <item x="96"/>
        <item x="286"/>
        <item x="472"/>
        <item x="790"/>
        <item x="723"/>
        <item x="367"/>
        <item x="667"/>
        <item x="228"/>
        <item x="135"/>
        <item x="429"/>
        <item x="349"/>
        <item x="246"/>
        <item x="221"/>
        <item x="806"/>
        <item x="311"/>
        <item x="693"/>
        <item x="191"/>
        <item x="824"/>
        <item x="612"/>
        <item x="883"/>
        <item x="374"/>
        <item x="380"/>
        <item x="701"/>
        <item x="72"/>
        <item x="424"/>
        <item x="75"/>
        <item x="325"/>
        <item x="630"/>
        <item x="462"/>
        <item x="337"/>
        <item x="913"/>
        <item x="624"/>
        <item x="69"/>
        <item x="636"/>
        <item x="208"/>
        <item x="745"/>
        <item x="163"/>
        <item x="812"/>
        <item x="575"/>
        <item x="366"/>
        <item x="151"/>
        <item x="238"/>
        <item x="695"/>
        <item x="453"/>
        <item x="31"/>
        <item x="905"/>
        <item x="743"/>
        <item x="414"/>
        <item x="507"/>
        <item x="175"/>
        <item x="640"/>
        <item x="103"/>
        <item x="26"/>
        <item x="398"/>
        <item x="78"/>
        <item x="127"/>
        <item x="340"/>
        <item x="288"/>
        <item x="156"/>
        <item x="385"/>
        <item x="124"/>
        <item x="608"/>
        <item x="176"/>
        <item x="784"/>
        <item x="431"/>
        <item x="296"/>
        <item x="933"/>
        <item x="714"/>
        <item x="750"/>
        <item x="379"/>
        <item x="861"/>
        <item x="501"/>
        <item x="925"/>
        <item x="110"/>
        <item x="651"/>
        <item x="655"/>
        <item x="720"/>
        <item x="113"/>
        <item x="218"/>
        <item x="219"/>
        <item x="14"/>
        <item x="305"/>
        <item x="323"/>
        <item x="41"/>
        <item x="554"/>
        <item x="498"/>
        <item x="155"/>
        <item x="769"/>
        <item x="920"/>
        <item x="334"/>
        <item x="870"/>
        <item x="645"/>
        <item x="64"/>
        <item x="50"/>
        <item x="190"/>
        <item x="926"/>
        <item x="403"/>
        <item x="82"/>
        <item x="278"/>
        <item x="885"/>
        <item x="561"/>
        <item x="669"/>
        <item x="43"/>
        <item x="389"/>
        <item x="660"/>
        <item x="566"/>
        <item x="865"/>
        <item x="827"/>
        <item x="230"/>
        <item x="136"/>
        <item x="754"/>
        <item x="679"/>
        <item x="480"/>
        <item x="354"/>
        <item x="553"/>
        <item x="513"/>
        <item x="738"/>
        <item x="211"/>
        <item x="533"/>
        <item x="904"/>
        <item x="801"/>
        <item x="318"/>
        <item x="378"/>
        <item x="625"/>
        <item x="820"/>
        <item x="38"/>
        <item x="84"/>
        <item x="710"/>
        <item x="684"/>
        <item x="152"/>
        <item x="204"/>
        <item x="744"/>
        <item x="584"/>
        <item x="541"/>
        <item x="739"/>
        <item x="213"/>
        <item x="610"/>
        <item x="623"/>
        <item x="48"/>
        <item x="829"/>
        <item x="704"/>
        <item x="368"/>
        <item x="471"/>
        <item x="319"/>
        <item x="338"/>
        <item x="67"/>
        <item x="749"/>
        <item x="0"/>
        <item x="295"/>
        <item x="540"/>
        <item x="287"/>
        <item x="639"/>
        <item x="162"/>
        <item x="600"/>
        <item x="437"/>
        <item x="102"/>
        <item x="118"/>
        <item x="556"/>
        <item x="860"/>
        <item x="547"/>
        <item x="352"/>
        <item x="276"/>
        <item x="164"/>
        <item x="272"/>
        <item x="460"/>
        <item x="503"/>
        <item x="724"/>
        <item x="485"/>
        <item x="748"/>
        <item x="322"/>
        <item x="376"/>
        <item x="427"/>
        <item x="320"/>
        <item x="822"/>
        <item x="903"/>
        <item x="227"/>
        <item x="269"/>
        <item x="231"/>
        <item x="596"/>
        <item x="187"/>
        <item x="508"/>
        <item x="568"/>
        <item x="158"/>
        <item x="550"/>
        <item x="153"/>
        <item x="34"/>
        <item x="767"/>
        <item x="680"/>
        <item x="73"/>
        <item x="733"/>
        <item x="229"/>
        <item x="495"/>
        <item x="377"/>
        <item x="310"/>
        <item x="786"/>
        <item x="742"/>
        <item x="609"/>
        <item x="586"/>
        <item x="209"/>
        <item x="830"/>
        <item x="91"/>
        <item x="335"/>
        <item x="220"/>
        <item x="106"/>
        <item x="261"/>
        <item x="713"/>
        <item t="default"/>
      </items>
    </pivotField>
    <pivotField numFmtId="164" showAll="0"/>
    <pivotField numFmtId="165" showAll="0"/>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3"/>
  </rowFields>
  <rowItems count="8">
    <i>
      <x/>
    </i>
    <i>
      <x v="1"/>
    </i>
    <i>
      <x v="2"/>
    </i>
    <i>
      <x v="3"/>
    </i>
    <i>
      <x v="4"/>
    </i>
    <i>
      <x v="5"/>
    </i>
    <i>
      <x v="6"/>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B43D324-996E-46D7-9336-507CD76CE08E}" sourceName="Department">
  <pivotTables>
    <pivotTable tabId="7" name="PivotTable2"/>
  </pivotTables>
  <data>
    <tabular pivotCacheId="708481368">
      <items count="7">
        <i x="3" s="1"/>
        <i x="0" s="1"/>
        <i x="4" s="1"/>
        <i x="6" s="1"/>
        <i x="2"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CA5A777F-CB80-4E8F-A5BF-1965B7E708C8}" sourceName="Job Title">
  <pivotTables>
    <pivotTable tabId="7" name="PivotTable2"/>
    <pivotTable tabId="8" name="report connection"/>
  </pivotTables>
  <data>
    <tabular pivotCacheId="708481368">
      <items count="33">
        <i x="14" s="1"/>
        <i x="1" s="1"/>
        <i x="6" s="1"/>
        <i x="21" s="1"/>
        <i x="15" s="1"/>
        <i x="18" s="1"/>
        <i x="20" s="1"/>
        <i x="0" s="1"/>
        <i x="30" s="1"/>
        <i x="4" s="1"/>
        <i x="25" s="1"/>
        <i x="19" s="1"/>
        <i x="26" s="1"/>
        <i x="24" s="1"/>
        <i x="17" s="1"/>
        <i x="3" s="1"/>
        <i x="8" s="1"/>
        <i x="2" s="1"/>
        <i x="28" s="1"/>
        <i x="27" s="1"/>
        <i x="32" s="1"/>
        <i x="31" s="1"/>
        <i x="12" s="1"/>
        <i x="22" s="1"/>
        <i x="29" s="1"/>
        <i x="5" s="1"/>
        <i x="23" s="1"/>
        <i x="10" s="1"/>
        <i x="7" s="1"/>
        <i x="9" s="1"/>
        <i x="13" s="1"/>
        <i x="16"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2E2599B-2432-425D-86D3-CA9575B6B334}" cache="Slicer_Department" caption="Department" style="SlicerStyleLight3" rowHeight="216000"/>
  <slicer name="Job Title" xr10:uid="{D7DDFB46-F76D-4C5C-957F-CFC526167961}" cache="Slicer_Job_Title" caption="Job Title" startItem="2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92B9A6-0008-4EA9-A6C9-A2B2BFD2ED19}" name="practice_excel" displayName="practice_excel" ref="A1:M1001" totalsRowShown="0" headerRowDxfId="29" tableBorderDxfId="28">
  <autoFilter ref="A1:M1001" xr:uid="{C092B9A6-0008-4EA9-A6C9-A2B2BFD2ED19}"/>
  <tableColumns count="13">
    <tableColumn id="1" xr3:uid="{A77AD66D-04FF-48F8-B728-6F55C4B4CDAC}" name="Employee ID" dataDxfId="27"/>
    <tableColumn id="2" xr3:uid="{134AE495-9BA3-4676-87AE-5D69DED9CC4D}" name="Full Name" dataDxfId="26"/>
    <tableColumn id="3" xr3:uid="{79160B5A-56F1-4A31-AB5D-03299CBAF97B}" name="Job Title" dataDxfId="25"/>
    <tableColumn id="4" xr3:uid="{FF4A86D8-F356-44CC-9C99-A756C032B0FB}" name="Department" dataDxfId="24"/>
    <tableColumn id="5" xr3:uid="{DBF73CB0-B194-4947-91EA-28212B52C201}" name="Business Unit" dataDxfId="23"/>
    <tableColumn id="6" xr3:uid="{ED13C5AE-3B23-4AA5-BF62-9DA18A20DCA5}" name="Gender" dataDxfId="22"/>
    <tableColumn id="7" xr3:uid="{A187840B-D86F-40B7-B2DA-983240B3C3B5}" name="Ethnicity" dataDxfId="21"/>
    <tableColumn id="8" xr3:uid="{65FB4DAB-1B61-4DB9-921F-E5FB2BA40C57}" name="Age" dataDxfId="20"/>
    <tableColumn id="9" xr3:uid="{84482B68-F7CC-4BDE-A8D5-1AF6809EEF7D}" name="Hire Date" dataDxfId="19"/>
    <tableColumn id="10" xr3:uid="{67261032-15A5-4ED8-837B-AC70F4F79217}" name="Annual Salary" dataDxfId="18"/>
    <tableColumn id="11" xr3:uid="{2599142C-96A2-461D-A16D-555297776BA4}" name="Bonus %" dataDxfId="17"/>
    <tableColumn id="12" xr3:uid="{661660DB-EC41-4EF1-BD3B-C05911036AFF}" name="Country" dataDxfId="16"/>
    <tableColumn id="13" xr3:uid="{2B3D5FC1-E1AE-4CFD-89D6-87CB5CD13AE1}" name="City"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9D9A2A-DB43-42F5-A9A1-C11F91AD7BCE}" name="practice_excel2" displayName="practice_excel2" ref="A1:M1001" totalsRowShown="0" headerRowDxfId="14" tableBorderDxfId="13">
  <autoFilter ref="A1:M1001" xr:uid="{C092B9A6-0008-4EA9-A6C9-A2B2BFD2ED19}"/>
  <tableColumns count="13">
    <tableColumn id="1" xr3:uid="{83E3C47E-8D7C-48D7-A3A4-97402AFAAE8B}" name="Employee ID" dataDxfId="12"/>
    <tableColumn id="2" xr3:uid="{81BF26C5-366B-4D0D-B2A9-5748CDE1D7AB}" name="Full Name" dataDxfId="11"/>
    <tableColumn id="3" xr3:uid="{D66A79A4-0B1C-4891-8C98-57238C0E2A76}" name="Job Title" dataDxfId="10"/>
    <tableColumn id="4" xr3:uid="{A08D9D2F-B2C4-4C66-988C-C4470B2F5EFE}" name="Department" dataDxfId="9"/>
    <tableColumn id="5" xr3:uid="{CF1E1178-A531-4DC8-A561-3B76D4BC359D}" name="Business Unit" dataDxfId="8"/>
    <tableColumn id="6" xr3:uid="{112825FC-3DB3-42B8-84E5-80F390E6A6C3}" name="Gender" dataDxfId="7"/>
    <tableColumn id="7" xr3:uid="{360F3279-C313-40AD-889D-25C9D4583A1D}" name="Ethnicity" dataDxfId="6"/>
    <tableColumn id="8" xr3:uid="{79CF1B50-56B2-453F-864C-CC557596A62F}" name="Age" dataDxfId="5"/>
    <tableColumn id="9" xr3:uid="{7F4970ED-6416-49D1-815B-DC44D2AE6189}" name="Hire Date" dataDxfId="4"/>
    <tableColumn id="10" xr3:uid="{2353407A-782A-4F76-906E-38D6D2FA07C6}" name="Annual Salary" dataDxfId="3"/>
    <tableColumn id="11" xr3:uid="{D21CB99E-9BE3-4A9A-AA0F-A4A8021B1513}" name="Bonus %" dataDxfId="2"/>
    <tableColumn id="12" xr3:uid="{28CFE7D8-10DC-457C-BCE2-FE5C4AA8C99F}" name="Country" dataDxfId="1"/>
    <tableColumn id="13" xr3:uid="{A86A2029-A517-49ED-B639-C7F61B55E86E}" name="C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TheSpreadsheetGuru 2021">
      <a:dk1>
        <a:srgbClr val="000000"/>
      </a:dk1>
      <a:lt1>
        <a:sysClr val="window" lastClr="FFFFFF"/>
      </a:lt1>
      <a:dk2>
        <a:srgbClr val="7E8995"/>
      </a:dk2>
      <a:lt2>
        <a:srgbClr val="414042"/>
      </a:lt2>
      <a:accent1>
        <a:srgbClr val="439FFD"/>
      </a:accent1>
      <a:accent2>
        <a:srgbClr val="E04C41"/>
      </a:accent2>
      <a:accent3>
        <a:srgbClr val="8D67E3"/>
      </a:accent3>
      <a:accent4>
        <a:srgbClr val="FFC000"/>
      </a:accent4>
      <a:accent5>
        <a:srgbClr val="2E3E51"/>
      </a:accent5>
      <a:accent6>
        <a:srgbClr val="3DB182"/>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_Date" xr10:uid="{AA632F96-6C31-45D5-93F2-AE67691E88F8}" sourceName="Hire Date">
  <pivotTables>
    <pivotTable tabId="7" name="PivotTable2"/>
  </pivotTables>
  <state minimalRefreshVersion="6" lastRefreshVersion="6" pivotCacheId="708481368" filterType="unknown">
    <bounds startDate="1993-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 Date" xr10:uid="{02E4BC1A-A342-4E75-BF36-5EE4E40FE9F2}" cache="NativeTimeline_Hire_Date" caption="Hire Date" level="0" selectionLevel="0" scrollPosition="2006-08-19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1959-FC71-4322-A65A-702F0450BECA}">
  <dimension ref="A3:AL17"/>
  <sheetViews>
    <sheetView workbookViewId="0"/>
  </sheetViews>
  <sheetFormatPr defaultRowHeight="14.5" x14ac:dyDescent="0.35"/>
  <cols>
    <col min="1" max="1" width="16.81640625" bestFit="1" customWidth="1"/>
    <col min="2" max="3" width="19.81640625" bestFit="1" customWidth="1"/>
    <col min="13" max="13" width="11.26953125" bestFit="1" customWidth="1"/>
    <col min="14" max="14" width="19.81640625" bestFit="1" customWidth="1"/>
    <col min="24" max="24" width="12.81640625" bestFit="1" customWidth="1"/>
    <col min="25" max="25" width="19.81640625" bestFit="1" customWidth="1"/>
    <col min="37" max="37" width="13.54296875" bestFit="1" customWidth="1"/>
    <col min="38" max="38" width="19.81640625" bestFit="1" customWidth="1"/>
  </cols>
  <sheetData>
    <row r="3" spans="1:38" x14ac:dyDescent="0.35">
      <c r="A3" s="19" t="s">
        <v>2</v>
      </c>
      <c r="B3" t="s">
        <v>2073</v>
      </c>
      <c r="M3" s="19" t="s">
        <v>4</v>
      </c>
      <c r="N3" t="s">
        <v>2073</v>
      </c>
      <c r="X3" s="19" t="s">
        <v>10</v>
      </c>
      <c r="Y3" t="s">
        <v>2073</v>
      </c>
      <c r="AK3" s="19" t="s">
        <v>11</v>
      </c>
      <c r="AL3" t="s">
        <v>2073</v>
      </c>
    </row>
    <row r="4" spans="1:38" x14ac:dyDescent="0.35">
      <c r="A4" t="s">
        <v>56</v>
      </c>
      <c r="B4">
        <v>14104292</v>
      </c>
      <c r="M4" t="s">
        <v>15</v>
      </c>
      <c r="N4">
        <v>58145316</v>
      </c>
      <c r="X4" t="s">
        <v>45</v>
      </c>
      <c r="Y4">
        <v>15329120</v>
      </c>
      <c r="AK4" t="s">
        <v>22</v>
      </c>
      <c r="AL4">
        <v>13206969</v>
      </c>
    </row>
    <row r="5" spans="1:38" x14ac:dyDescent="0.35">
      <c r="A5" t="s">
        <v>28</v>
      </c>
      <c r="B5">
        <v>15212233</v>
      </c>
      <c r="M5" t="s">
        <v>25</v>
      </c>
      <c r="N5">
        <v>51177313</v>
      </c>
      <c r="X5" t="s">
        <v>30</v>
      </c>
      <c r="Y5">
        <v>24282429</v>
      </c>
      <c r="AK5" t="s">
        <v>52</v>
      </c>
      <c r="AL5">
        <v>6403502</v>
      </c>
    </row>
    <row r="6" spans="1:38" x14ac:dyDescent="0.35">
      <c r="A6" t="s">
        <v>13</v>
      </c>
      <c r="B6">
        <v>11792414</v>
      </c>
      <c r="M6" t="s">
        <v>2072</v>
      </c>
      <c r="N6">
        <v>109322629</v>
      </c>
      <c r="X6" t="s">
        <v>17</v>
      </c>
      <c r="Y6">
        <v>69711080</v>
      </c>
      <c r="AK6" t="s">
        <v>31</v>
      </c>
      <c r="AL6">
        <v>6181116</v>
      </c>
    </row>
    <row r="7" spans="1:38" x14ac:dyDescent="0.35">
      <c r="A7" t="s">
        <v>20</v>
      </c>
      <c r="B7">
        <v>13648733</v>
      </c>
      <c r="X7" t="s">
        <v>2072</v>
      </c>
      <c r="Y7">
        <v>109322629</v>
      </c>
      <c r="AK7" t="s">
        <v>18</v>
      </c>
      <c r="AL7">
        <v>11951518</v>
      </c>
    </row>
    <row r="8" spans="1:38" x14ac:dyDescent="0.35">
      <c r="A8" t="s">
        <v>24</v>
      </c>
      <c r="B8">
        <v>25606278</v>
      </c>
      <c r="AK8" t="s">
        <v>65</v>
      </c>
      <c r="AL8">
        <v>6190524</v>
      </c>
    </row>
    <row r="9" spans="1:38" x14ac:dyDescent="0.35">
      <c r="A9" t="s">
        <v>39</v>
      </c>
      <c r="B9">
        <v>13706376</v>
      </c>
      <c r="AK9" t="s">
        <v>26</v>
      </c>
      <c r="AL9">
        <v>9443917</v>
      </c>
    </row>
    <row r="10" spans="1:38" x14ac:dyDescent="0.35">
      <c r="A10" t="s">
        <v>43</v>
      </c>
      <c r="B10">
        <v>15252303</v>
      </c>
      <c r="AK10" t="s">
        <v>66</v>
      </c>
      <c r="AL10">
        <v>4969261</v>
      </c>
    </row>
    <row r="11" spans="1:38" x14ac:dyDescent="0.35">
      <c r="A11" t="s">
        <v>2072</v>
      </c>
      <c r="B11">
        <v>109322629</v>
      </c>
      <c r="AK11" t="s">
        <v>40</v>
      </c>
      <c r="AL11">
        <v>13093702</v>
      </c>
    </row>
    <row r="12" spans="1:38" x14ac:dyDescent="0.35">
      <c r="AK12" t="s">
        <v>35</v>
      </c>
      <c r="AL12">
        <v>10720460</v>
      </c>
    </row>
    <row r="13" spans="1:38" x14ac:dyDescent="0.35">
      <c r="AK13" t="s">
        <v>1134</v>
      </c>
      <c r="AL13">
        <v>5494806</v>
      </c>
    </row>
    <row r="14" spans="1:38" x14ac:dyDescent="0.35">
      <c r="AK14" t="s">
        <v>46</v>
      </c>
      <c r="AL14">
        <v>4865053</v>
      </c>
    </row>
    <row r="15" spans="1:38" x14ac:dyDescent="0.35">
      <c r="AK15" t="s">
        <v>54</v>
      </c>
      <c r="AL15">
        <v>11294514</v>
      </c>
    </row>
    <row r="16" spans="1:38" x14ac:dyDescent="0.35">
      <c r="AK16" t="s">
        <v>61</v>
      </c>
      <c r="AL16">
        <v>5507287</v>
      </c>
    </row>
    <row r="17" spans="37:38" x14ac:dyDescent="0.35">
      <c r="AK17" t="s">
        <v>2072</v>
      </c>
      <c r="AL17">
        <v>109322629</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E231-9B5C-4998-9F3B-8F22B45F3EA0}">
  <dimension ref="A3:E94"/>
  <sheetViews>
    <sheetView zoomScale="70" zoomScaleNormal="70" workbookViewId="0">
      <selection activeCell="B12" sqref="B12"/>
    </sheetView>
  </sheetViews>
  <sheetFormatPr defaultRowHeight="14.5" x14ac:dyDescent="0.35"/>
  <cols>
    <col min="1" max="1" width="24.08984375" bestFit="1" customWidth="1"/>
    <col min="2" max="2" width="15.90625" bestFit="1" customWidth="1"/>
    <col min="3" max="5" width="4.6328125" bestFit="1" customWidth="1"/>
    <col min="6" max="6" width="20.1796875" bestFit="1" customWidth="1"/>
    <col min="7" max="7" width="19.1796875" bestFit="1" customWidth="1"/>
    <col min="8" max="8" width="20.1796875" bestFit="1" customWidth="1"/>
    <col min="9" max="9" width="19.1796875" bestFit="1" customWidth="1"/>
  </cols>
  <sheetData>
    <row r="3" spans="1:5" ht="29" customHeight="1" x14ac:dyDescent="0.35">
      <c r="B3" s="19" t="s">
        <v>2130</v>
      </c>
    </row>
    <row r="4" spans="1:5" ht="28.5" customHeight="1" x14ac:dyDescent="0.35">
      <c r="A4" s="19" t="s">
        <v>2095</v>
      </c>
      <c r="B4" t="s">
        <v>2131</v>
      </c>
      <c r="C4" t="s">
        <v>2127</v>
      </c>
      <c r="D4" t="s">
        <v>2128</v>
      </c>
      <c r="E4" t="s">
        <v>2129</v>
      </c>
    </row>
    <row r="5" spans="1:5" x14ac:dyDescent="0.35">
      <c r="A5" s="1" t="s">
        <v>2096</v>
      </c>
    </row>
    <row r="6" spans="1:5" x14ac:dyDescent="0.35">
      <c r="A6" s="32" t="s">
        <v>2132</v>
      </c>
      <c r="C6">
        <v>3</v>
      </c>
      <c r="D6">
        <v>2</v>
      </c>
      <c r="E6">
        <v>1</v>
      </c>
    </row>
    <row r="7" spans="1:5" x14ac:dyDescent="0.35">
      <c r="A7" s="32" t="s">
        <v>2126</v>
      </c>
      <c r="C7">
        <v>6</v>
      </c>
      <c r="D7">
        <v>5</v>
      </c>
      <c r="E7">
        <v>4</v>
      </c>
    </row>
    <row r="8" spans="1:5" x14ac:dyDescent="0.35">
      <c r="A8" s="1" t="s">
        <v>2097</v>
      </c>
    </row>
    <row r="9" spans="1:5" x14ac:dyDescent="0.35">
      <c r="A9" s="32" t="s">
        <v>2132</v>
      </c>
      <c r="C9">
        <v>1</v>
      </c>
      <c r="D9">
        <v>2</v>
      </c>
      <c r="E9">
        <v>1</v>
      </c>
    </row>
    <row r="10" spans="1:5" x14ac:dyDescent="0.35">
      <c r="A10" s="32" t="s">
        <v>2126</v>
      </c>
      <c r="C10">
        <v>2</v>
      </c>
      <c r="D10">
        <v>4</v>
      </c>
      <c r="E10">
        <v>2</v>
      </c>
    </row>
    <row r="11" spans="1:5" x14ac:dyDescent="0.35">
      <c r="A11" s="1" t="s">
        <v>2098</v>
      </c>
    </row>
    <row r="12" spans="1:5" x14ac:dyDescent="0.35">
      <c r="A12" s="32" t="s">
        <v>2132</v>
      </c>
      <c r="B12">
        <v>1</v>
      </c>
      <c r="C12">
        <v>3</v>
      </c>
      <c r="E12">
        <v>2</v>
      </c>
    </row>
    <row r="13" spans="1:5" x14ac:dyDescent="0.35">
      <c r="A13" s="32" t="s">
        <v>2126</v>
      </c>
      <c r="B13">
        <v>1</v>
      </c>
      <c r="C13">
        <v>4</v>
      </c>
      <c r="E13">
        <v>2</v>
      </c>
    </row>
    <row r="14" spans="1:5" x14ac:dyDescent="0.35">
      <c r="A14" s="1" t="s">
        <v>2099</v>
      </c>
    </row>
    <row r="15" spans="1:5" x14ac:dyDescent="0.35">
      <c r="A15" s="32" t="s">
        <v>2132</v>
      </c>
      <c r="B15">
        <v>1</v>
      </c>
      <c r="C15">
        <v>1</v>
      </c>
      <c r="D15">
        <v>2</v>
      </c>
      <c r="E15">
        <v>1</v>
      </c>
    </row>
    <row r="16" spans="1:5" x14ac:dyDescent="0.35">
      <c r="A16" s="32" t="s">
        <v>2126</v>
      </c>
      <c r="B16">
        <v>1</v>
      </c>
      <c r="C16">
        <v>1</v>
      </c>
      <c r="D16">
        <v>8</v>
      </c>
      <c r="E16">
        <v>1</v>
      </c>
    </row>
    <row r="17" spans="1:5" x14ac:dyDescent="0.35">
      <c r="A17" s="1" t="s">
        <v>2100</v>
      </c>
    </row>
    <row r="18" spans="1:5" x14ac:dyDescent="0.35">
      <c r="A18" s="32" t="s">
        <v>2132</v>
      </c>
      <c r="B18">
        <v>2</v>
      </c>
      <c r="C18">
        <v>1</v>
      </c>
      <c r="D18">
        <v>3</v>
      </c>
      <c r="E18">
        <v>4</v>
      </c>
    </row>
    <row r="19" spans="1:5" x14ac:dyDescent="0.35">
      <c r="A19" s="32" t="s">
        <v>2126</v>
      </c>
      <c r="B19">
        <v>4</v>
      </c>
      <c r="C19">
        <v>2</v>
      </c>
      <c r="D19">
        <v>6</v>
      </c>
      <c r="E19">
        <v>7</v>
      </c>
    </row>
    <row r="20" spans="1:5" x14ac:dyDescent="0.35">
      <c r="A20" s="1" t="s">
        <v>2101</v>
      </c>
    </row>
    <row r="21" spans="1:5" x14ac:dyDescent="0.35">
      <c r="A21" s="32" t="s">
        <v>2132</v>
      </c>
      <c r="B21">
        <v>4</v>
      </c>
      <c r="C21">
        <v>2</v>
      </c>
      <c r="D21">
        <v>3</v>
      </c>
      <c r="E21">
        <v>1</v>
      </c>
    </row>
    <row r="22" spans="1:5" x14ac:dyDescent="0.35">
      <c r="A22" s="32" t="s">
        <v>2126</v>
      </c>
      <c r="B22">
        <v>6</v>
      </c>
      <c r="C22">
        <v>2</v>
      </c>
      <c r="D22">
        <v>3</v>
      </c>
      <c r="E22">
        <v>1</v>
      </c>
    </row>
    <row r="23" spans="1:5" x14ac:dyDescent="0.35">
      <c r="A23" s="1" t="s">
        <v>2102</v>
      </c>
    </row>
    <row r="24" spans="1:5" x14ac:dyDescent="0.35">
      <c r="A24" s="32" t="s">
        <v>2132</v>
      </c>
      <c r="B24">
        <v>3</v>
      </c>
      <c r="C24">
        <v>2</v>
      </c>
      <c r="D24">
        <v>1</v>
      </c>
      <c r="E24">
        <v>1</v>
      </c>
    </row>
    <row r="25" spans="1:5" x14ac:dyDescent="0.35">
      <c r="A25" s="32" t="s">
        <v>2126</v>
      </c>
      <c r="B25">
        <v>9</v>
      </c>
      <c r="C25">
        <v>4</v>
      </c>
      <c r="D25">
        <v>3</v>
      </c>
      <c r="E25">
        <v>3</v>
      </c>
    </row>
    <row r="26" spans="1:5" x14ac:dyDescent="0.35">
      <c r="A26" s="1" t="s">
        <v>2103</v>
      </c>
    </row>
    <row r="27" spans="1:5" x14ac:dyDescent="0.35">
      <c r="A27" s="32" t="s">
        <v>2132</v>
      </c>
      <c r="B27">
        <v>3</v>
      </c>
      <c r="C27">
        <v>4</v>
      </c>
      <c r="D27">
        <v>1</v>
      </c>
      <c r="E27">
        <v>2</v>
      </c>
    </row>
    <row r="28" spans="1:5" x14ac:dyDescent="0.35">
      <c r="A28" s="32" t="s">
        <v>2126</v>
      </c>
      <c r="B28">
        <v>5</v>
      </c>
      <c r="C28">
        <v>6</v>
      </c>
      <c r="D28">
        <v>1</v>
      </c>
      <c r="E28">
        <v>3</v>
      </c>
    </row>
    <row r="29" spans="1:5" x14ac:dyDescent="0.35">
      <c r="A29" s="1" t="s">
        <v>2104</v>
      </c>
    </row>
    <row r="30" spans="1:5" x14ac:dyDescent="0.35">
      <c r="A30" s="32" t="s">
        <v>2132</v>
      </c>
      <c r="B30">
        <v>1</v>
      </c>
      <c r="C30">
        <v>2</v>
      </c>
      <c r="D30">
        <v>1</v>
      </c>
      <c r="E30">
        <v>2</v>
      </c>
    </row>
    <row r="31" spans="1:5" x14ac:dyDescent="0.35">
      <c r="A31" s="32" t="s">
        <v>2126</v>
      </c>
      <c r="B31">
        <v>4</v>
      </c>
      <c r="C31">
        <v>5</v>
      </c>
      <c r="D31">
        <v>4</v>
      </c>
      <c r="E31">
        <v>5</v>
      </c>
    </row>
    <row r="32" spans="1:5" x14ac:dyDescent="0.35">
      <c r="A32" s="1" t="s">
        <v>2105</v>
      </c>
    </row>
    <row r="33" spans="1:5" x14ac:dyDescent="0.35">
      <c r="A33" s="32" t="s">
        <v>2132</v>
      </c>
      <c r="B33">
        <v>3</v>
      </c>
      <c r="C33">
        <v>4</v>
      </c>
      <c r="D33">
        <v>2</v>
      </c>
      <c r="E33">
        <v>1</v>
      </c>
    </row>
    <row r="34" spans="1:5" x14ac:dyDescent="0.35">
      <c r="A34" s="32" t="s">
        <v>2126</v>
      </c>
      <c r="B34">
        <v>6</v>
      </c>
      <c r="C34">
        <v>7</v>
      </c>
      <c r="D34">
        <v>5</v>
      </c>
      <c r="E34">
        <v>4</v>
      </c>
    </row>
    <row r="35" spans="1:5" x14ac:dyDescent="0.35">
      <c r="A35" s="1" t="s">
        <v>2106</v>
      </c>
    </row>
    <row r="36" spans="1:5" x14ac:dyDescent="0.35">
      <c r="A36" s="32" t="s">
        <v>2132</v>
      </c>
      <c r="B36">
        <v>3</v>
      </c>
      <c r="C36">
        <v>2</v>
      </c>
      <c r="D36">
        <v>2</v>
      </c>
      <c r="E36">
        <v>1</v>
      </c>
    </row>
    <row r="37" spans="1:5" x14ac:dyDescent="0.35">
      <c r="A37" s="32" t="s">
        <v>2126</v>
      </c>
      <c r="B37">
        <v>7</v>
      </c>
      <c r="C37">
        <v>6</v>
      </c>
      <c r="D37">
        <v>6</v>
      </c>
      <c r="E37">
        <v>5</v>
      </c>
    </row>
    <row r="38" spans="1:5" x14ac:dyDescent="0.35">
      <c r="A38" s="1" t="s">
        <v>2107</v>
      </c>
    </row>
    <row r="39" spans="1:5" x14ac:dyDescent="0.35">
      <c r="A39" s="32" t="s">
        <v>2132</v>
      </c>
      <c r="B39">
        <v>2</v>
      </c>
      <c r="C39">
        <v>3</v>
      </c>
      <c r="D39">
        <v>2</v>
      </c>
      <c r="E39">
        <v>1</v>
      </c>
    </row>
    <row r="40" spans="1:5" x14ac:dyDescent="0.35">
      <c r="A40" s="32" t="s">
        <v>2126</v>
      </c>
      <c r="B40">
        <v>6</v>
      </c>
      <c r="C40">
        <v>8</v>
      </c>
      <c r="D40">
        <v>6</v>
      </c>
      <c r="E40">
        <v>3</v>
      </c>
    </row>
    <row r="41" spans="1:5" x14ac:dyDescent="0.35">
      <c r="A41" s="1" t="s">
        <v>2108</v>
      </c>
    </row>
    <row r="42" spans="1:5" x14ac:dyDescent="0.35">
      <c r="A42" s="32" t="s">
        <v>2132</v>
      </c>
      <c r="B42">
        <v>4</v>
      </c>
      <c r="C42">
        <v>2</v>
      </c>
      <c r="D42">
        <v>1</v>
      </c>
      <c r="E42">
        <v>3</v>
      </c>
    </row>
    <row r="43" spans="1:5" x14ac:dyDescent="0.35">
      <c r="A43" s="32" t="s">
        <v>2126</v>
      </c>
      <c r="B43">
        <v>9</v>
      </c>
      <c r="C43">
        <v>6</v>
      </c>
      <c r="D43">
        <v>5</v>
      </c>
      <c r="E43">
        <v>8</v>
      </c>
    </row>
    <row r="44" spans="1:5" x14ac:dyDescent="0.35">
      <c r="A44" s="1" t="s">
        <v>2109</v>
      </c>
    </row>
    <row r="45" spans="1:5" x14ac:dyDescent="0.35">
      <c r="A45" s="32" t="s">
        <v>2132</v>
      </c>
      <c r="B45">
        <v>2</v>
      </c>
      <c r="C45">
        <v>3</v>
      </c>
      <c r="D45">
        <v>4</v>
      </c>
      <c r="E45">
        <v>1</v>
      </c>
    </row>
    <row r="46" spans="1:5" x14ac:dyDescent="0.35">
      <c r="A46" s="32" t="s">
        <v>2126</v>
      </c>
      <c r="B46">
        <v>5</v>
      </c>
      <c r="C46">
        <v>6</v>
      </c>
      <c r="D46">
        <v>7</v>
      </c>
      <c r="E46">
        <v>4</v>
      </c>
    </row>
    <row r="47" spans="1:5" x14ac:dyDescent="0.35">
      <c r="A47" s="1" t="s">
        <v>2110</v>
      </c>
    </row>
    <row r="48" spans="1:5" x14ac:dyDescent="0.35">
      <c r="A48" s="32" t="s">
        <v>2132</v>
      </c>
      <c r="B48">
        <v>3</v>
      </c>
      <c r="C48">
        <v>2</v>
      </c>
      <c r="D48">
        <v>3</v>
      </c>
      <c r="E48">
        <v>1</v>
      </c>
    </row>
    <row r="49" spans="1:5" x14ac:dyDescent="0.35">
      <c r="A49" s="32" t="s">
        <v>2126</v>
      </c>
      <c r="B49">
        <v>7</v>
      </c>
      <c r="C49">
        <v>6</v>
      </c>
      <c r="D49">
        <v>7</v>
      </c>
      <c r="E49">
        <v>5</v>
      </c>
    </row>
    <row r="50" spans="1:5" x14ac:dyDescent="0.35">
      <c r="A50" s="1" t="s">
        <v>2111</v>
      </c>
    </row>
    <row r="51" spans="1:5" x14ac:dyDescent="0.35">
      <c r="A51" s="32" t="s">
        <v>2132</v>
      </c>
      <c r="B51">
        <v>2</v>
      </c>
      <c r="C51">
        <v>3</v>
      </c>
      <c r="D51">
        <v>3</v>
      </c>
      <c r="E51">
        <v>1</v>
      </c>
    </row>
    <row r="52" spans="1:5" x14ac:dyDescent="0.35">
      <c r="A52" s="32" t="s">
        <v>2126</v>
      </c>
      <c r="B52">
        <v>6</v>
      </c>
      <c r="C52">
        <v>10</v>
      </c>
      <c r="D52">
        <v>10</v>
      </c>
      <c r="E52">
        <v>3</v>
      </c>
    </row>
    <row r="53" spans="1:5" x14ac:dyDescent="0.35">
      <c r="A53" s="1" t="s">
        <v>2112</v>
      </c>
    </row>
    <row r="54" spans="1:5" x14ac:dyDescent="0.35">
      <c r="A54" s="32" t="s">
        <v>2132</v>
      </c>
      <c r="B54">
        <v>2</v>
      </c>
      <c r="C54">
        <v>2</v>
      </c>
      <c r="D54">
        <v>2</v>
      </c>
      <c r="E54">
        <v>1</v>
      </c>
    </row>
    <row r="55" spans="1:5" x14ac:dyDescent="0.35">
      <c r="A55" s="32" t="s">
        <v>2126</v>
      </c>
      <c r="B55">
        <v>9</v>
      </c>
      <c r="C55">
        <v>9</v>
      </c>
      <c r="D55">
        <v>9</v>
      </c>
      <c r="E55">
        <v>7</v>
      </c>
    </row>
    <row r="56" spans="1:5" x14ac:dyDescent="0.35">
      <c r="A56" s="1" t="s">
        <v>2113</v>
      </c>
    </row>
    <row r="57" spans="1:5" x14ac:dyDescent="0.35">
      <c r="A57" s="32" t="s">
        <v>2132</v>
      </c>
      <c r="B57">
        <v>3</v>
      </c>
      <c r="C57">
        <v>2</v>
      </c>
      <c r="D57">
        <v>1</v>
      </c>
      <c r="E57">
        <v>1</v>
      </c>
    </row>
    <row r="58" spans="1:5" x14ac:dyDescent="0.35">
      <c r="A58" s="32" t="s">
        <v>2126</v>
      </c>
      <c r="B58">
        <v>11</v>
      </c>
      <c r="C58">
        <v>8</v>
      </c>
      <c r="D58">
        <v>6</v>
      </c>
      <c r="E58">
        <v>6</v>
      </c>
    </row>
    <row r="59" spans="1:5" x14ac:dyDescent="0.35">
      <c r="A59" s="1" t="s">
        <v>2114</v>
      </c>
    </row>
    <row r="60" spans="1:5" x14ac:dyDescent="0.35">
      <c r="A60" s="32" t="s">
        <v>2132</v>
      </c>
      <c r="B60">
        <v>1</v>
      </c>
      <c r="C60">
        <v>2</v>
      </c>
      <c r="D60">
        <v>3</v>
      </c>
      <c r="E60">
        <v>1</v>
      </c>
    </row>
    <row r="61" spans="1:5" x14ac:dyDescent="0.35">
      <c r="A61" s="32" t="s">
        <v>2126</v>
      </c>
      <c r="B61">
        <v>6</v>
      </c>
      <c r="C61">
        <v>12</v>
      </c>
      <c r="D61">
        <v>14</v>
      </c>
      <c r="E61">
        <v>6</v>
      </c>
    </row>
    <row r="62" spans="1:5" x14ac:dyDescent="0.35">
      <c r="A62" s="1" t="s">
        <v>2115</v>
      </c>
    </row>
    <row r="63" spans="1:5" x14ac:dyDescent="0.35">
      <c r="A63" s="32" t="s">
        <v>2132</v>
      </c>
      <c r="B63">
        <v>2</v>
      </c>
      <c r="C63">
        <v>3</v>
      </c>
      <c r="D63">
        <v>1</v>
      </c>
      <c r="E63">
        <v>1</v>
      </c>
    </row>
    <row r="64" spans="1:5" x14ac:dyDescent="0.35">
      <c r="A64" s="32" t="s">
        <v>2126</v>
      </c>
      <c r="B64">
        <v>12</v>
      </c>
      <c r="C64">
        <v>14</v>
      </c>
      <c r="D64">
        <v>8</v>
      </c>
      <c r="E64">
        <v>8</v>
      </c>
    </row>
    <row r="65" spans="1:5" x14ac:dyDescent="0.35">
      <c r="A65" s="1" t="s">
        <v>2116</v>
      </c>
    </row>
    <row r="66" spans="1:5" x14ac:dyDescent="0.35">
      <c r="A66" s="32" t="s">
        <v>2132</v>
      </c>
      <c r="B66">
        <v>2</v>
      </c>
      <c r="C66">
        <v>1</v>
      </c>
      <c r="D66">
        <v>4</v>
      </c>
      <c r="E66">
        <v>3</v>
      </c>
    </row>
    <row r="67" spans="1:5" x14ac:dyDescent="0.35">
      <c r="A67" s="32" t="s">
        <v>2126</v>
      </c>
      <c r="B67">
        <v>8</v>
      </c>
      <c r="C67">
        <v>7</v>
      </c>
      <c r="D67">
        <v>15</v>
      </c>
      <c r="E67">
        <v>9</v>
      </c>
    </row>
    <row r="68" spans="1:5" x14ac:dyDescent="0.35">
      <c r="A68" s="1" t="s">
        <v>2117</v>
      </c>
    </row>
    <row r="69" spans="1:5" x14ac:dyDescent="0.35">
      <c r="A69" s="32" t="s">
        <v>2132</v>
      </c>
      <c r="B69">
        <v>1</v>
      </c>
      <c r="C69">
        <v>2</v>
      </c>
      <c r="D69">
        <v>3</v>
      </c>
      <c r="E69">
        <v>4</v>
      </c>
    </row>
    <row r="70" spans="1:5" x14ac:dyDescent="0.35">
      <c r="A70" s="32" t="s">
        <v>2126</v>
      </c>
      <c r="B70">
        <v>5</v>
      </c>
      <c r="C70">
        <v>9</v>
      </c>
      <c r="D70">
        <v>10</v>
      </c>
      <c r="E70">
        <v>12</v>
      </c>
    </row>
    <row r="71" spans="1:5" x14ac:dyDescent="0.35">
      <c r="A71" s="1" t="s">
        <v>2118</v>
      </c>
    </row>
    <row r="72" spans="1:5" x14ac:dyDescent="0.35">
      <c r="A72" s="32" t="s">
        <v>2132</v>
      </c>
      <c r="B72">
        <v>3</v>
      </c>
      <c r="C72">
        <v>1</v>
      </c>
      <c r="D72">
        <v>1</v>
      </c>
      <c r="E72">
        <v>2</v>
      </c>
    </row>
    <row r="73" spans="1:5" x14ac:dyDescent="0.35">
      <c r="A73" s="32" t="s">
        <v>2126</v>
      </c>
      <c r="B73">
        <v>15</v>
      </c>
      <c r="C73">
        <v>11</v>
      </c>
      <c r="D73">
        <v>11</v>
      </c>
      <c r="E73">
        <v>13</v>
      </c>
    </row>
    <row r="74" spans="1:5" x14ac:dyDescent="0.35">
      <c r="A74" s="1" t="s">
        <v>2119</v>
      </c>
    </row>
    <row r="75" spans="1:5" x14ac:dyDescent="0.35">
      <c r="A75" s="32" t="s">
        <v>2132</v>
      </c>
      <c r="B75">
        <v>2</v>
      </c>
      <c r="C75">
        <v>1</v>
      </c>
      <c r="D75">
        <v>3</v>
      </c>
      <c r="E75">
        <v>4</v>
      </c>
    </row>
    <row r="76" spans="1:5" x14ac:dyDescent="0.35">
      <c r="A76" s="32" t="s">
        <v>2126</v>
      </c>
      <c r="B76">
        <v>6</v>
      </c>
      <c r="C76">
        <v>5</v>
      </c>
      <c r="D76">
        <v>10</v>
      </c>
      <c r="E76">
        <v>11</v>
      </c>
    </row>
    <row r="77" spans="1:5" x14ac:dyDescent="0.35">
      <c r="A77" s="1" t="s">
        <v>2120</v>
      </c>
    </row>
    <row r="78" spans="1:5" x14ac:dyDescent="0.35">
      <c r="A78" s="32" t="s">
        <v>2132</v>
      </c>
      <c r="B78">
        <v>2</v>
      </c>
      <c r="C78">
        <v>4</v>
      </c>
      <c r="D78">
        <v>1</v>
      </c>
      <c r="E78">
        <v>3</v>
      </c>
    </row>
    <row r="79" spans="1:5" x14ac:dyDescent="0.35">
      <c r="A79" s="32" t="s">
        <v>2126</v>
      </c>
      <c r="B79">
        <v>10</v>
      </c>
      <c r="C79">
        <v>14</v>
      </c>
      <c r="D79">
        <v>5</v>
      </c>
      <c r="E79">
        <v>12</v>
      </c>
    </row>
    <row r="80" spans="1:5" x14ac:dyDescent="0.35">
      <c r="A80" s="1" t="s">
        <v>2121</v>
      </c>
    </row>
    <row r="81" spans="1:5" x14ac:dyDescent="0.35">
      <c r="A81" s="32" t="s">
        <v>2132</v>
      </c>
      <c r="B81">
        <v>1</v>
      </c>
      <c r="C81">
        <v>3</v>
      </c>
      <c r="D81">
        <v>2</v>
      </c>
      <c r="E81">
        <v>4</v>
      </c>
    </row>
    <row r="82" spans="1:5" x14ac:dyDescent="0.35">
      <c r="A82" s="32" t="s">
        <v>2126</v>
      </c>
      <c r="B82">
        <v>13</v>
      </c>
      <c r="C82">
        <v>20</v>
      </c>
      <c r="D82">
        <v>17</v>
      </c>
      <c r="E82">
        <v>25</v>
      </c>
    </row>
    <row r="83" spans="1:5" x14ac:dyDescent="0.35">
      <c r="A83" s="1" t="s">
        <v>2122</v>
      </c>
    </row>
    <row r="84" spans="1:5" x14ac:dyDescent="0.35">
      <c r="A84" s="32" t="s">
        <v>2132</v>
      </c>
      <c r="B84">
        <v>1</v>
      </c>
      <c r="C84">
        <v>2</v>
      </c>
      <c r="D84">
        <v>3</v>
      </c>
      <c r="E84">
        <v>3</v>
      </c>
    </row>
    <row r="85" spans="1:5" x14ac:dyDescent="0.35">
      <c r="A85" s="32" t="s">
        <v>2126</v>
      </c>
      <c r="B85">
        <v>10</v>
      </c>
      <c r="C85">
        <v>12</v>
      </c>
      <c r="D85">
        <v>15</v>
      </c>
      <c r="E85">
        <v>15</v>
      </c>
    </row>
    <row r="86" spans="1:5" x14ac:dyDescent="0.35">
      <c r="A86" s="1" t="s">
        <v>2123</v>
      </c>
    </row>
    <row r="87" spans="1:5" x14ac:dyDescent="0.35">
      <c r="A87" s="32" t="s">
        <v>2132</v>
      </c>
      <c r="B87">
        <v>2</v>
      </c>
      <c r="C87">
        <v>1</v>
      </c>
      <c r="D87">
        <v>3</v>
      </c>
      <c r="E87">
        <v>4</v>
      </c>
    </row>
    <row r="88" spans="1:5" x14ac:dyDescent="0.35">
      <c r="A88" s="32" t="s">
        <v>2126</v>
      </c>
      <c r="B88">
        <v>16</v>
      </c>
      <c r="C88">
        <v>13</v>
      </c>
      <c r="D88">
        <v>17</v>
      </c>
      <c r="E88">
        <v>18</v>
      </c>
    </row>
    <row r="89" spans="1:5" x14ac:dyDescent="0.35">
      <c r="A89" s="1" t="s">
        <v>2124</v>
      </c>
    </row>
    <row r="90" spans="1:5" x14ac:dyDescent="0.35">
      <c r="A90" s="32" t="s">
        <v>2132</v>
      </c>
      <c r="B90">
        <v>4</v>
      </c>
      <c r="C90">
        <v>3</v>
      </c>
      <c r="D90">
        <v>1</v>
      </c>
      <c r="E90">
        <v>2</v>
      </c>
    </row>
    <row r="91" spans="1:5" x14ac:dyDescent="0.35">
      <c r="A91" s="32" t="s">
        <v>2126</v>
      </c>
      <c r="B91">
        <v>27</v>
      </c>
      <c r="C91">
        <v>22</v>
      </c>
      <c r="D91">
        <v>15</v>
      </c>
      <c r="E91">
        <v>21</v>
      </c>
    </row>
    <row r="92" spans="1:5" x14ac:dyDescent="0.35">
      <c r="A92" s="1" t="s">
        <v>2125</v>
      </c>
    </row>
    <row r="93" spans="1:5" x14ac:dyDescent="0.35">
      <c r="A93" s="32" t="s">
        <v>2132</v>
      </c>
      <c r="B93">
        <v>4</v>
      </c>
      <c r="C93">
        <v>2</v>
      </c>
      <c r="D93">
        <v>1</v>
      </c>
      <c r="E93">
        <v>3</v>
      </c>
    </row>
    <row r="94" spans="1:5" x14ac:dyDescent="0.35">
      <c r="A94" s="32" t="s">
        <v>2126</v>
      </c>
      <c r="B94">
        <v>25</v>
      </c>
      <c r="C94">
        <v>19</v>
      </c>
      <c r="D94">
        <v>18</v>
      </c>
      <c r="E94">
        <v>22</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413B9-AB5A-4B2F-A88E-244DA1C0042A}">
  <dimension ref="A3:F31"/>
  <sheetViews>
    <sheetView zoomScale="85" zoomScaleNormal="85" workbookViewId="0">
      <selection activeCell="D6" sqref="D6"/>
    </sheetView>
  </sheetViews>
  <sheetFormatPr defaultRowHeight="14.5" x14ac:dyDescent="0.35"/>
  <cols>
    <col min="1" max="1" width="19.81640625" bestFit="1" customWidth="1"/>
    <col min="2" max="2" width="15.81640625" bestFit="1" customWidth="1"/>
    <col min="3" max="5" width="6.54296875" bestFit="1" customWidth="1"/>
    <col min="6" max="6" width="10.81640625" bestFit="1" customWidth="1"/>
    <col min="7" max="31" width="6.6328125" bestFit="1" customWidth="1"/>
    <col min="32" max="32" width="10.7265625" bestFit="1" customWidth="1"/>
    <col min="33" max="935" width="10.08984375" bestFit="1" customWidth="1"/>
    <col min="936" max="936" width="10.7265625" bestFit="1" customWidth="1"/>
  </cols>
  <sheetData>
    <row r="3" spans="1:6" x14ac:dyDescent="0.35">
      <c r="A3" s="19" t="s">
        <v>2126</v>
      </c>
      <c r="B3" s="19" t="s">
        <v>2130</v>
      </c>
    </row>
    <row r="4" spans="1:6" x14ac:dyDescent="0.35">
      <c r="B4" t="s">
        <v>2131</v>
      </c>
      <c r="C4" t="s">
        <v>2127</v>
      </c>
      <c r="D4" t="s">
        <v>2128</v>
      </c>
      <c r="E4" t="s">
        <v>2129</v>
      </c>
      <c r="F4" t="s">
        <v>2072</v>
      </c>
    </row>
    <row r="6" spans="1:6" x14ac:dyDescent="0.35">
      <c r="A6" s="19" t="s">
        <v>2095</v>
      </c>
    </row>
    <row r="7" spans="1:6" x14ac:dyDescent="0.35">
      <c r="A7" s="1" t="s">
        <v>45</v>
      </c>
      <c r="B7">
        <v>30</v>
      </c>
      <c r="C7">
        <v>35</v>
      </c>
      <c r="D7">
        <v>37</v>
      </c>
      <c r="E7">
        <v>37</v>
      </c>
      <c r="F7">
        <v>139</v>
      </c>
    </row>
    <row r="8" spans="1:6" x14ac:dyDescent="0.35">
      <c r="A8" s="32" t="s">
        <v>56</v>
      </c>
      <c r="B8">
        <v>3</v>
      </c>
      <c r="C8">
        <v>5</v>
      </c>
      <c r="D8">
        <v>8</v>
      </c>
      <c r="E8">
        <v>3</v>
      </c>
      <c r="F8">
        <v>19</v>
      </c>
    </row>
    <row r="9" spans="1:6" x14ac:dyDescent="0.35">
      <c r="A9" s="32" t="s">
        <v>28</v>
      </c>
      <c r="B9">
        <v>8</v>
      </c>
      <c r="C9">
        <v>5</v>
      </c>
      <c r="D9">
        <v>2</v>
      </c>
      <c r="E9">
        <v>4</v>
      </c>
      <c r="F9">
        <v>19</v>
      </c>
    </row>
    <row r="10" spans="1:6" x14ac:dyDescent="0.35">
      <c r="A10" s="32" t="s">
        <v>13</v>
      </c>
      <c r="B10">
        <v>2</v>
      </c>
      <c r="C10">
        <v>4</v>
      </c>
      <c r="D10">
        <v>3</v>
      </c>
      <c r="E10">
        <v>5</v>
      </c>
      <c r="F10">
        <v>14</v>
      </c>
    </row>
    <row r="11" spans="1:6" x14ac:dyDescent="0.35">
      <c r="A11" s="32" t="s">
        <v>20</v>
      </c>
      <c r="B11">
        <v>4</v>
      </c>
      <c r="C11">
        <v>1</v>
      </c>
      <c r="D11">
        <v>6</v>
      </c>
      <c r="E11">
        <v>3</v>
      </c>
      <c r="F11">
        <v>14</v>
      </c>
    </row>
    <row r="12" spans="1:6" x14ac:dyDescent="0.35">
      <c r="A12" s="32" t="s">
        <v>24</v>
      </c>
      <c r="B12">
        <v>7</v>
      </c>
      <c r="C12">
        <v>11</v>
      </c>
      <c r="D12">
        <v>8</v>
      </c>
      <c r="E12">
        <v>8</v>
      </c>
      <c r="F12">
        <v>34</v>
      </c>
    </row>
    <row r="13" spans="1:6" x14ac:dyDescent="0.35">
      <c r="A13" s="32" t="s">
        <v>39</v>
      </c>
      <c r="B13">
        <v>5</v>
      </c>
      <c r="C13">
        <v>4</v>
      </c>
      <c r="D13">
        <v>3</v>
      </c>
      <c r="E13">
        <v>3</v>
      </c>
      <c r="F13">
        <v>15</v>
      </c>
    </row>
    <row r="14" spans="1:6" x14ac:dyDescent="0.35">
      <c r="A14" s="32" t="s">
        <v>43</v>
      </c>
      <c r="B14">
        <v>1</v>
      </c>
      <c r="C14">
        <v>5</v>
      </c>
      <c r="D14">
        <v>7</v>
      </c>
      <c r="E14">
        <v>11</v>
      </c>
      <c r="F14">
        <v>24</v>
      </c>
    </row>
    <row r="15" spans="1:6" x14ac:dyDescent="0.35">
      <c r="A15" s="1" t="s">
        <v>30</v>
      </c>
      <c r="B15">
        <v>58</v>
      </c>
      <c r="C15">
        <v>53</v>
      </c>
      <c r="D15">
        <v>51</v>
      </c>
      <c r="E15">
        <v>65</v>
      </c>
      <c r="F15">
        <v>227</v>
      </c>
    </row>
    <row r="16" spans="1:6" x14ac:dyDescent="0.35">
      <c r="A16" s="32" t="s">
        <v>56</v>
      </c>
      <c r="B16">
        <v>8</v>
      </c>
      <c r="C16">
        <v>7</v>
      </c>
      <c r="D16">
        <v>4</v>
      </c>
      <c r="E16">
        <v>11</v>
      </c>
      <c r="F16">
        <v>30</v>
      </c>
    </row>
    <row r="17" spans="1:6" x14ac:dyDescent="0.35">
      <c r="A17" s="32" t="s">
        <v>28</v>
      </c>
      <c r="B17">
        <v>6</v>
      </c>
      <c r="C17">
        <v>11</v>
      </c>
      <c r="D17">
        <v>9</v>
      </c>
      <c r="E17">
        <v>7</v>
      </c>
      <c r="F17">
        <v>33</v>
      </c>
    </row>
    <row r="18" spans="1:6" x14ac:dyDescent="0.35">
      <c r="A18" s="32" t="s">
        <v>13</v>
      </c>
      <c r="B18">
        <v>6</v>
      </c>
      <c r="C18">
        <v>7</v>
      </c>
      <c r="D18">
        <v>4</v>
      </c>
      <c r="E18">
        <v>10</v>
      </c>
      <c r="F18">
        <v>27</v>
      </c>
    </row>
    <row r="19" spans="1:6" x14ac:dyDescent="0.35">
      <c r="A19" s="32" t="s">
        <v>20</v>
      </c>
      <c r="B19">
        <v>5</v>
      </c>
      <c r="C19">
        <v>4</v>
      </c>
      <c r="D19">
        <v>11</v>
      </c>
      <c r="E19">
        <v>4</v>
      </c>
      <c r="F19">
        <v>24</v>
      </c>
    </row>
    <row r="20" spans="1:6" x14ac:dyDescent="0.35">
      <c r="A20" s="32" t="s">
        <v>24</v>
      </c>
      <c r="B20">
        <v>16</v>
      </c>
      <c r="C20">
        <v>10</v>
      </c>
      <c r="D20">
        <v>14</v>
      </c>
      <c r="E20">
        <v>19</v>
      </c>
      <c r="F20">
        <v>59</v>
      </c>
    </row>
    <row r="21" spans="1:6" x14ac:dyDescent="0.35">
      <c r="A21" s="32" t="s">
        <v>39</v>
      </c>
      <c r="B21">
        <v>7</v>
      </c>
      <c r="C21">
        <v>6</v>
      </c>
      <c r="D21">
        <v>3</v>
      </c>
      <c r="E21">
        <v>5</v>
      </c>
      <c r="F21">
        <v>21</v>
      </c>
    </row>
    <row r="22" spans="1:6" x14ac:dyDescent="0.35">
      <c r="A22" s="32" t="s">
        <v>43</v>
      </c>
      <c r="B22">
        <v>10</v>
      </c>
      <c r="C22">
        <v>8</v>
      </c>
      <c r="D22">
        <v>6</v>
      </c>
      <c r="E22">
        <v>9</v>
      </c>
      <c r="F22">
        <v>33</v>
      </c>
    </row>
    <row r="23" spans="1:6" x14ac:dyDescent="0.35">
      <c r="A23" s="1" t="s">
        <v>17</v>
      </c>
      <c r="B23">
        <v>161</v>
      </c>
      <c r="C23">
        <v>168</v>
      </c>
      <c r="D23">
        <v>162</v>
      </c>
      <c r="E23">
        <v>143</v>
      </c>
      <c r="F23">
        <v>634</v>
      </c>
    </row>
    <row r="24" spans="1:6" x14ac:dyDescent="0.35">
      <c r="A24" s="32" t="s">
        <v>56</v>
      </c>
      <c r="B24">
        <v>17</v>
      </c>
      <c r="C24">
        <v>16</v>
      </c>
      <c r="D24">
        <v>15</v>
      </c>
      <c r="E24">
        <v>18</v>
      </c>
      <c r="F24">
        <v>66</v>
      </c>
    </row>
    <row r="25" spans="1:6" x14ac:dyDescent="0.35">
      <c r="A25" s="32" t="s">
        <v>28</v>
      </c>
      <c r="B25">
        <v>25</v>
      </c>
      <c r="C25">
        <v>22</v>
      </c>
      <c r="D25">
        <v>26</v>
      </c>
      <c r="E25">
        <v>16</v>
      </c>
      <c r="F25">
        <v>89</v>
      </c>
    </row>
    <row r="26" spans="1:6" x14ac:dyDescent="0.35">
      <c r="A26" s="32" t="s">
        <v>13</v>
      </c>
      <c r="B26">
        <v>15</v>
      </c>
      <c r="C26">
        <v>14</v>
      </c>
      <c r="D26">
        <v>19</v>
      </c>
      <c r="E26">
        <v>9</v>
      </c>
      <c r="F26">
        <v>57</v>
      </c>
    </row>
    <row r="27" spans="1:6" x14ac:dyDescent="0.35">
      <c r="A27" s="32" t="s">
        <v>20</v>
      </c>
      <c r="B27">
        <v>20</v>
      </c>
      <c r="C27">
        <v>22</v>
      </c>
      <c r="D27">
        <v>17</v>
      </c>
      <c r="E27">
        <v>12</v>
      </c>
      <c r="F27">
        <v>71</v>
      </c>
    </row>
    <row r="28" spans="1:6" x14ac:dyDescent="0.35">
      <c r="A28" s="32" t="s">
        <v>24</v>
      </c>
      <c r="B28">
        <v>42</v>
      </c>
      <c r="C28">
        <v>56</v>
      </c>
      <c r="D28">
        <v>42</v>
      </c>
      <c r="E28">
        <v>44</v>
      </c>
      <c r="F28">
        <v>184</v>
      </c>
    </row>
    <row r="29" spans="1:6" x14ac:dyDescent="0.35">
      <c r="A29" s="32" t="s">
        <v>39</v>
      </c>
      <c r="B29">
        <v>18</v>
      </c>
      <c r="C29">
        <v>17</v>
      </c>
      <c r="D29">
        <v>18</v>
      </c>
      <c r="E29">
        <v>21</v>
      </c>
      <c r="F29">
        <v>74</v>
      </c>
    </row>
    <row r="30" spans="1:6" x14ac:dyDescent="0.35">
      <c r="A30" s="32" t="s">
        <v>43</v>
      </c>
      <c r="B30">
        <v>24</v>
      </c>
      <c r="C30">
        <v>21</v>
      </c>
      <c r="D30">
        <v>25</v>
      </c>
      <c r="E30">
        <v>23</v>
      </c>
      <c r="F30">
        <v>93</v>
      </c>
    </row>
    <row r="31" spans="1:6" x14ac:dyDescent="0.35">
      <c r="A31" s="1" t="s">
        <v>2072</v>
      </c>
      <c r="B31">
        <v>249</v>
      </c>
      <c r="C31">
        <v>256</v>
      </c>
      <c r="D31">
        <v>250</v>
      </c>
      <c r="E31">
        <v>245</v>
      </c>
      <c r="F31">
        <v>1000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7FC5-9A25-4695-AD2A-4F528B19277A}">
  <dimension ref="A3:B11"/>
  <sheetViews>
    <sheetView workbookViewId="0">
      <selection activeCell="D9" sqref="D9"/>
    </sheetView>
  </sheetViews>
  <sheetFormatPr defaultRowHeight="14.5" x14ac:dyDescent="0.35"/>
  <cols>
    <col min="1" max="1" width="15.90625" bestFit="1" customWidth="1"/>
    <col min="2" max="2" width="19.1796875" bestFit="1" customWidth="1"/>
  </cols>
  <sheetData>
    <row r="3" spans="1:2" x14ac:dyDescent="0.35">
      <c r="A3" s="19" t="s">
        <v>2095</v>
      </c>
      <c r="B3" t="s">
        <v>2126</v>
      </c>
    </row>
    <row r="4" spans="1:2" x14ac:dyDescent="0.35">
      <c r="A4" s="1" t="s">
        <v>56</v>
      </c>
      <c r="B4">
        <v>115</v>
      </c>
    </row>
    <row r="5" spans="1:2" x14ac:dyDescent="0.35">
      <c r="A5" s="1" t="s">
        <v>28</v>
      </c>
      <c r="B5">
        <v>141</v>
      </c>
    </row>
    <row r="6" spans="1:2" x14ac:dyDescent="0.35">
      <c r="A6" s="1" t="s">
        <v>13</v>
      </c>
      <c r="B6">
        <v>98</v>
      </c>
    </row>
    <row r="7" spans="1:2" x14ac:dyDescent="0.35">
      <c r="A7" s="1" t="s">
        <v>20</v>
      </c>
      <c r="B7">
        <v>109</v>
      </c>
    </row>
    <row r="8" spans="1:2" x14ac:dyDescent="0.35">
      <c r="A8" s="1" t="s">
        <v>24</v>
      </c>
      <c r="B8">
        <v>277</v>
      </c>
    </row>
    <row r="9" spans="1:2" x14ac:dyDescent="0.35">
      <c r="A9" s="1" t="s">
        <v>39</v>
      </c>
      <c r="B9">
        <v>110</v>
      </c>
    </row>
    <row r="10" spans="1:2" x14ac:dyDescent="0.35">
      <c r="A10" s="1" t="s">
        <v>43</v>
      </c>
      <c r="B10">
        <v>150</v>
      </c>
    </row>
    <row r="11" spans="1:2" x14ac:dyDescent="0.35">
      <c r="A11" s="1" t="s">
        <v>2072</v>
      </c>
      <c r="B11">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050CF-61EF-4E55-A16E-2A995FD80429}">
  <dimension ref="A1:B7"/>
  <sheetViews>
    <sheetView workbookViewId="0">
      <selection activeCell="A3" sqref="A3"/>
    </sheetView>
  </sheetViews>
  <sheetFormatPr defaultRowHeight="14.5" x14ac:dyDescent="0.35"/>
  <cols>
    <col min="1" max="1" width="15.90625" bestFit="1" customWidth="1"/>
  </cols>
  <sheetData>
    <row r="1" spans="1:2" x14ac:dyDescent="0.35">
      <c r="A1" s="33" t="s">
        <v>2133</v>
      </c>
      <c r="B1" s="33" t="s">
        <v>2134</v>
      </c>
    </row>
    <row r="2" spans="1:2" x14ac:dyDescent="0.35">
      <c r="A2" s="1" t="s">
        <v>56</v>
      </c>
      <c r="B2">
        <v>115</v>
      </c>
    </row>
    <row r="3" spans="1:2" x14ac:dyDescent="0.35">
      <c r="A3" s="1" t="s">
        <v>28</v>
      </c>
      <c r="B3">
        <v>141</v>
      </c>
    </row>
    <row r="4" spans="1:2" x14ac:dyDescent="0.35">
      <c r="A4" s="1" t="s">
        <v>13</v>
      </c>
      <c r="B4">
        <v>98</v>
      </c>
    </row>
    <row r="5" spans="1:2" x14ac:dyDescent="0.35">
      <c r="A5" s="1" t="s">
        <v>20</v>
      </c>
      <c r="B5">
        <v>109</v>
      </c>
    </row>
    <row r="6" spans="1:2" x14ac:dyDescent="0.35">
      <c r="A6" s="1" t="s">
        <v>24</v>
      </c>
      <c r="B6">
        <v>277</v>
      </c>
    </row>
    <row r="7" spans="1:2" x14ac:dyDescent="0.35">
      <c r="A7" s="1" t="s">
        <v>39</v>
      </c>
      <c r="B7">
        <v>110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0FD4-E818-43DD-82F8-08E3A45897CD}">
  <sheetPr codeName="Sheet1"/>
  <dimension ref="A1:M1002"/>
  <sheetViews>
    <sheetView zoomScale="70" zoomScaleNormal="70" workbookViewId="0">
      <pane ySplit="1" topLeftCell="A2" activePane="bottomLeft" state="frozen"/>
      <selection activeCell="F1" sqref="F1"/>
      <selection pane="bottomLeft" activeCell="A7" sqref="A7"/>
    </sheetView>
  </sheetViews>
  <sheetFormatPr defaultRowHeight="14.5" x14ac:dyDescent="0.35"/>
  <cols>
    <col min="1" max="1" width="16.7265625" bestFit="1" customWidth="1"/>
    <col min="2" max="2" width="22.26953125" bestFit="1" customWidth="1"/>
    <col min="3" max="3" width="27.7265625" bestFit="1" customWidth="1"/>
    <col min="4" max="4" width="16.81640625" bestFit="1" customWidth="1"/>
    <col min="5" max="5" width="23.81640625" bestFit="1" customWidth="1"/>
    <col min="6" max="6" width="10" bestFit="1" customWidth="1"/>
    <col min="7" max="7" width="11" bestFit="1" customWidth="1"/>
    <col min="8" max="8" width="6.7265625" bestFit="1" customWidth="1"/>
    <col min="9" max="9" width="11.54296875" bestFit="1" customWidth="1"/>
    <col min="10" max="10" width="15.453125" bestFit="1" customWidth="1"/>
    <col min="11" max="11" width="10.7265625" bestFit="1" customWidth="1"/>
    <col min="12" max="12" width="12.81640625" bestFit="1" customWidth="1"/>
    <col min="13" max="13" width="13.54296875" bestFit="1" customWidth="1"/>
    <col min="14" max="14" width="11.1796875" bestFit="1" customWidth="1"/>
    <col min="18" max="18" width="11" bestFit="1" customWidth="1"/>
    <col min="19" max="19" width="6.26953125" bestFit="1" customWidth="1"/>
    <col min="20" max="20" width="8.1796875" bestFit="1" customWidth="1"/>
    <col min="21" max="21" width="16.1796875" bestFit="1" customWidth="1"/>
  </cols>
  <sheetData>
    <row r="1" spans="1:13" s="1" customFormat="1" x14ac:dyDescent="0.35">
      <c r="A1" s="29" t="s">
        <v>2069</v>
      </c>
      <c r="B1" s="30" t="s">
        <v>0</v>
      </c>
      <c r="C1" s="30" t="s">
        <v>1</v>
      </c>
      <c r="D1" s="30" t="s">
        <v>2</v>
      </c>
      <c r="E1" s="30" t="s">
        <v>3</v>
      </c>
      <c r="F1" s="30" t="s">
        <v>4</v>
      </c>
      <c r="G1" s="30" t="s">
        <v>5</v>
      </c>
      <c r="H1" s="30" t="s">
        <v>6</v>
      </c>
      <c r="I1" s="30" t="s">
        <v>7</v>
      </c>
      <c r="J1" s="30" t="s">
        <v>8</v>
      </c>
      <c r="K1" s="30" t="s">
        <v>9</v>
      </c>
      <c r="L1" s="30" t="s">
        <v>10</v>
      </c>
      <c r="M1" s="31" t="s">
        <v>11</v>
      </c>
    </row>
    <row r="2" spans="1:13" x14ac:dyDescent="0.35">
      <c r="A2" s="22" t="s">
        <v>283</v>
      </c>
      <c r="B2" s="22" t="s">
        <v>1095</v>
      </c>
      <c r="C2" s="22" t="s">
        <v>69</v>
      </c>
      <c r="D2" s="22" t="s">
        <v>28</v>
      </c>
      <c r="E2" s="22" t="s">
        <v>33</v>
      </c>
      <c r="F2" s="22" t="s">
        <v>25</v>
      </c>
      <c r="G2" s="22" t="s">
        <v>21</v>
      </c>
      <c r="H2" s="22">
        <v>47</v>
      </c>
      <c r="I2" s="24">
        <v>44597</v>
      </c>
      <c r="J2" s="27">
        <v>751</v>
      </c>
      <c r="K2" s="25">
        <v>0</v>
      </c>
      <c r="L2" s="22" t="s">
        <v>17</v>
      </c>
      <c r="M2" s="23" t="s">
        <v>26</v>
      </c>
    </row>
    <row r="3" spans="1:13" x14ac:dyDescent="0.35">
      <c r="A3" s="22" t="s">
        <v>284</v>
      </c>
      <c r="B3" s="22" t="s">
        <v>1096</v>
      </c>
      <c r="C3" s="22" t="s">
        <v>57</v>
      </c>
      <c r="D3" s="22" t="s">
        <v>43</v>
      </c>
      <c r="E3" s="22" t="s">
        <v>29</v>
      </c>
      <c r="F3" s="22" t="s">
        <v>25</v>
      </c>
      <c r="G3" s="22" t="s">
        <v>21</v>
      </c>
      <c r="H3" s="22">
        <v>58</v>
      </c>
      <c r="I3" s="24">
        <v>41570</v>
      </c>
      <c r="J3" s="27">
        <v>781</v>
      </c>
      <c r="K3" s="25">
        <v>0</v>
      </c>
      <c r="L3" s="22" t="s">
        <v>17</v>
      </c>
      <c r="M3" s="23" t="s">
        <v>18</v>
      </c>
    </row>
    <row r="4" spans="1:13" x14ac:dyDescent="0.35">
      <c r="A4" s="22" t="s">
        <v>285</v>
      </c>
      <c r="B4" s="22" t="s">
        <v>1097</v>
      </c>
      <c r="C4" s="22" t="s">
        <v>72</v>
      </c>
      <c r="D4" s="22" t="s">
        <v>24</v>
      </c>
      <c r="E4" s="22" t="s">
        <v>14</v>
      </c>
      <c r="F4" s="22" t="s">
        <v>25</v>
      </c>
      <c r="G4" s="22" t="s">
        <v>21</v>
      </c>
      <c r="H4" s="22">
        <v>34</v>
      </c>
      <c r="I4" s="24">
        <v>43548</v>
      </c>
      <c r="J4" s="27">
        <v>884</v>
      </c>
      <c r="K4" s="25">
        <v>0</v>
      </c>
      <c r="L4" s="22" t="s">
        <v>30</v>
      </c>
      <c r="M4" s="23" t="s">
        <v>61</v>
      </c>
    </row>
    <row r="5" spans="1:13" x14ac:dyDescent="0.35">
      <c r="A5" s="22" t="s">
        <v>252</v>
      </c>
      <c r="B5" s="22" t="s">
        <v>1098</v>
      </c>
      <c r="C5" s="22" t="s">
        <v>73</v>
      </c>
      <c r="D5" s="22" t="s">
        <v>24</v>
      </c>
      <c r="E5" s="22" t="s">
        <v>29</v>
      </c>
      <c r="F5" s="22" t="s">
        <v>15</v>
      </c>
      <c r="G5" s="22" t="s">
        <v>44</v>
      </c>
      <c r="H5" s="22">
        <v>39</v>
      </c>
      <c r="I5" s="24">
        <v>43197</v>
      </c>
      <c r="J5" s="27">
        <v>764</v>
      </c>
      <c r="K5" s="25">
        <v>0</v>
      </c>
      <c r="L5" s="22" t="s">
        <v>17</v>
      </c>
      <c r="M5" s="23" t="s">
        <v>54</v>
      </c>
    </row>
    <row r="6" spans="1:13" x14ac:dyDescent="0.35">
      <c r="A6" s="22" t="s">
        <v>286</v>
      </c>
      <c r="B6" s="22" t="s">
        <v>1099</v>
      </c>
      <c r="C6" s="22" t="s">
        <v>36</v>
      </c>
      <c r="D6" s="22" t="s">
        <v>28</v>
      </c>
      <c r="E6" s="22" t="s">
        <v>29</v>
      </c>
      <c r="F6" s="22" t="s">
        <v>15</v>
      </c>
      <c r="G6" s="22" t="s">
        <v>44</v>
      </c>
      <c r="H6" s="22">
        <v>42</v>
      </c>
      <c r="I6" s="24">
        <v>38521</v>
      </c>
      <c r="J6" s="27">
        <v>671</v>
      </c>
      <c r="K6" s="25">
        <v>0.24</v>
      </c>
      <c r="L6" s="22" t="s">
        <v>17</v>
      </c>
      <c r="M6" s="23" t="s">
        <v>22</v>
      </c>
    </row>
    <row r="7" spans="1:13" x14ac:dyDescent="0.35">
      <c r="A7" s="22" t="s">
        <v>287</v>
      </c>
      <c r="B7" s="22" t="s">
        <v>1100</v>
      </c>
      <c r="C7" s="22" t="s">
        <v>72</v>
      </c>
      <c r="D7" s="22" t="s">
        <v>24</v>
      </c>
      <c r="E7" s="22" t="s">
        <v>33</v>
      </c>
      <c r="F7" s="22" t="s">
        <v>25</v>
      </c>
      <c r="G7" s="22" t="s">
        <v>21</v>
      </c>
      <c r="H7" s="22">
        <v>62</v>
      </c>
      <c r="I7" s="24">
        <v>38099</v>
      </c>
      <c r="J7" s="27">
        <v>746</v>
      </c>
      <c r="K7" s="25">
        <v>0</v>
      </c>
      <c r="L7" s="22" t="s">
        <v>17</v>
      </c>
      <c r="M7" s="23" t="s">
        <v>35</v>
      </c>
    </row>
    <row r="8" spans="1:13" x14ac:dyDescent="0.35">
      <c r="A8" s="22" t="s">
        <v>288</v>
      </c>
      <c r="B8" s="22" t="s">
        <v>1101</v>
      </c>
      <c r="C8" s="22" t="s">
        <v>38</v>
      </c>
      <c r="D8" s="22" t="s">
        <v>56</v>
      </c>
      <c r="E8" s="22" t="s">
        <v>1102</v>
      </c>
      <c r="F8" s="22" t="s">
        <v>15</v>
      </c>
      <c r="G8" s="22" t="s">
        <v>21</v>
      </c>
      <c r="H8" s="22">
        <v>58</v>
      </c>
      <c r="I8" s="24">
        <v>39991</v>
      </c>
      <c r="J8" s="27">
        <v>787</v>
      </c>
      <c r="K8" s="25">
        <v>0</v>
      </c>
      <c r="L8" s="22" t="s">
        <v>30</v>
      </c>
      <c r="M8" s="23" t="s">
        <v>65</v>
      </c>
    </row>
    <row r="9" spans="1:13" x14ac:dyDescent="0.35">
      <c r="A9" s="22" t="s">
        <v>289</v>
      </c>
      <c r="B9" s="22" t="s">
        <v>1103</v>
      </c>
      <c r="C9" s="22" t="s">
        <v>55</v>
      </c>
      <c r="D9" s="22" t="s">
        <v>13</v>
      </c>
      <c r="E9" s="22" t="s">
        <v>29</v>
      </c>
      <c r="F9" s="22" t="s">
        <v>25</v>
      </c>
      <c r="G9" s="22" t="s">
        <v>21</v>
      </c>
      <c r="H9" s="22">
        <v>62</v>
      </c>
      <c r="I9" s="24">
        <v>36210</v>
      </c>
      <c r="J9" s="27">
        <v>755</v>
      </c>
      <c r="K9" s="25">
        <v>0</v>
      </c>
      <c r="L9" s="22" t="s">
        <v>30</v>
      </c>
      <c r="M9" s="23" t="s">
        <v>31</v>
      </c>
    </row>
    <row r="10" spans="1:13" x14ac:dyDescent="0.35">
      <c r="A10" s="22" t="s">
        <v>290</v>
      </c>
      <c r="B10" s="22" t="s">
        <v>1104</v>
      </c>
      <c r="C10" s="22" t="s">
        <v>77</v>
      </c>
      <c r="D10" s="22" t="s">
        <v>24</v>
      </c>
      <c r="E10" s="22" t="s">
        <v>33</v>
      </c>
      <c r="F10" s="22" t="s">
        <v>15</v>
      </c>
      <c r="G10" s="22" t="s">
        <v>16</v>
      </c>
      <c r="H10" s="22">
        <v>38</v>
      </c>
      <c r="I10" s="24">
        <v>40795</v>
      </c>
      <c r="J10" s="27">
        <v>939</v>
      </c>
      <c r="K10" s="25">
        <v>0</v>
      </c>
      <c r="L10" s="22" t="s">
        <v>17</v>
      </c>
      <c r="M10" s="23" t="s">
        <v>54</v>
      </c>
    </row>
    <row r="11" spans="1:13" x14ac:dyDescent="0.35">
      <c r="A11" s="22" t="s">
        <v>291</v>
      </c>
      <c r="B11" s="22" t="s">
        <v>1105</v>
      </c>
      <c r="C11" s="22" t="s">
        <v>53</v>
      </c>
      <c r="D11" s="22" t="s">
        <v>13</v>
      </c>
      <c r="E11" s="22" t="s">
        <v>1102</v>
      </c>
      <c r="F11" s="22" t="s">
        <v>25</v>
      </c>
      <c r="G11" s="22" t="s">
        <v>16</v>
      </c>
      <c r="H11" s="22">
        <v>52</v>
      </c>
      <c r="I11" s="24">
        <v>42040</v>
      </c>
      <c r="J11" s="27">
        <v>653</v>
      </c>
      <c r="K11" s="25">
        <v>0.1</v>
      </c>
      <c r="L11" s="22" t="s">
        <v>17</v>
      </c>
      <c r="M11" s="23" t="s">
        <v>40</v>
      </c>
    </row>
    <row r="12" spans="1:13" x14ac:dyDescent="0.35">
      <c r="A12" s="22" t="s">
        <v>226</v>
      </c>
      <c r="B12" s="22" t="s">
        <v>1106</v>
      </c>
      <c r="C12" s="22" t="s">
        <v>62</v>
      </c>
      <c r="D12" s="22" t="s">
        <v>24</v>
      </c>
      <c r="E12" s="22" t="s">
        <v>33</v>
      </c>
      <c r="F12" s="22" t="s">
        <v>25</v>
      </c>
      <c r="G12" s="22" t="s">
        <v>44</v>
      </c>
      <c r="H12" s="22">
        <v>49</v>
      </c>
      <c r="I12" s="24">
        <v>37906</v>
      </c>
      <c r="J12" s="27">
        <v>939</v>
      </c>
      <c r="K12" s="25">
        <v>0</v>
      </c>
      <c r="L12" s="22" t="s">
        <v>17</v>
      </c>
      <c r="M12" s="23" t="s">
        <v>40</v>
      </c>
    </row>
    <row r="13" spans="1:13" x14ac:dyDescent="0.35">
      <c r="A13" s="22" t="s">
        <v>292</v>
      </c>
      <c r="B13" s="22" t="s">
        <v>1107</v>
      </c>
      <c r="C13" s="22" t="s">
        <v>38</v>
      </c>
      <c r="D13" s="22" t="s">
        <v>13</v>
      </c>
      <c r="E13" s="22" t="s">
        <v>1102</v>
      </c>
      <c r="F13" s="22" t="s">
        <v>15</v>
      </c>
      <c r="G13" s="22" t="s">
        <v>21</v>
      </c>
      <c r="H13" s="22">
        <v>63</v>
      </c>
      <c r="I13" s="24">
        <v>41854</v>
      </c>
      <c r="J13" s="27">
        <v>606</v>
      </c>
      <c r="K13" s="25">
        <v>0</v>
      </c>
      <c r="L13" s="22" t="s">
        <v>17</v>
      </c>
      <c r="M13" s="23" t="s">
        <v>35</v>
      </c>
    </row>
    <row r="14" spans="1:13" x14ac:dyDescent="0.35">
      <c r="A14" s="22" t="s">
        <v>293</v>
      </c>
      <c r="B14" s="22" t="s">
        <v>1108</v>
      </c>
      <c r="C14" s="22" t="s">
        <v>36</v>
      </c>
      <c r="D14" s="22" t="s">
        <v>24</v>
      </c>
      <c r="E14" s="22" t="s">
        <v>33</v>
      </c>
      <c r="F14" s="22" t="s">
        <v>25</v>
      </c>
      <c r="G14" s="22" t="s">
        <v>21</v>
      </c>
      <c r="H14" s="22">
        <v>45</v>
      </c>
      <c r="I14" s="24">
        <v>43054</v>
      </c>
      <c r="J14" s="27">
        <v>975</v>
      </c>
      <c r="K14" s="25">
        <v>0.23</v>
      </c>
      <c r="L14" s="22" t="s">
        <v>30</v>
      </c>
      <c r="M14" s="23" t="s">
        <v>65</v>
      </c>
    </row>
    <row r="15" spans="1:13" x14ac:dyDescent="0.35">
      <c r="A15" s="22" t="s">
        <v>294</v>
      </c>
      <c r="B15" s="22" t="s">
        <v>1109</v>
      </c>
      <c r="C15" s="22" t="s">
        <v>53</v>
      </c>
      <c r="D15" s="22" t="s">
        <v>39</v>
      </c>
      <c r="E15" s="22" t="s">
        <v>29</v>
      </c>
      <c r="F15" s="22" t="s">
        <v>25</v>
      </c>
      <c r="G15" s="22" t="s">
        <v>16</v>
      </c>
      <c r="H15" s="22">
        <v>36</v>
      </c>
      <c r="I15" s="24">
        <v>43303</v>
      </c>
      <c r="J15" s="27">
        <v>849</v>
      </c>
      <c r="K15" s="25">
        <v>0.08</v>
      </c>
      <c r="L15" s="22" t="s">
        <v>17</v>
      </c>
      <c r="M15" s="23" t="s">
        <v>40</v>
      </c>
    </row>
    <row r="16" spans="1:13" x14ac:dyDescent="0.35">
      <c r="A16" s="22" t="s">
        <v>295</v>
      </c>
      <c r="B16" s="22" t="s">
        <v>1110</v>
      </c>
      <c r="C16" s="22" t="s">
        <v>1111</v>
      </c>
      <c r="D16" s="22" t="s">
        <v>39</v>
      </c>
      <c r="E16" s="22" t="s">
        <v>29</v>
      </c>
      <c r="F16" s="22" t="s">
        <v>25</v>
      </c>
      <c r="G16" s="22" t="s">
        <v>41</v>
      </c>
      <c r="H16" s="22">
        <v>42</v>
      </c>
      <c r="I16" s="24">
        <v>44279</v>
      </c>
      <c r="J16" s="27">
        <v>666</v>
      </c>
      <c r="K16" s="25">
        <v>0.15</v>
      </c>
      <c r="L16" s="22" t="s">
        <v>17</v>
      </c>
      <c r="M16" s="23" t="s">
        <v>35</v>
      </c>
    </row>
    <row r="17" spans="1:13" x14ac:dyDescent="0.35">
      <c r="A17" s="22" t="s">
        <v>148</v>
      </c>
      <c r="B17" s="22" t="s">
        <v>1112</v>
      </c>
      <c r="C17" s="22" t="s">
        <v>73</v>
      </c>
      <c r="D17" s="22" t="s">
        <v>24</v>
      </c>
      <c r="E17" s="22" t="s">
        <v>29</v>
      </c>
      <c r="F17" s="22" t="s">
        <v>15</v>
      </c>
      <c r="G17" s="22" t="s">
        <v>21</v>
      </c>
      <c r="H17" s="22">
        <v>62</v>
      </c>
      <c r="I17" s="24">
        <v>35637</v>
      </c>
      <c r="J17" s="27">
        <v>912</v>
      </c>
      <c r="K17" s="25">
        <v>0</v>
      </c>
      <c r="L17" s="22" t="s">
        <v>17</v>
      </c>
      <c r="M17" s="23" t="s">
        <v>40</v>
      </c>
    </row>
    <row r="18" spans="1:13" x14ac:dyDescent="0.35">
      <c r="A18" s="22" t="s">
        <v>296</v>
      </c>
      <c r="B18" s="22" t="s">
        <v>1113</v>
      </c>
      <c r="C18" s="22" t="s">
        <v>12</v>
      </c>
      <c r="D18" s="22" t="s">
        <v>28</v>
      </c>
      <c r="E18" s="22" t="s">
        <v>1102</v>
      </c>
      <c r="F18" s="22" t="s">
        <v>15</v>
      </c>
      <c r="G18" s="22" t="s">
        <v>21</v>
      </c>
      <c r="H18" s="22">
        <v>45</v>
      </c>
      <c r="I18" s="24">
        <v>40395</v>
      </c>
      <c r="J18" s="27">
        <v>842</v>
      </c>
      <c r="K18" s="25">
        <v>0.33</v>
      </c>
      <c r="L18" s="22" t="s">
        <v>30</v>
      </c>
      <c r="M18" s="23" t="s">
        <v>31</v>
      </c>
    </row>
    <row r="19" spans="1:13" x14ac:dyDescent="0.35">
      <c r="A19" s="22" t="s">
        <v>297</v>
      </c>
      <c r="B19" s="22" t="s">
        <v>1114</v>
      </c>
      <c r="C19" s="22" t="s">
        <v>57</v>
      </c>
      <c r="D19" s="22" t="s">
        <v>43</v>
      </c>
      <c r="E19" s="22" t="s">
        <v>1102</v>
      </c>
      <c r="F19" s="22" t="s">
        <v>15</v>
      </c>
      <c r="G19" s="22" t="s">
        <v>21</v>
      </c>
      <c r="H19" s="22">
        <v>61</v>
      </c>
      <c r="I19" s="24">
        <v>43527</v>
      </c>
      <c r="J19" s="27">
        <v>735</v>
      </c>
      <c r="K19" s="25">
        <v>0</v>
      </c>
      <c r="L19" s="22" t="s">
        <v>30</v>
      </c>
      <c r="M19" s="23" t="s">
        <v>65</v>
      </c>
    </row>
    <row r="20" spans="1:13" x14ac:dyDescent="0.35">
      <c r="A20" s="22" t="s">
        <v>298</v>
      </c>
      <c r="B20" s="22" t="s">
        <v>1115</v>
      </c>
      <c r="C20" s="22" t="s">
        <v>67</v>
      </c>
      <c r="D20" s="22" t="s">
        <v>24</v>
      </c>
      <c r="E20" s="22" t="s">
        <v>1102</v>
      </c>
      <c r="F20" s="22" t="s">
        <v>25</v>
      </c>
      <c r="G20" s="22" t="s">
        <v>21</v>
      </c>
      <c r="H20" s="22">
        <v>29</v>
      </c>
      <c r="I20" s="24">
        <v>43050</v>
      </c>
      <c r="J20" s="27">
        <v>773</v>
      </c>
      <c r="K20" s="25">
        <v>0</v>
      </c>
      <c r="L20" s="22" t="s">
        <v>17</v>
      </c>
      <c r="M20" s="23" t="s">
        <v>54</v>
      </c>
    </row>
    <row r="21" spans="1:13" x14ac:dyDescent="0.35">
      <c r="A21" s="22" t="s">
        <v>299</v>
      </c>
      <c r="B21" s="22" t="s">
        <v>1116</v>
      </c>
      <c r="C21" s="22" t="s">
        <v>53</v>
      </c>
      <c r="D21" s="22" t="s">
        <v>56</v>
      </c>
      <c r="E21" s="22" t="s">
        <v>1102</v>
      </c>
      <c r="F21" s="22" t="s">
        <v>15</v>
      </c>
      <c r="G21" s="22" t="s">
        <v>44</v>
      </c>
      <c r="H21" s="22">
        <v>63</v>
      </c>
      <c r="I21" s="24">
        <v>39852</v>
      </c>
      <c r="J21" s="27">
        <v>815</v>
      </c>
      <c r="K21" s="25">
        <v>0.06</v>
      </c>
      <c r="L21" s="22" t="s">
        <v>17</v>
      </c>
      <c r="M21" s="23" t="s">
        <v>22</v>
      </c>
    </row>
    <row r="22" spans="1:13" x14ac:dyDescent="0.35">
      <c r="A22" s="22" t="s">
        <v>300</v>
      </c>
      <c r="B22" s="22" t="s">
        <v>1117</v>
      </c>
      <c r="C22" s="22" t="s">
        <v>1111</v>
      </c>
      <c r="D22" s="22" t="s">
        <v>56</v>
      </c>
      <c r="E22" s="22" t="s">
        <v>1102</v>
      </c>
      <c r="F22" s="22" t="s">
        <v>25</v>
      </c>
      <c r="G22" s="22" t="s">
        <v>21</v>
      </c>
      <c r="H22" s="22">
        <v>45</v>
      </c>
      <c r="I22" s="24">
        <v>42324</v>
      </c>
      <c r="J22" s="27">
        <v>926</v>
      </c>
      <c r="K22" s="25">
        <v>0.12</v>
      </c>
      <c r="L22" s="22" t="s">
        <v>17</v>
      </c>
      <c r="M22" s="23" t="s">
        <v>18</v>
      </c>
    </row>
    <row r="23" spans="1:13" x14ac:dyDescent="0.35">
      <c r="A23" s="22" t="s">
        <v>189</v>
      </c>
      <c r="B23" s="22" t="s">
        <v>1118</v>
      </c>
      <c r="C23" s="22" t="s">
        <v>47</v>
      </c>
      <c r="D23" s="22" t="s">
        <v>24</v>
      </c>
      <c r="E23" s="22" t="s">
        <v>14</v>
      </c>
      <c r="F23" s="22" t="s">
        <v>15</v>
      </c>
      <c r="G23" s="22" t="s">
        <v>41</v>
      </c>
      <c r="H23" s="22">
        <v>43</v>
      </c>
      <c r="I23" s="24">
        <v>41500</v>
      </c>
      <c r="J23" s="27">
        <v>848</v>
      </c>
      <c r="K23" s="25">
        <v>0</v>
      </c>
      <c r="L23" s="22" t="s">
        <v>17</v>
      </c>
      <c r="M23" s="23" t="s">
        <v>35</v>
      </c>
    </row>
    <row r="24" spans="1:13" x14ac:dyDescent="0.35">
      <c r="A24" s="22" t="s">
        <v>248</v>
      </c>
      <c r="B24" s="22" t="s">
        <v>1119</v>
      </c>
      <c r="C24" s="22" t="s">
        <v>74</v>
      </c>
      <c r="D24" s="22" t="s">
        <v>43</v>
      </c>
      <c r="E24" s="22" t="s">
        <v>33</v>
      </c>
      <c r="F24" s="22" t="s">
        <v>15</v>
      </c>
      <c r="G24" s="22" t="s">
        <v>21</v>
      </c>
      <c r="H24" s="22">
        <v>31</v>
      </c>
      <c r="I24" s="24">
        <v>43394</v>
      </c>
      <c r="J24" s="27">
        <v>536</v>
      </c>
      <c r="K24" s="25">
        <v>0</v>
      </c>
      <c r="L24" s="22" t="s">
        <v>30</v>
      </c>
      <c r="M24" s="23" t="s">
        <v>61</v>
      </c>
    </row>
    <row r="25" spans="1:13" x14ac:dyDescent="0.35">
      <c r="A25" s="22" t="s">
        <v>301</v>
      </c>
      <c r="B25" s="22" t="s">
        <v>1120</v>
      </c>
      <c r="C25" s="22" t="s">
        <v>12</v>
      </c>
      <c r="D25" s="22" t="s">
        <v>56</v>
      </c>
      <c r="E25" s="22" t="s">
        <v>1102</v>
      </c>
      <c r="F25" s="22" t="s">
        <v>25</v>
      </c>
      <c r="G25" s="22" t="s">
        <v>21</v>
      </c>
      <c r="H25" s="22">
        <v>48</v>
      </c>
      <c r="I25" s="24">
        <v>39050</v>
      </c>
      <c r="J25" s="27">
        <v>891</v>
      </c>
      <c r="K25" s="25">
        <v>0.36</v>
      </c>
      <c r="L25" s="22" t="s">
        <v>30</v>
      </c>
      <c r="M25" s="23" t="s">
        <v>65</v>
      </c>
    </row>
    <row r="26" spans="1:13" x14ac:dyDescent="0.35">
      <c r="A26" s="22" t="s">
        <v>302</v>
      </c>
      <c r="B26" s="22" t="s">
        <v>1121</v>
      </c>
      <c r="C26" s="22" t="s">
        <v>53</v>
      </c>
      <c r="D26" s="22" t="s">
        <v>43</v>
      </c>
      <c r="E26" s="22" t="s">
        <v>1102</v>
      </c>
      <c r="F26" s="22" t="s">
        <v>25</v>
      </c>
      <c r="G26" s="22" t="s">
        <v>16</v>
      </c>
      <c r="H26" s="22">
        <v>55</v>
      </c>
      <c r="I26" s="24">
        <v>35730</v>
      </c>
      <c r="J26" s="27">
        <v>987</v>
      </c>
      <c r="K26" s="25">
        <v>0.06</v>
      </c>
      <c r="L26" s="22" t="s">
        <v>17</v>
      </c>
      <c r="M26" s="23" t="s">
        <v>40</v>
      </c>
    </row>
    <row r="27" spans="1:13" x14ac:dyDescent="0.35">
      <c r="A27" s="22" t="s">
        <v>303</v>
      </c>
      <c r="B27" s="22" t="s">
        <v>1122</v>
      </c>
      <c r="C27" s="22" t="s">
        <v>36</v>
      </c>
      <c r="D27" s="22" t="s">
        <v>56</v>
      </c>
      <c r="E27" s="22" t="s">
        <v>33</v>
      </c>
      <c r="F27" s="22" t="s">
        <v>25</v>
      </c>
      <c r="G27" s="22" t="s">
        <v>21</v>
      </c>
      <c r="H27" s="22">
        <v>64</v>
      </c>
      <c r="I27" s="24">
        <v>38120</v>
      </c>
      <c r="J27" s="27">
        <v>700</v>
      </c>
      <c r="K27" s="25">
        <v>0.22</v>
      </c>
      <c r="L27" s="22" t="s">
        <v>30</v>
      </c>
      <c r="M27" s="23" t="s">
        <v>52</v>
      </c>
    </row>
    <row r="28" spans="1:13" x14ac:dyDescent="0.35">
      <c r="A28" s="22" t="s">
        <v>304</v>
      </c>
      <c r="B28" s="22" t="s">
        <v>1123</v>
      </c>
      <c r="C28" s="22" t="s">
        <v>36</v>
      </c>
      <c r="D28" s="22" t="s">
        <v>39</v>
      </c>
      <c r="E28" s="22" t="s">
        <v>1102</v>
      </c>
      <c r="F28" s="22" t="s">
        <v>25</v>
      </c>
      <c r="G28" s="22" t="s">
        <v>16</v>
      </c>
      <c r="H28" s="22">
        <v>58</v>
      </c>
      <c r="I28" s="24">
        <v>44159</v>
      </c>
      <c r="J28" s="27">
        <v>805</v>
      </c>
      <c r="K28" s="25">
        <v>0.22</v>
      </c>
      <c r="L28" s="22" t="s">
        <v>17</v>
      </c>
      <c r="M28" s="23" t="s">
        <v>54</v>
      </c>
    </row>
    <row r="29" spans="1:13" x14ac:dyDescent="0.35">
      <c r="A29" s="22" t="s">
        <v>305</v>
      </c>
      <c r="B29" s="22" t="s">
        <v>1124</v>
      </c>
      <c r="C29" s="22" t="s">
        <v>53</v>
      </c>
      <c r="D29" s="22" t="s">
        <v>39</v>
      </c>
      <c r="E29" s="22" t="s">
        <v>33</v>
      </c>
      <c r="F29" s="22" t="s">
        <v>15</v>
      </c>
      <c r="G29" s="22" t="s">
        <v>16</v>
      </c>
      <c r="H29" s="22">
        <v>50</v>
      </c>
      <c r="I29" s="24">
        <v>38210</v>
      </c>
      <c r="J29" s="27">
        <v>503</v>
      </c>
      <c r="K29" s="25">
        <v>0.05</v>
      </c>
      <c r="L29" s="22" t="s">
        <v>17</v>
      </c>
      <c r="M29" s="23" t="s">
        <v>54</v>
      </c>
    </row>
    <row r="30" spans="1:13" x14ac:dyDescent="0.35">
      <c r="A30" s="22" t="s">
        <v>306</v>
      </c>
      <c r="B30" s="22" t="s">
        <v>1125</v>
      </c>
      <c r="C30" s="22" t="s">
        <v>1111</v>
      </c>
      <c r="D30" s="22" t="s">
        <v>39</v>
      </c>
      <c r="E30" s="22" t="s">
        <v>29</v>
      </c>
      <c r="F30" s="22" t="s">
        <v>15</v>
      </c>
      <c r="G30" s="22" t="s">
        <v>41</v>
      </c>
      <c r="H30" s="22">
        <v>41</v>
      </c>
      <c r="I30" s="24">
        <v>42868</v>
      </c>
      <c r="J30" s="27">
        <v>511</v>
      </c>
      <c r="K30" s="25">
        <v>0.1</v>
      </c>
      <c r="L30" s="22" t="s">
        <v>17</v>
      </c>
      <c r="M30" s="23" t="s">
        <v>18</v>
      </c>
    </row>
    <row r="31" spans="1:13" x14ac:dyDescent="0.35">
      <c r="A31" s="22" t="s">
        <v>166</v>
      </c>
      <c r="B31" s="22" t="s">
        <v>1126</v>
      </c>
      <c r="C31" s="22" t="s">
        <v>77</v>
      </c>
      <c r="D31" s="22" t="s">
        <v>24</v>
      </c>
      <c r="E31" s="22" t="s">
        <v>1102</v>
      </c>
      <c r="F31" s="22" t="s">
        <v>25</v>
      </c>
      <c r="G31" s="22" t="s">
        <v>21</v>
      </c>
      <c r="H31" s="22">
        <v>50</v>
      </c>
      <c r="I31" s="24">
        <v>37330</v>
      </c>
      <c r="J31" s="27">
        <v>773</v>
      </c>
      <c r="K31" s="25">
        <v>0</v>
      </c>
      <c r="L31" s="22" t="s">
        <v>30</v>
      </c>
      <c r="M31" s="23" t="s">
        <v>61</v>
      </c>
    </row>
    <row r="32" spans="1:13" x14ac:dyDescent="0.35">
      <c r="A32" s="22" t="s">
        <v>307</v>
      </c>
      <c r="B32" s="22" t="s">
        <v>1127</v>
      </c>
      <c r="C32" s="22" t="s">
        <v>12</v>
      </c>
      <c r="D32" s="22" t="s">
        <v>13</v>
      </c>
      <c r="E32" s="22" t="s">
        <v>14</v>
      </c>
      <c r="F32" s="22" t="s">
        <v>15</v>
      </c>
      <c r="G32" s="22" t="s">
        <v>16</v>
      </c>
      <c r="H32" s="22">
        <v>59</v>
      </c>
      <c r="I32" s="24">
        <v>37116</v>
      </c>
      <c r="J32" s="27">
        <v>994</v>
      </c>
      <c r="K32" s="25">
        <v>0.36</v>
      </c>
      <c r="L32" s="22" t="s">
        <v>17</v>
      </c>
      <c r="M32" s="23" t="s">
        <v>35</v>
      </c>
    </row>
    <row r="33" spans="1:13" x14ac:dyDescent="0.35">
      <c r="A33" s="22" t="s">
        <v>112</v>
      </c>
      <c r="B33" s="22" t="s">
        <v>1128</v>
      </c>
      <c r="C33" s="22" t="s">
        <v>38</v>
      </c>
      <c r="D33" s="22" t="s">
        <v>43</v>
      </c>
      <c r="E33" s="22" t="s">
        <v>29</v>
      </c>
      <c r="F33" s="22" t="s">
        <v>25</v>
      </c>
      <c r="G33" s="22" t="s">
        <v>21</v>
      </c>
      <c r="H33" s="22">
        <v>26</v>
      </c>
      <c r="I33" s="24">
        <v>44128</v>
      </c>
      <c r="J33" s="27">
        <v>527</v>
      </c>
      <c r="K33" s="25">
        <v>0</v>
      </c>
      <c r="L33" s="22" t="s">
        <v>30</v>
      </c>
      <c r="M33" s="23" t="s">
        <v>31</v>
      </c>
    </row>
    <row r="34" spans="1:13" x14ac:dyDescent="0.35">
      <c r="A34" s="22" t="s">
        <v>308</v>
      </c>
      <c r="B34" s="22" t="s">
        <v>1129</v>
      </c>
      <c r="C34" s="22" t="s">
        <v>53</v>
      </c>
      <c r="D34" s="22" t="s">
        <v>20</v>
      </c>
      <c r="E34" s="22" t="s">
        <v>1102</v>
      </c>
      <c r="F34" s="22" t="s">
        <v>25</v>
      </c>
      <c r="G34" s="22" t="s">
        <v>44</v>
      </c>
      <c r="H34" s="22">
        <v>55</v>
      </c>
      <c r="I34" s="24">
        <v>43073</v>
      </c>
      <c r="J34" s="27">
        <v>675</v>
      </c>
      <c r="K34" s="25">
        <v>7.0000000000000007E-2</v>
      </c>
      <c r="L34" s="22" t="s">
        <v>17</v>
      </c>
      <c r="M34" s="23" t="s">
        <v>54</v>
      </c>
    </row>
    <row r="35" spans="1:13" x14ac:dyDescent="0.35">
      <c r="A35" s="22" t="s">
        <v>259</v>
      </c>
      <c r="B35" s="22" t="s">
        <v>1130</v>
      </c>
      <c r="C35" s="22" t="s">
        <v>67</v>
      </c>
      <c r="D35" s="22" t="s">
        <v>24</v>
      </c>
      <c r="E35" s="22" t="s">
        <v>29</v>
      </c>
      <c r="F35" s="22" t="s">
        <v>15</v>
      </c>
      <c r="G35" s="22" t="s">
        <v>21</v>
      </c>
      <c r="H35" s="22">
        <v>32</v>
      </c>
      <c r="I35" s="24">
        <v>43111</v>
      </c>
      <c r="J35" s="27">
        <v>986</v>
      </c>
      <c r="K35" s="25">
        <v>0</v>
      </c>
      <c r="L35" s="22" t="s">
        <v>30</v>
      </c>
      <c r="M35" s="23" t="s">
        <v>61</v>
      </c>
    </row>
    <row r="36" spans="1:13" x14ac:dyDescent="0.35">
      <c r="A36" s="22" t="s">
        <v>309</v>
      </c>
      <c r="B36" s="22" t="s">
        <v>1131</v>
      </c>
      <c r="C36" s="22" t="s">
        <v>68</v>
      </c>
      <c r="D36" s="22" t="s">
        <v>20</v>
      </c>
      <c r="E36" s="22" t="s">
        <v>1102</v>
      </c>
      <c r="F36" s="22" t="s">
        <v>25</v>
      </c>
      <c r="G36" s="22" t="s">
        <v>16</v>
      </c>
      <c r="H36" s="22">
        <v>50</v>
      </c>
      <c r="I36" s="24">
        <v>44811</v>
      </c>
      <c r="J36" s="27">
        <v>936</v>
      </c>
      <c r="K36" s="25">
        <v>0</v>
      </c>
      <c r="L36" s="22" t="s">
        <v>17</v>
      </c>
      <c r="M36" s="23" t="s">
        <v>22</v>
      </c>
    </row>
    <row r="37" spans="1:13" x14ac:dyDescent="0.35">
      <c r="A37" s="22" t="s">
        <v>310</v>
      </c>
      <c r="B37" s="22" t="s">
        <v>1132</v>
      </c>
      <c r="C37" s="22" t="s">
        <v>50</v>
      </c>
      <c r="D37" s="22" t="s">
        <v>28</v>
      </c>
      <c r="E37" s="22" t="s">
        <v>1102</v>
      </c>
      <c r="F37" s="22" t="s">
        <v>25</v>
      </c>
      <c r="G37" s="22" t="s">
        <v>44</v>
      </c>
      <c r="H37" s="22">
        <v>54</v>
      </c>
      <c r="I37" s="24">
        <v>40055</v>
      </c>
      <c r="J37" s="27">
        <v>601</v>
      </c>
      <c r="K37" s="25">
        <v>0</v>
      </c>
      <c r="L37" s="22" t="s">
        <v>17</v>
      </c>
      <c r="M37" s="23" t="s">
        <v>35</v>
      </c>
    </row>
    <row r="38" spans="1:13" x14ac:dyDescent="0.35">
      <c r="A38" s="22" t="s">
        <v>180</v>
      </c>
      <c r="B38" s="22" t="s">
        <v>1133</v>
      </c>
      <c r="C38" s="22" t="s">
        <v>1111</v>
      </c>
      <c r="D38" s="22" t="s">
        <v>56</v>
      </c>
      <c r="E38" s="22" t="s">
        <v>29</v>
      </c>
      <c r="F38" s="22" t="s">
        <v>15</v>
      </c>
      <c r="G38" s="22" t="s">
        <v>44</v>
      </c>
      <c r="H38" s="22">
        <v>31</v>
      </c>
      <c r="I38" s="24">
        <v>42270</v>
      </c>
      <c r="J38" s="27">
        <v>765</v>
      </c>
      <c r="K38" s="25">
        <v>0.15</v>
      </c>
      <c r="L38" s="22" t="s">
        <v>45</v>
      </c>
      <c r="M38" s="23" t="s">
        <v>1134</v>
      </c>
    </row>
    <row r="39" spans="1:13" x14ac:dyDescent="0.35">
      <c r="A39" s="22" t="s">
        <v>311</v>
      </c>
      <c r="B39" s="22" t="s">
        <v>1135</v>
      </c>
      <c r="C39" s="22" t="s">
        <v>57</v>
      </c>
      <c r="D39" s="22" t="s">
        <v>39</v>
      </c>
      <c r="E39" s="22" t="s">
        <v>14</v>
      </c>
      <c r="F39" s="22" t="s">
        <v>25</v>
      </c>
      <c r="G39" s="22" t="s">
        <v>16</v>
      </c>
      <c r="H39" s="22">
        <v>47</v>
      </c>
      <c r="I39" s="24">
        <v>42410</v>
      </c>
      <c r="J39" s="27">
        <v>605</v>
      </c>
      <c r="K39" s="25">
        <v>0</v>
      </c>
      <c r="L39" s="22" t="s">
        <v>17</v>
      </c>
      <c r="M39" s="23" t="s">
        <v>22</v>
      </c>
    </row>
    <row r="40" spans="1:13" x14ac:dyDescent="0.35">
      <c r="A40" s="22" t="s">
        <v>312</v>
      </c>
      <c r="B40" s="22" t="s">
        <v>1136</v>
      </c>
      <c r="C40" s="22" t="s">
        <v>38</v>
      </c>
      <c r="D40" s="22" t="s">
        <v>39</v>
      </c>
      <c r="E40" s="22" t="s">
        <v>1102</v>
      </c>
      <c r="F40" s="22" t="s">
        <v>25</v>
      </c>
      <c r="G40" s="22" t="s">
        <v>21</v>
      </c>
      <c r="H40" s="22">
        <v>26</v>
      </c>
      <c r="I40" s="24">
        <v>44597</v>
      </c>
      <c r="J40" s="27">
        <v>699</v>
      </c>
      <c r="K40" s="25">
        <v>0</v>
      </c>
      <c r="L40" s="22" t="s">
        <v>30</v>
      </c>
      <c r="M40" s="23" t="s">
        <v>61</v>
      </c>
    </row>
    <row r="41" spans="1:13" x14ac:dyDescent="0.35">
      <c r="A41" s="22" t="s">
        <v>313</v>
      </c>
      <c r="B41" s="22" t="s">
        <v>1137</v>
      </c>
      <c r="C41" s="22" t="s">
        <v>1111</v>
      </c>
      <c r="D41" s="22" t="s">
        <v>13</v>
      </c>
      <c r="E41" s="22" t="s">
        <v>1102</v>
      </c>
      <c r="F41" s="22" t="s">
        <v>15</v>
      </c>
      <c r="G41" s="22" t="s">
        <v>21</v>
      </c>
      <c r="H41" s="22">
        <v>62</v>
      </c>
      <c r="I41" s="24">
        <v>44513</v>
      </c>
      <c r="J41" s="27">
        <v>674</v>
      </c>
      <c r="K41" s="25">
        <v>0.1</v>
      </c>
      <c r="L41" s="22" t="s">
        <v>17</v>
      </c>
      <c r="M41" s="23" t="s">
        <v>54</v>
      </c>
    </row>
    <row r="42" spans="1:13" x14ac:dyDescent="0.35">
      <c r="A42" s="22" t="s">
        <v>314</v>
      </c>
      <c r="B42" s="22" t="s">
        <v>1138</v>
      </c>
      <c r="C42" s="22" t="s">
        <v>38</v>
      </c>
      <c r="D42" s="22" t="s">
        <v>13</v>
      </c>
      <c r="E42" s="22" t="s">
        <v>14</v>
      </c>
      <c r="F42" s="22" t="s">
        <v>15</v>
      </c>
      <c r="G42" s="22" t="s">
        <v>44</v>
      </c>
      <c r="H42" s="22">
        <v>35</v>
      </c>
      <c r="I42" s="24">
        <v>41005</v>
      </c>
      <c r="J42" s="27">
        <v>811</v>
      </c>
      <c r="K42" s="25">
        <v>0</v>
      </c>
      <c r="L42" s="22" t="s">
        <v>17</v>
      </c>
      <c r="M42" s="23" t="s">
        <v>18</v>
      </c>
    </row>
    <row r="43" spans="1:13" x14ac:dyDescent="0.35">
      <c r="A43" s="22" t="s">
        <v>315</v>
      </c>
      <c r="B43" s="22" t="s">
        <v>1139</v>
      </c>
      <c r="C43" s="22" t="s">
        <v>53</v>
      </c>
      <c r="D43" s="22" t="s">
        <v>56</v>
      </c>
      <c r="E43" s="22" t="s">
        <v>14</v>
      </c>
      <c r="F43" s="22" t="s">
        <v>15</v>
      </c>
      <c r="G43" s="22" t="s">
        <v>16</v>
      </c>
      <c r="H43" s="22">
        <v>48</v>
      </c>
      <c r="I43" s="24">
        <v>36064</v>
      </c>
      <c r="J43" s="27">
        <v>915</v>
      </c>
      <c r="K43" s="25">
        <v>0.09</v>
      </c>
      <c r="L43" s="22" t="s">
        <v>17</v>
      </c>
      <c r="M43" s="23" t="s">
        <v>26</v>
      </c>
    </row>
    <row r="44" spans="1:13" x14ac:dyDescent="0.35">
      <c r="A44" s="22" t="s">
        <v>75</v>
      </c>
      <c r="B44" s="22" t="s">
        <v>1140</v>
      </c>
      <c r="C44" s="22" t="s">
        <v>12</v>
      </c>
      <c r="D44" s="22" t="s">
        <v>56</v>
      </c>
      <c r="E44" s="22" t="s">
        <v>33</v>
      </c>
      <c r="F44" s="22" t="s">
        <v>25</v>
      </c>
      <c r="G44" s="22" t="s">
        <v>21</v>
      </c>
      <c r="H44" s="22">
        <v>35</v>
      </c>
      <c r="I44" s="24">
        <v>44297</v>
      </c>
      <c r="J44" s="27">
        <v>981</v>
      </c>
      <c r="K44" s="25">
        <v>0.32</v>
      </c>
      <c r="L44" s="22" t="s">
        <v>30</v>
      </c>
      <c r="M44" s="23" t="s">
        <v>65</v>
      </c>
    </row>
    <row r="45" spans="1:13" x14ac:dyDescent="0.35">
      <c r="A45" s="22" t="s">
        <v>316</v>
      </c>
      <c r="B45" s="22" t="s">
        <v>1141</v>
      </c>
      <c r="C45" s="22" t="s">
        <v>53</v>
      </c>
      <c r="D45" s="22" t="s">
        <v>56</v>
      </c>
      <c r="E45" s="22" t="s">
        <v>1102</v>
      </c>
      <c r="F45" s="22" t="s">
        <v>15</v>
      </c>
      <c r="G45" s="22" t="s">
        <v>21</v>
      </c>
      <c r="H45" s="22">
        <v>45</v>
      </c>
      <c r="I45" s="24">
        <v>38666</v>
      </c>
      <c r="J45" s="27">
        <v>983</v>
      </c>
      <c r="K45" s="25">
        <v>0.08</v>
      </c>
      <c r="L45" s="22" t="s">
        <v>17</v>
      </c>
      <c r="M45" s="23" t="s">
        <v>35</v>
      </c>
    </row>
    <row r="46" spans="1:13" x14ac:dyDescent="0.35">
      <c r="A46" s="22" t="s">
        <v>317</v>
      </c>
      <c r="B46" s="22" t="s">
        <v>1142</v>
      </c>
      <c r="C46" s="22" t="s">
        <v>50</v>
      </c>
      <c r="D46" s="22" t="s">
        <v>28</v>
      </c>
      <c r="E46" s="22" t="s">
        <v>14</v>
      </c>
      <c r="F46" s="22" t="s">
        <v>15</v>
      </c>
      <c r="G46" s="22" t="s">
        <v>21</v>
      </c>
      <c r="H46" s="22">
        <v>26</v>
      </c>
      <c r="I46" s="24">
        <v>44373</v>
      </c>
      <c r="J46" s="27">
        <v>722</v>
      </c>
      <c r="K46" s="25">
        <v>0</v>
      </c>
      <c r="L46" s="22" t="s">
        <v>30</v>
      </c>
      <c r="M46" s="23" t="s">
        <v>52</v>
      </c>
    </row>
    <row r="47" spans="1:13" x14ac:dyDescent="0.35">
      <c r="A47" s="22" t="s">
        <v>90</v>
      </c>
      <c r="B47" s="22" t="s">
        <v>1143</v>
      </c>
      <c r="C47" s="22" t="s">
        <v>55</v>
      </c>
      <c r="D47" s="22" t="s">
        <v>39</v>
      </c>
      <c r="E47" s="22" t="s">
        <v>29</v>
      </c>
      <c r="F47" s="22" t="s">
        <v>15</v>
      </c>
      <c r="G47" s="22" t="s">
        <v>44</v>
      </c>
      <c r="H47" s="22">
        <v>48</v>
      </c>
      <c r="I47" s="24">
        <v>38378</v>
      </c>
      <c r="J47" s="27">
        <v>799</v>
      </c>
      <c r="K47" s="25">
        <v>0</v>
      </c>
      <c r="L47" s="22" t="s">
        <v>17</v>
      </c>
      <c r="M47" s="23" t="s">
        <v>18</v>
      </c>
    </row>
    <row r="48" spans="1:13" x14ac:dyDescent="0.35">
      <c r="A48" s="22" t="s">
        <v>318</v>
      </c>
      <c r="B48" s="22" t="s">
        <v>1144</v>
      </c>
      <c r="C48" s="22" t="s">
        <v>60</v>
      </c>
      <c r="D48" s="22" t="s">
        <v>24</v>
      </c>
      <c r="E48" s="22" t="s">
        <v>1102</v>
      </c>
      <c r="F48" s="22" t="s">
        <v>25</v>
      </c>
      <c r="G48" s="22" t="s">
        <v>16</v>
      </c>
      <c r="H48" s="22">
        <v>33</v>
      </c>
      <c r="I48" s="24">
        <v>42722</v>
      </c>
      <c r="J48" s="27">
        <v>689</v>
      </c>
      <c r="K48" s="25">
        <v>0</v>
      </c>
      <c r="L48" s="22" t="s">
        <v>17</v>
      </c>
      <c r="M48" s="23" t="s">
        <v>40</v>
      </c>
    </row>
    <row r="49" spans="1:13" x14ac:dyDescent="0.35">
      <c r="A49" s="22" t="s">
        <v>319</v>
      </c>
      <c r="B49" s="22" t="s">
        <v>1145</v>
      </c>
      <c r="C49" s="22" t="s">
        <v>55</v>
      </c>
      <c r="D49" s="22" t="s">
        <v>43</v>
      </c>
      <c r="E49" s="22" t="s">
        <v>29</v>
      </c>
      <c r="F49" s="22" t="s">
        <v>25</v>
      </c>
      <c r="G49" s="22" t="s">
        <v>21</v>
      </c>
      <c r="H49" s="22">
        <v>55</v>
      </c>
      <c r="I49" s="24">
        <v>40671</v>
      </c>
      <c r="J49" s="27">
        <v>599</v>
      </c>
      <c r="K49" s="25">
        <v>0</v>
      </c>
      <c r="L49" s="22" t="s">
        <v>30</v>
      </c>
      <c r="M49" s="23" t="s">
        <v>65</v>
      </c>
    </row>
    <row r="50" spans="1:13" x14ac:dyDescent="0.35">
      <c r="A50" s="22" t="s">
        <v>320</v>
      </c>
      <c r="B50" s="22" t="s">
        <v>1146</v>
      </c>
      <c r="C50" s="22" t="s">
        <v>34</v>
      </c>
      <c r="D50" s="22" t="s">
        <v>24</v>
      </c>
      <c r="E50" s="22" t="s">
        <v>14</v>
      </c>
      <c r="F50" s="22" t="s">
        <v>25</v>
      </c>
      <c r="G50" s="22" t="s">
        <v>21</v>
      </c>
      <c r="H50" s="22">
        <v>38</v>
      </c>
      <c r="I50" s="24">
        <v>40645</v>
      </c>
      <c r="J50" s="27">
        <v>784</v>
      </c>
      <c r="K50" s="25">
        <v>0</v>
      </c>
      <c r="L50" s="22" t="s">
        <v>17</v>
      </c>
      <c r="M50" s="23" t="s">
        <v>35</v>
      </c>
    </row>
    <row r="51" spans="1:13" x14ac:dyDescent="0.35">
      <c r="A51" s="22" t="s">
        <v>321</v>
      </c>
      <c r="B51" s="22" t="s">
        <v>1147</v>
      </c>
      <c r="C51" s="22" t="s">
        <v>53</v>
      </c>
      <c r="D51" s="22" t="s">
        <v>56</v>
      </c>
      <c r="E51" s="22" t="s">
        <v>1102</v>
      </c>
      <c r="F51" s="22" t="s">
        <v>15</v>
      </c>
      <c r="G51" s="22" t="s">
        <v>21</v>
      </c>
      <c r="H51" s="22">
        <v>49</v>
      </c>
      <c r="I51" s="24">
        <v>44562</v>
      </c>
      <c r="J51" s="27">
        <v>672</v>
      </c>
      <c r="K51" s="25">
        <v>0.09</v>
      </c>
      <c r="L51" s="22" t="s">
        <v>17</v>
      </c>
      <c r="M51" s="23" t="s">
        <v>40</v>
      </c>
    </row>
    <row r="52" spans="1:13" x14ac:dyDescent="0.35">
      <c r="A52" s="22" t="s">
        <v>322</v>
      </c>
      <c r="B52" s="22" t="s">
        <v>1148</v>
      </c>
      <c r="C52" s="22" t="s">
        <v>34</v>
      </c>
      <c r="D52" s="22" t="s">
        <v>24</v>
      </c>
      <c r="E52" s="22" t="s">
        <v>29</v>
      </c>
      <c r="F52" s="22" t="s">
        <v>15</v>
      </c>
      <c r="G52" s="22" t="s">
        <v>44</v>
      </c>
      <c r="H52" s="22">
        <v>52</v>
      </c>
      <c r="I52" s="24">
        <v>43258</v>
      </c>
      <c r="J52" s="27">
        <v>987</v>
      </c>
      <c r="K52" s="25">
        <v>0</v>
      </c>
      <c r="L52" s="22" t="s">
        <v>17</v>
      </c>
      <c r="M52" s="23" t="s">
        <v>40</v>
      </c>
    </row>
    <row r="53" spans="1:13" x14ac:dyDescent="0.35">
      <c r="A53" s="22" t="s">
        <v>323</v>
      </c>
      <c r="B53" s="22" t="s">
        <v>1149</v>
      </c>
      <c r="C53" s="22" t="s">
        <v>12</v>
      </c>
      <c r="D53" s="22" t="s">
        <v>13</v>
      </c>
      <c r="E53" s="22" t="s">
        <v>29</v>
      </c>
      <c r="F53" s="22" t="s">
        <v>25</v>
      </c>
      <c r="G53" s="22" t="s">
        <v>21</v>
      </c>
      <c r="H53" s="22">
        <v>27</v>
      </c>
      <c r="I53" s="24">
        <v>44334</v>
      </c>
      <c r="J53" s="27">
        <v>534</v>
      </c>
      <c r="K53" s="25">
        <v>0.36</v>
      </c>
      <c r="L53" s="22" t="s">
        <v>17</v>
      </c>
      <c r="M53" s="23" t="s">
        <v>18</v>
      </c>
    </row>
    <row r="54" spans="1:13" x14ac:dyDescent="0.35">
      <c r="A54" s="22" t="s">
        <v>324</v>
      </c>
      <c r="B54" s="22" t="s">
        <v>1150</v>
      </c>
      <c r="C54" s="22" t="s">
        <v>23</v>
      </c>
      <c r="D54" s="22" t="s">
        <v>24</v>
      </c>
      <c r="E54" s="22" t="s">
        <v>1102</v>
      </c>
      <c r="F54" s="22" t="s">
        <v>25</v>
      </c>
      <c r="G54" s="22" t="s">
        <v>16</v>
      </c>
      <c r="H54" s="22">
        <v>34</v>
      </c>
      <c r="I54" s="24">
        <v>41256</v>
      </c>
      <c r="J54" s="27">
        <v>842</v>
      </c>
      <c r="K54" s="25">
        <v>0</v>
      </c>
      <c r="L54" s="22" t="s">
        <v>17</v>
      </c>
      <c r="M54" s="23" t="s">
        <v>26</v>
      </c>
    </row>
    <row r="55" spans="1:13" x14ac:dyDescent="0.35">
      <c r="A55" s="22" t="s">
        <v>325</v>
      </c>
      <c r="B55" s="22" t="s">
        <v>1151</v>
      </c>
      <c r="C55" s="22" t="s">
        <v>12</v>
      </c>
      <c r="D55" s="22" t="s">
        <v>28</v>
      </c>
      <c r="E55" s="22" t="s">
        <v>29</v>
      </c>
      <c r="F55" s="22" t="s">
        <v>15</v>
      </c>
      <c r="G55" s="22" t="s">
        <v>16</v>
      </c>
      <c r="H55" s="22">
        <v>65</v>
      </c>
      <c r="I55" s="24">
        <v>37098</v>
      </c>
      <c r="J55" s="27">
        <v>747</v>
      </c>
      <c r="K55" s="25">
        <v>0.31</v>
      </c>
      <c r="L55" s="22" t="s">
        <v>17</v>
      </c>
      <c r="M55" s="23" t="s">
        <v>18</v>
      </c>
    </row>
    <row r="56" spans="1:13" x14ac:dyDescent="0.35">
      <c r="A56" s="22" t="s">
        <v>326</v>
      </c>
      <c r="B56" s="22" t="s">
        <v>1152</v>
      </c>
      <c r="C56" s="22" t="s">
        <v>36</v>
      </c>
      <c r="D56" s="22" t="s">
        <v>43</v>
      </c>
      <c r="E56" s="22" t="s">
        <v>1102</v>
      </c>
      <c r="F56" s="22" t="s">
        <v>15</v>
      </c>
      <c r="G56" s="22" t="s">
        <v>44</v>
      </c>
      <c r="H56" s="22">
        <v>38</v>
      </c>
      <c r="I56" s="24">
        <v>42500</v>
      </c>
      <c r="J56" s="27">
        <v>791</v>
      </c>
      <c r="K56" s="25">
        <v>0.24</v>
      </c>
      <c r="L56" s="22" t="s">
        <v>17</v>
      </c>
      <c r="M56" s="23" t="s">
        <v>22</v>
      </c>
    </row>
    <row r="57" spans="1:13" x14ac:dyDescent="0.35">
      <c r="A57" s="22" t="s">
        <v>327</v>
      </c>
      <c r="B57" s="22" t="s">
        <v>1153</v>
      </c>
      <c r="C57" s="22" t="s">
        <v>48</v>
      </c>
      <c r="D57" s="22" t="s">
        <v>24</v>
      </c>
      <c r="E57" s="22" t="s">
        <v>33</v>
      </c>
      <c r="F57" s="22" t="s">
        <v>15</v>
      </c>
      <c r="G57" s="22" t="s">
        <v>21</v>
      </c>
      <c r="H57" s="22">
        <v>63</v>
      </c>
      <c r="I57" s="24">
        <v>37283</v>
      </c>
      <c r="J57" s="27">
        <v>531</v>
      </c>
      <c r="K57" s="25">
        <v>0.05</v>
      </c>
      <c r="L57" s="22" t="s">
        <v>17</v>
      </c>
      <c r="M57" s="23" t="s">
        <v>35</v>
      </c>
    </row>
    <row r="58" spans="1:13" x14ac:dyDescent="0.35">
      <c r="A58" s="22" t="s">
        <v>328</v>
      </c>
      <c r="B58" s="22" t="s">
        <v>1154</v>
      </c>
      <c r="C58" s="22" t="s">
        <v>53</v>
      </c>
      <c r="D58" s="22" t="s">
        <v>43</v>
      </c>
      <c r="E58" s="22" t="s">
        <v>29</v>
      </c>
      <c r="F58" s="22" t="s">
        <v>25</v>
      </c>
      <c r="G58" s="22" t="s">
        <v>44</v>
      </c>
      <c r="H58" s="22">
        <v>42</v>
      </c>
      <c r="I58" s="24">
        <v>38513</v>
      </c>
      <c r="J58" s="27">
        <v>937</v>
      </c>
      <c r="K58" s="25">
        <v>0.08</v>
      </c>
      <c r="L58" s="22" t="s">
        <v>45</v>
      </c>
      <c r="M58" s="23" t="s">
        <v>46</v>
      </c>
    </row>
    <row r="59" spans="1:13" x14ac:dyDescent="0.35">
      <c r="A59" s="22" t="s">
        <v>267</v>
      </c>
      <c r="B59" s="22" t="s">
        <v>1155</v>
      </c>
      <c r="C59" s="22" t="s">
        <v>1111</v>
      </c>
      <c r="D59" s="22" t="s">
        <v>43</v>
      </c>
      <c r="E59" s="22" t="s">
        <v>14</v>
      </c>
      <c r="F59" s="22" t="s">
        <v>15</v>
      </c>
      <c r="G59" s="22" t="s">
        <v>44</v>
      </c>
      <c r="H59" s="22">
        <v>60</v>
      </c>
      <c r="I59" s="24">
        <v>34297</v>
      </c>
      <c r="J59" s="27">
        <v>910</v>
      </c>
      <c r="K59" s="25">
        <v>0.12</v>
      </c>
      <c r="L59" s="22" t="s">
        <v>45</v>
      </c>
      <c r="M59" s="23" t="s">
        <v>46</v>
      </c>
    </row>
    <row r="60" spans="1:13" x14ac:dyDescent="0.35">
      <c r="A60" s="22" t="s">
        <v>329</v>
      </c>
      <c r="B60" s="22" t="s">
        <v>215</v>
      </c>
      <c r="C60" s="22" t="s">
        <v>36</v>
      </c>
      <c r="D60" s="22" t="s">
        <v>43</v>
      </c>
      <c r="E60" s="22" t="s">
        <v>33</v>
      </c>
      <c r="F60" s="22" t="s">
        <v>25</v>
      </c>
      <c r="G60" s="22" t="s">
        <v>21</v>
      </c>
      <c r="H60" s="22">
        <v>47</v>
      </c>
      <c r="I60" s="24">
        <v>36490</v>
      </c>
      <c r="J60" s="27">
        <v>974</v>
      </c>
      <c r="K60" s="25">
        <v>0.17</v>
      </c>
      <c r="L60" s="22" t="s">
        <v>17</v>
      </c>
      <c r="M60" s="23" t="s">
        <v>26</v>
      </c>
    </row>
    <row r="61" spans="1:13" x14ac:dyDescent="0.35">
      <c r="A61" s="22" t="s">
        <v>330</v>
      </c>
      <c r="B61" s="22" t="s">
        <v>1156</v>
      </c>
      <c r="C61" s="22" t="s">
        <v>36</v>
      </c>
      <c r="D61" s="22" t="s">
        <v>13</v>
      </c>
      <c r="E61" s="22" t="s">
        <v>29</v>
      </c>
      <c r="F61" s="22" t="s">
        <v>25</v>
      </c>
      <c r="G61" s="22" t="s">
        <v>21</v>
      </c>
      <c r="H61" s="22">
        <v>50</v>
      </c>
      <c r="I61" s="24">
        <v>43740</v>
      </c>
      <c r="J61" s="27">
        <v>780</v>
      </c>
      <c r="K61" s="25">
        <v>0.17</v>
      </c>
      <c r="L61" s="22" t="s">
        <v>17</v>
      </c>
      <c r="M61" s="23" t="s">
        <v>35</v>
      </c>
    </row>
    <row r="62" spans="1:13" x14ac:dyDescent="0.35">
      <c r="A62" s="22" t="s">
        <v>175</v>
      </c>
      <c r="B62" s="22" t="s">
        <v>1157</v>
      </c>
      <c r="C62" s="22" t="s">
        <v>38</v>
      </c>
      <c r="D62" s="22" t="s">
        <v>43</v>
      </c>
      <c r="E62" s="22" t="s">
        <v>1102</v>
      </c>
      <c r="F62" s="22" t="s">
        <v>15</v>
      </c>
      <c r="G62" s="22" t="s">
        <v>21</v>
      </c>
      <c r="H62" s="22">
        <v>39</v>
      </c>
      <c r="I62" s="24">
        <v>41096</v>
      </c>
      <c r="J62" s="27">
        <v>763</v>
      </c>
      <c r="K62" s="25">
        <v>0</v>
      </c>
      <c r="L62" s="22" t="s">
        <v>17</v>
      </c>
      <c r="M62" s="23" t="s">
        <v>40</v>
      </c>
    </row>
    <row r="63" spans="1:13" x14ac:dyDescent="0.35">
      <c r="A63" s="22" t="s">
        <v>219</v>
      </c>
      <c r="B63" s="22" t="s">
        <v>1158</v>
      </c>
      <c r="C63" s="22" t="s">
        <v>74</v>
      </c>
      <c r="D63" s="22" t="s">
        <v>43</v>
      </c>
      <c r="E63" s="22" t="s">
        <v>29</v>
      </c>
      <c r="F63" s="22" t="s">
        <v>25</v>
      </c>
      <c r="G63" s="22" t="s">
        <v>44</v>
      </c>
      <c r="H63" s="22">
        <v>46</v>
      </c>
      <c r="I63" s="24">
        <v>40408</v>
      </c>
      <c r="J63" s="27">
        <v>612</v>
      </c>
      <c r="K63" s="25">
        <v>0</v>
      </c>
      <c r="L63" s="22" t="s">
        <v>17</v>
      </c>
      <c r="M63" s="23" t="s">
        <v>35</v>
      </c>
    </row>
    <row r="64" spans="1:13" x14ac:dyDescent="0.35">
      <c r="A64" s="22" t="s">
        <v>331</v>
      </c>
      <c r="B64" s="22" t="s">
        <v>1159</v>
      </c>
      <c r="C64" s="22" t="s">
        <v>55</v>
      </c>
      <c r="D64" s="22" t="s">
        <v>43</v>
      </c>
      <c r="E64" s="22" t="s">
        <v>33</v>
      </c>
      <c r="F64" s="22" t="s">
        <v>25</v>
      </c>
      <c r="G64" s="22" t="s">
        <v>16</v>
      </c>
      <c r="H64" s="22">
        <v>50</v>
      </c>
      <c r="I64" s="24">
        <v>40388</v>
      </c>
      <c r="J64" s="27">
        <v>584</v>
      </c>
      <c r="K64" s="25">
        <v>0</v>
      </c>
      <c r="L64" s="22" t="s">
        <v>17</v>
      </c>
      <c r="M64" s="23" t="s">
        <v>40</v>
      </c>
    </row>
    <row r="65" spans="1:13" x14ac:dyDescent="0.35">
      <c r="A65" s="22" t="s">
        <v>332</v>
      </c>
      <c r="B65" s="22" t="s">
        <v>1160</v>
      </c>
      <c r="C65" s="22" t="s">
        <v>51</v>
      </c>
      <c r="D65" s="22" t="s">
        <v>28</v>
      </c>
      <c r="E65" s="22" t="s">
        <v>33</v>
      </c>
      <c r="F65" s="22" t="s">
        <v>15</v>
      </c>
      <c r="G65" s="22" t="s">
        <v>21</v>
      </c>
      <c r="H65" s="22">
        <v>55</v>
      </c>
      <c r="I65" s="24">
        <v>39685</v>
      </c>
      <c r="J65" s="27">
        <v>622</v>
      </c>
      <c r="K65" s="25">
        <v>0</v>
      </c>
      <c r="L65" s="22" t="s">
        <v>30</v>
      </c>
      <c r="M65" s="23" t="s">
        <v>61</v>
      </c>
    </row>
    <row r="66" spans="1:13" x14ac:dyDescent="0.35">
      <c r="A66" s="22" t="s">
        <v>239</v>
      </c>
      <c r="B66" s="22" t="s">
        <v>1161</v>
      </c>
      <c r="C66" s="22" t="s">
        <v>1111</v>
      </c>
      <c r="D66" s="22" t="s">
        <v>43</v>
      </c>
      <c r="E66" s="22" t="s">
        <v>1102</v>
      </c>
      <c r="F66" s="22" t="s">
        <v>25</v>
      </c>
      <c r="G66" s="22" t="s">
        <v>21</v>
      </c>
      <c r="H66" s="22">
        <v>43</v>
      </c>
      <c r="I66" s="24">
        <v>37888</v>
      </c>
      <c r="J66" s="27">
        <v>995</v>
      </c>
      <c r="K66" s="25">
        <v>0.12</v>
      </c>
      <c r="L66" s="22" t="s">
        <v>17</v>
      </c>
      <c r="M66" s="23" t="s">
        <v>54</v>
      </c>
    </row>
    <row r="67" spans="1:13" x14ac:dyDescent="0.35">
      <c r="A67" s="22" t="s">
        <v>333</v>
      </c>
      <c r="B67" s="22" t="s">
        <v>1162</v>
      </c>
      <c r="C67" s="22" t="s">
        <v>38</v>
      </c>
      <c r="D67" s="22" t="s">
        <v>13</v>
      </c>
      <c r="E67" s="22" t="s">
        <v>33</v>
      </c>
      <c r="F67" s="22" t="s">
        <v>15</v>
      </c>
      <c r="G67" s="22" t="s">
        <v>41</v>
      </c>
      <c r="H67" s="22">
        <v>26</v>
      </c>
      <c r="I67" s="24">
        <v>44332</v>
      </c>
      <c r="J67" s="27">
        <v>543</v>
      </c>
      <c r="K67" s="25">
        <v>0</v>
      </c>
      <c r="L67" s="22" t="s">
        <v>17</v>
      </c>
      <c r="M67" s="23" t="s">
        <v>35</v>
      </c>
    </row>
    <row r="68" spans="1:13" x14ac:dyDescent="0.35">
      <c r="A68" s="22" t="s">
        <v>334</v>
      </c>
      <c r="B68" s="22" t="s">
        <v>1163</v>
      </c>
      <c r="C68" s="22" t="s">
        <v>38</v>
      </c>
      <c r="D68" s="22" t="s">
        <v>39</v>
      </c>
      <c r="E68" s="22" t="s">
        <v>14</v>
      </c>
      <c r="F68" s="22" t="s">
        <v>25</v>
      </c>
      <c r="G68" s="22" t="s">
        <v>44</v>
      </c>
      <c r="H68" s="22">
        <v>34</v>
      </c>
      <c r="I68" s="24">
        <v>43600</v>
      </c>
      <c r="J68" s="27">
        <v>742</v>
      </c>
      <c r="K68" s="25">
        <v>0</v>
      </c>
      <c r="L68" s="22" t="s">
        <v>17</v>
      </c>
      <c r="M68" s="23" t="s">
        <v>35</v>
      </c>
    </row>
    <row r="69" spans="1:13" x14ac:dyDescent="0.35">
      <c r="A69" s="22" t="s">
        <v>335</v>
      </c>
      <c r="B69" s="22" t="s">
        <v>1164</v>
      </c>
      <c r="C69" s="22" t="s">
        <v>36</v>
      </c>
      <c r="D69" s="22" t="s">
        <v>43</v>
      </c>
      <c r="E69" s="22" t="s">
        <v>1102</v>
      </c>
      <c r="F69" s="22" t="s">
        <v>25</v>
      </c>
      <c r="G69" s="22" t="s">
        <v>44</v>
      </c>
      <c r="H69" s="22">
        <v>38</v>
      </c>
      <c r="I69" s="24">
        <v>39999</v>
      </c>
      <c r="J69" s="27">
        <v>674</v>
      </c>
      <c r="K69" s="25">
        <v>0.27</v>
      </c>
      <c r="L69" s="22" t="s">
        <v>45</v>
      </c>
      <c r="M69" s="23" t="s">
        <v>1134</v>
      </c>
    </row>
    <row r="70" spans="1:13" x14ac:dyDescent="0.35">
      <c r="A70" s="22" t="s">
        <v>336</v>
      </c>
      <c r="B70" s="22" t="s">
        <v>1165</v>
      </c>
      <c r="C70" s="22" t="s">
        <v>38</v>
      </c>
      <c r="D70" s="22" t="s">
        <v>39</v>
      </c>
      <c r="E70" s="22" t="s">
        <v>1102</v>
      </c>
      <c r="F70" s="22" t="s">
        <v>25</v>
      </c>
      <c r="G70" s="22" t="s">
        <v>21</v>
      </c>
      <c r="H70" s="22">
        <v>35</v>
      </c>
      <c r="I70" s="24">
        <v>44584</v>
      </c>
      <c r="J70" s="27">
        <v>740</v>
      </c>
      <c r="K70" s="25">
        <v>0</v>
      </c>
      <c r="L70" s="22" t="s">
        <v>30</v>
      </c>
      <c r="M70" s="23" t="s">
        <v>31</v>
      </c>
    </row>
    <row r="71" spans="1:13" x14ac:dyDescent="0.35">
      <c r="A71" s="22" t="s">
        <v>104</v>
      </c>
      <c r="B71" s="22" t="s">
        <v>1166</v>
      </c>
      <c r="C71" s="22" t="s">
        <v>53</v>
      </c>
      <c r="D71" s="22" t="s">
        <v>39</v>
      </c>
      <c r="E71" s="22" t="s">
        <v>29</v>
      </c>
      <c r="F71" s="22" t="s">
        <v>25</v>
      </c>
      <c r="G71" s="22" t="s">
        <v>21</v>
      </c>
      <c r="H71" s="22">
        <v>39</v>
      </c>
      <c r="I71" s="24">
        <v>42172</v>
      </c>
      <c r="J71" s="27">
        <v>594</v>
      </c>
      <c r="K71" s="25">
        <v>0.09</v>
      </c>
      <c r="L71" s="22" t="s">
        <v>30</v>
      </c>
      <c r="M71" s="23" t="s">
        <v>52</v>
      </c>
    </row>
    <row r="72" spans="1:13" x14ac:dyDescent="0.35">
      <c r="A72" s="22" t="s">
        <v>172</v>
      </c>
      <c r="B72" s="22" t="s">
        <v>1167</v>
      </c>
      <c r="C72" s="22" t="s">
        <v>53</v>
      </c>
      <c r="D72" s="22" t="s">
        <v>43</v>
      </c>
      <c r="E72" s="22" t="s">
        <v>1102</v>
      </c>
      <c r="F72" s="22" t="s">
        <v>15</v>
      </c>
      <c r="G72" s="22" t="s">
        <v>21</v>
      </c>
      <c r="H72" s="22">
        <v>26</v>
      </c>
      <c r="I72" s="24">
        <v>44062</v>
      </c>
      <c r="J72" s="27">
        <v>586</v>
      </c>
      <c r="K72" s="25">
        <v>0.06</v>
      </c>
      <c r="L72" s="22" t="s">
        <v>17</v>
      </c>
      <c r="M72" s="23" t="s">
        <v>18</v>
      </c>
    </row>
    <row r="73" spans="1:13" x14ac:dyDescent="0.35">
      <c r="A73" s="22" t="s">
        <v>337</v>
      </c>
      <c r="B73" s="22" t="s">
        <v>1168</v>
      </c>
      <c r="C73" s="22" t="s">
        <v>77</v>
      </c>
      <c r="D73" s="22" t="s">
        <v>24</v>
      </c>
      <c r="E73" s="22" t="s">
        <v>14</v>
      </c>
      <c r="F73" s="22" t="s">
        <v>15</v>
      </c>
      <c r="G73" s="22" t="s">
        <v>21</v>
      </c>
      <c r="H73" s="22">
        <v>60</v>
      </c>
      <c r="I73" s="24">
        <v>34167</v>
      </c>
      <c r="J73" s="27">
        <v>911</v>
      </c>
      <c r="K73" s="25">
        <v>0</v>
      </c>
      <c r="L73" s="22" t="s">
        <v>17</v>
      </c>
      <c r="M73" s="23" t="s">
        <v>26</v>
      </c>
    </row>
    <row r="74" spans="1:13" x14ac:dyDescent="0.35">
      <c r="A74" s="22" t="s">
        <v>103</v>
      </c>
      <c r="B74" s="22" t="s">
        <v>1169</v>
      </c>
      <c r="C74" s="22" t="s">
        <v>57</v>
      </c>
      <c r="D74" s="22" t="s">
        <v>39</v>
      </c>
      <c r="E74" s="22" t="s">
        <v>29</v>
      </c>
      <c r="F74" s="22" t="s">
        <v>25</v>
      </c>
      <c r="G74" s="22" t="s">
        <v>21</v>
      </c>
      <c r="H74" s="22">
        <v>32</v>
      </c>
      <c r="I74" s="24">
        <v>43626</v>
      </c>
      <c r="J74" s="27">
        <v>853</v>
      </c>
      <c r="K74" s="25">
        <v>0</v>
      </c>
      <c r="L74" s="22" t="s">
        <v>30</v>
      </c>
      <c r="M74" s="23" t="s">
        <v>31</v>
      </c>
    </row>
    <row r="75" spans="1:13" x14ac:dyDescent="0.35">
      <c r="A75" s="22" t="s">
        <v>338</v>
      </c>
      <c r="B75" s="22" t="s">
        <v>1170</v>
      </c>
      <c r="C75" s="22" t="s">
        <v>55</v>
      </c>
      <c r="D75" s="22" t="s">
        <v>13</v>
      </c>
      <c r="E75" s="22" t="s">
        <v>33</v>
      </c>
      <c r="F75" s="22" t="s">
        <v>15</v>
      </c>
      <c r="G75" s="22" t="s">
        <v>16</v>
      </c>
      <c r="H75" s="22">
        <v>65</v>
      </c>
      <c r="I75" s="24">
        <v>44023</v>
      </c>
      <c r="J75" s="27">
        <v>643</v>
      </c>
      <c r="K75" s="25">
        <v>0</v>
      </c>
      <c r="L75" s="22" t="s">
        <v>17</v>
      </c>
      <c r="M75" s="23" t="s">
        <v>26</v>
      </c>
    </row>
    <row r="76" spans="1:13" x14ac:dyDescent="0.35">
      <c r="A76" s="22" t="s">
        <v>339</v>
      </c>
      <c r="B76" s="22" t="s">
        <v>1171</v>
      </c>
      <c r="C76" s="22" t="s">
        <v>38</v>
      </c>
      <c r="D76" s="22" t="s">
        <v>43</v>
      </c>
      <c r="E76" s="22" t="s">
        <v>14</v>
      </c>
      <c r="F76" s="22" t="s">
        <v>25</v>
      </c>
      <c r="G76" s="22" t="s">
        <v>21</v>
      </c>
      <c r="H76" s="22">
        <v>27</v>
      </c>
      <c r="I76" s="24">
        <v>44817</v>
      </c>
      <c r="J76" s="27">
        <v>713</v>
      </c>
      <c r="K76" s="25">
        <v>0</v>
      </c>
      <c r="L76" s="22" t="s">
        <v>17</v>
      </c>
      <c r="M76" s="23" t="s">
        <v>40</v>
      </c>
    </row>
    <row r="77" spans="1:13" x14ac:dyDescent="0.35">
      <c r="A77" s="22" t="s">
        <v>340</v>
      </c>
      <c r="B77" s="22" t="s">
        <v>1172</v>
      </c>
      <c r="C77" s="22" t="s">
        <v>73</v>
      </c>
      <c r="D77" s="22" t="s">
        <v>24</v>
      </c>
      <c r="E77" s="22" t="s">
        <v>1102</v>
      </c>
      <c r="F77" s="22" t="s">
        <v>15</v>
      </c>
      <c r="G77" s="22" t="s">
        <v>44</v>
      </c>
      <c r="H77" s="22">
        <v>63</v>
      </c>
      <c r="I77" s="24">
        <v>38003</v>
      </c>
      <c r="J77" s="27">
        <v>855</v>
      </c>
      <c r="K77" s="25">
        <v>0</v>
      </c>
      <c r="L77" s="22" t="s">
        <v>45</v>
      </c>
      <c r="M77" s="23" t="s">
        <v>46</v>
      </c>
    </row>
    <row r="78" spans="1:13" x14ac:dyDescent="0.35">
      <c r="A78" s="22" t="s">
        <v>341</v>
      </c>
      <c r="B78" s="22" t="s">
        <v>1173</v>
      </c>
      <c r="C78" s="22" t="s">
        <v>53</v>
      </c>
      <c r="D78" s="22" t="s">
        <v>20</v>
      </c>
      <c r="E78" s="22" t="s">
        <v>14</v>
      </c>
      <c r="F78" s="22" t="s">
        <v>15</v>
      </c>
      <c r="G78" s="22" t="s">
        <v>21</v>
      </c>
      <c r="H78" s="22">
        <v>51</v>
      </c>
      <c r="I78" s="24">
        <v>44034</v>
      </c>
      <c r="J78" s="27">
        <v>724</v>
      </c>
      <c r="K78" s="25">
        <v>0.1</v>
      </c>
      <c r="L78" s="22" t="s">
        <v>30</v>
      </c>
      <c r="M78" s="23" t="s">
        <v>52</v>
      </c>
    </row>
    <row r="79" spans="1:13" x14ac:dyDescent="0.35">
      <c r="A79" s="22" t="s">
        <v>342</v>
      </c>
      <c r="B79" s="22" t="s">
        <v>1174</v>
      </c>
      <c r="C79" s="22" t="s">
        <v>71</v>
      </c>
      <c r="D79" s="22" t="s">
        <v>24</v>
      </c>
      <c r="E79" s="22" t="s">
        <v>29</v>
      </c>
      <c r="F79" s="22" t="s">
        <v>15</v>
      </c>
      <c r="G79" s="22" t="s">
        <v>16</v>
      </c>
      <c r="H79" s="22">
        <v>43</v>
      </c>
      <c r="I79" s="24">
        <v>39129</v>
      </c>
      <c r="J79" s="27">
        <v>751</v>
      </c>
      <c r="K79" s="25">
        <v>0</v>
      </c>
      <c r="L79" s="22" t="s">
        <v>17</v>
      </c>
      <c r="M79" s="23" t="s">
        <v>26</v>
      </c>
    </row>
    <row r="80" spans="1:13" x14ac:dyDescent="0.35">
      <c r="A80" s="22" t="s">
        <v>343</v>
      </c>
      <c r="B80" s="22" t="s">
        <v>240</v>
      </c>
      <c r="C80" s="22" t="s">
        <v>1111</v>
      </c>
      <c r="D80" s="22" t="s">
        <v>39</v>
      </c>
      <c r="E80" s="22" t="s">
        <v>1102</v>
      </c>
      <c r="F80" s="22" t="s">
        <v>25</v>
      </c>
      <c r="G80" s="22" t="s">
        <v>41</v>
      </c>
      <c r="H80" s="22">
        <v>31</v>
      </c>
      <c r="I80" s="24">
        <v>43198</v>
      </c>
      <c r="J80" s="27">
        <v>910</v>
      </c>
      <c r="K80" s="25">
        <v>0.14000000000000001</v>
      </c>
      <c r="L80" s="22" t="s">
        <v>17</v>
      </c>
      <c r="M80" s="23" t="s">
        <v>35</v>
      </c>
    </row>
    <row r="81" spans="1:13" x14ac:dyDescent="0.35">
      <c r="A81" s="22" t="s">
        <v>344</v>
      </c>
      <c r="B81" s="22" t="s">
        <v>1175</v>
      </c>
      <c r="C81" s="22" t="s">
        <v>63</v>
      </c>
      <c r="D81" s="22" t="s">
        <v>20</v>
      </c>
      <c r="E81" s="22" t="s">
        <v>14</v>
      </c>
      <c r="F81" s="22" t="s">
        <v>15</v>
      </c>
      <c r="G81" s="22" t="s">
        <v>16</v>
      </c>
      <c r="H81" s="22">
        <v>26</v>
      </c>
      <c r="I81" s="24">
        <v>44167</v>
      </c>
      <c r="J81" s="27">
        <v>516</v>
      </c>
      <c r="K81" s="25">
        <v>0</v>
      </c>
      <c r="L81" s="22" t="s">
        <v>17</v>
      </c>
      <c r="M81" s="23" t="s">
        <v>18</v>
      </c>
    </row>
    <row r="82" spans="1:13" x14ac:dyDescent="0.35">
      <c r="A82" s="22" t="s">
        <v>345</v>
      </c>
      <c r="B82" s="22" t="s">
        <v>1176</v>
      </c>
      <c r="C82" s="22" t="s">
        <v>1111</v>
      </c>
      <c r="D82" s="22" t="s">
        <v>43</v>
      </c>
      <c r="E82" s="22" t="s">
        <v>1102</v>
      </c>
      <c r="F82" s="22" t="s">
        <v>25</v>
      </c>
      <c r="G82" s="22" t="s">
        <v>21</v>
      </c>
      <c r="H82" s="22">
        <v>46</v>
      </c>
      <c r="I82" s="24">
        <v>42246</v>
      </c>
      <c r="J82" s="27">
        <v>596</v>
      </c>
      <c r="K82" s="25">
        <v>0.14000000000000001</v>
      </c>
      <c r="L82" s="22" t="s">
        <v>17</v>
      </c>
      <c r="M82" s="23" t="s">
        <v>35</v>
      </c>
    </row>
    <row r="83" spans="1:13" x14ac:dyDescent="0.35">
      <c r="A83" s="22" t="s">
        <v>346</v>
      </c>
      <c r="B83" s="22" t="s">
        <v>1177</v>
      </c>
      <c r="C83" s="22" t="s">
        <v>55</v>
      </c>
      <c r="D83" s="22" t="s">
        <v>56</v>
      </c>
      <c r="E83" s="22" t="s">
        <v>33</v>
      </c>
      <c r="F83" s="22" t="s">
        <v>15</v>
      </c>
      <c r="G83" s="22" t="s">
        <v>21</v>
      </c>
      <c r="H83" s="22">
        <v>59</v>
      </c>
      <c r="I83" s="24">
        <v>41049</v>
      </c>
      <c r="J83" s="27">
        <v>921</v>
      </c>
      <c r="K83" s="25">
        <v>0</v>
      </c>
      <c r="L83" s="22" t="s">
        <v>30</v>
      </c>
      <c r="M83" s="23" t="s">
        <v>61</v>
      </c>
    </row>
    <row r="84" spans="1:13" x14ac:dyDescent="0.35">
      <c r="A84" s="22" t="s">
        <v>347</v>
      </c>
      <c r="B84" s="22" t="s">
        <v>1178</v>
      </c>
      <c r="C84" s="22" t="s">
        <v>36</v>
      </c>
      <c r="D84" s="22" t="s">
        <v>43</v>
      </c>
      <c r="E84" s="22" t="s">
        <v>14</v>
      </c>
      <c r="F84" s="22" t="s">
        <v>15</v>
      </c>
      <c r="G84" s="22" t="s">
        <v>44</v>
      </c>
      <c r="H84" s="22">
        <v>52</v>
      </c>
      <c r="I84" s="24">
        <v>35275</v>
      </c>
      <c r="J84" s="27">
        <v>957</v>
      </c>
      <c r="K84" s="25">
        <v>0.24</v>
      </c>
      <c r="L84" s="22" t="s">
        <v>45</v>
      </c>
      <c r="M84" s="23" t="s">
        <v>46</v>
      </c>
    </row>
    <row r="85" spans="1:13" x14ac:dyDescent="0.35">
      <c r="A85" s="22" t="s">
        <v>348</v>
      </c>
      <c r="B85" s="22" t="s">
        <v>1179</v>
      </c>
      <c r="C85" s="22" t="s">
        <v>71</v>
      </c>
      <c r="D85" s="22" t="s">
        <v>24</v>
      </c>
      <c r="E85" s="22" t="s">
        <v>33</v>
      </c>
      <c r="F85" s="22" t="s">
        <v>25</v>
      </c>
      <c r="G85" s="22" t="s">
        <v>16</v>
      </c>
      <c r="H85" s="22">
        <v>31</v>
      </c>
      <c r="I85" s="24">
        <v>44350</v>
      </c>
      <c r="J85" s="27">
        <v>693</v>
      </c>
      <c r="K85" s="25">
        <v>0</v>
      </c>
      <c r="L85" s="22" t="s">
        <v>17</v>
      </c>
      <c r="M85" s="23" t="s">
        <v>35</v>
      </c>
    </row>
    <row r="86" spans="1:13" x14ac:dyDescent="0.35">
      <c r="A86" s="22" t="s">
        <v>349</v>
      </c>
      <c r="B86" s="22" t="s">
        <v>1180</v>
      </c>
      <c r="C86" s="22" t="s">
        <v>57</v>
      </c>
      <c r="D86" s="22" t="s">
        <v>39</v>
      </c>
      <c r="E86" s="22" t="s">
        <v>1102</v>
      </c>
      <c r="F86" s="22" t="s">
        <v>25</v>
      </c>
      <c r="G86" s="22" t="s">
        <v>21</v>
      </c>
      <c r="H86" s="22">
        <v>42</v>
      </c>
      <c r="I86" s="24">
        <v>39519</v>
      </c>
      <c r="J86" s="27">
        <v>906</v>
      </c>
      <c r="K86" s="25">
        <v>0</v>
      </c>
      <c r="L86" s="22" t="s">
        <v>30</v>
      </c>
      <c r="M86" s="23" t="s">
        <v>31</v>
      </c>
    </row>
    <row r="87" spans="1:13" x14ac:dyDescent="0.35">
      <c r="A87" s="22" t="s">
        <v>350</v>
      </c>
      <c r="B87" s="22" t="s">
        <v>1181</v>
      </c>
      <c r="C87" s="22" t="s">
        <v>36</v>
      </c>
      <c r="D87" s="22" t="s">
        <v>39</v>
      </c>
      <c r="E87" s="22" t="s">
        <v>1102</v>
      </c>
      <c r="F87" s="22" t="s">
        <v>25</v>
      </c>
      <c r="G87" s="22" t="s">
        <v>21</v>
      </c>
      <c r="H87" s="22">
        <v>53</v>
      </c>
      <c r="I87" s="24">
        <v>44516</v>
      </c>
      <c r="J87" s="27">
        <v>753</v>
      </c>
      <c r="K87" s="25">
        <v>0.16</v>
      </c>
      <c r="L87" s="22" t="s">
        <v>17</v>
      </c>
      <c r="M87" s="23" t="s">
        <v>26</v>
      </c>
    </row>
    <row r="88" spans="1:13" x14ac:dyDescent="0.35">
      <c r="A88" s="22" t="s">
        <v>133</v>
      </c>
      <c r="B88" s="22" t="s">
        <v>1182</v>
      </c>
      <c r="C88" s="22" t="s">
        <v>19</v>
      </c>
      <c r="D88" s="22" t="s">
        <v>20</v>
      </c>
      <c r="E88" s="22" t="s">
        <v>14</v>
      </c>
      <c r="F88" s="22" t="s">
        <v>25</v>
      </c>
      <c r="G88" s="22" t="s">
        <v>44</v>
      </c>
      <c r="H88" s="22">
        <v>47</v>
      </c>
      <c r="I88" s="24">
        <v>39701</v>
      </c>
      <c r="J88" s="27">
        <v>513</v>
      </c>
      <c r="K88" s="25">
        <v>0</v>
      </c>
      <c r="L88" s="22" t="s">
        <v>45</v>
      </c>
      <c r="M88" s="23" t="s">
        <v>1134</v>
      </c>
    </row>
    <row r="89" spans="1:13" x14ac:dyDescent="0.35">
      <c r="A89" s="22" t="s">
        <v>351</v>
      </c>
      <c r="B89" s="22" t="s">
        <v>1183</v>
      </c>
      <c r="C89" s="22" t="s">
        <v>1111</v>
      </c>
      <c r="D89" s="22" t="s">
        <v>39</v>
      </c>
      <c r="E89" s="22" t="s">
        <v>29</v>
      </c>
      <c r="F89" s="22" t="s">
        <v>15</v>
      </c>
      <c r="G89" s="22" t="s">
        <v>21</v>
      </c>
      <c r="H89" s="22">
        <v>45</v>
      </c>
      <c r="I89" s="24">
        <v>42587</v>
      </c>
      <c r="J89" s="27">
        <v>707</v>
      </c>
      <c r="K89" s="25">
        <v>0.12</v>
      </c>
      <c r="L89" s="22" t="s">
        <v>30</v>
      </c>
      <c r="M89" s="23" t="s">
        <v>31</v>
      </c>
    </row>
    <row r="90" spans="1:13" x14ac:dyDescent="0.35">
      <c r="A90" s="22" t="s">
        <v>352</v>
      </c>
      <c r="B90" s="22" t="s">
        <v>1184</v>
      </c>
      <c r="C90" s="22" t="s">
        <v>36</v>
      </c>
      <c r="D90" s="22" t="s">
        <v>20</v>
      </c>
      <c r="E90" s="22" t="s">
        <v>1102</v>
      </c>
      <c r="F90" s="22" t="s">
        <v>15</v>
      </c>
      <c r="G90" s="22" t="s">
        <v>44</v>
      </c>
      <c r="H90" s="22">
        <v>45</v>
      </c>
      <c r="I90" s="24">
        <v>39617</v>
      </c>
      <c r="J90" s="27">
        <v>890</v>
      </c>
      <c r="K90" s="25">
        <v>0.17</v>
      </c>
      <c r="L90" s="22" t="s">
        <v>17</v>
      </c>
      <c r="M90" s="23" t="s">
        <v>35</v>
      </c>
    </row>
    <row r="91" spans="1:13" x14ac:dyDescent="0.35">
      <c r="A91" s="22" t="s">
        <v>353</v>
      </c>
      <c r="B91" s="22" t="s">
        <v>1185</v>
      </c>
      <c r="C91" s="22" t="s">
        <v>36</v>
      </c>
      <c r="D91" s="22" t="s">
        <v>20</v>
      </c>
      <c r="E91" s="22" t="s">
        <v>1102</v>
      </c>
      <c r="F91" s="22" t="s">
        <v>15</v>
      </c>
      <c r="G91" s="22" t="s">
        <v>41</v>
      </c>
      <c r="H91" s="22">
        <v>33</v>
      </c>
      <c r="I91" s="24">
        <v>42079</v>
      </c>
      <c r="J91" s="27">
        <v>784</v>
      </c>
      <c r="K91" s="25">
        <v>0.21</v>
      </c>
      <c r="L91" s="22" t="s">
        <v>17</v>
      </c>
      <c r="M91" s="23" t="s">
        <v>26</v>
      </c>
    </row>
    <row r="92" spans="1:13" ht="43.5" x14ac:dyDescent="0.35">
      <c r="A92" s="22" t="s">
        <v>354</v>
      </c>
      <c r="B92" s="22" t="s">
        <v>1186</v>
      </c>
      <c r="C92" s="22" t="s">
        <v>53</v>
      </c>
      <c r="D92" s="22" t="s">
        <v>43</v>
      </c>
      <c r="E92" s="26" t="s">
        <v>2070</v>
      </c>
      <c r="F92" s="22" t="s">
        <v>15</v>
      </c>
      <c r="G92" s="22" t="s">
        <v>41</v>
      </c>
      <c r="H92" s="22">
        <v>42</v>
      </c>
      <c r="I92" s="24">
        <v>41742</v>
      </c>
      <c r="J92" s="27">
        <v>781</v>
      </c>
      <c r="K92" s="25">
        <v>0.09</v>
      </c>
      <c r="L92" s="22" t="s">
        <v>17</v>
      </c>
      <c r="M92" s="23" t="s">
        <v>54</v>
      </c>
    </row>
    <row r="93" spans="1:13" x14ac:dyDescent="0.35">
      <c r="A93" s="22" t="s">
        <v>355</v>
      </c>
      <c r="B93" s="22" t="s">
        <v>1187</v>
      </c>
      <c r="C93" s="22" t="s">
        <v>34</v>
      </c>
      <c r="D93" s="22" t="s">
        <v>24</v>
      </c>
      <c r="E93" s="22" t="s">
        <v>33</v>
      </c>
      <c r="F93" s="22" t="s">
        <v>15</v>
      </c>
      <c r="G93" s="22" t="s">
        <v>41</v>
      </c>
      <c r="H93" s="22">
        <v>37</v>
      </c>
      <c r="I93" s="24">
        <v>40846</v>
      </c>
      <c r="J93" s="27">
        <v>983</v>
      </c>
      <c r="K93" s="25">
        <v>0</v>
      </c>
      <c r="L93" s="22" t="s">
        <v>17</v>
      </c>
      <c r="M93" s="23" t="s">
        <v>26</v>
      </c>
    </row>
    <row r="94" spans="1:13" x14ac:dyDescent="0.35">
      <c r="A94" s="22" t="s">
        <v>117</v>
      </c>
      <c r="B94" s="22" t="s">
        <v>1188</v>
      </c>
      <c r="C94" s="22" t="s">
        <v>53</v>
      </c>
      <c r="D94" s="22" t="s">
        <v>39</v>
      </c>
      <c r="E94" s="22" t="s">
        <v>29</v>
      </c>
      <c r="F94" s="22" t="s">
        <v>15</v>
      </c>
      <c r="G94" s="22" t="s">
        <v>21</v>
      </c>
      <c r="H94" s="22">
        <v>27</v>
      </c>
      <c r="I94" s="24">
        <v>44900</v>
      </c>
      <c r="J94" s="27">
        <v>728</v>
      </c>
      <c r="K94" s="25">
        <v>7.0000000000000007E-2</v>
      </c>
      <c r="L94" s="22" t="s">
        <v>30</v>
      </c>
      <c r="M94" s="23" t="s">
        <v>61</v>
      </c>
    </row>
    <row r="95" spans="1:13" x14ac:dyDescent="0.35">
      <c r="A95" s="22" t="s">
        <v>356</v>
      </c>
      <c r="B95" s="22" t="s">
        <v>1189</v>
      </c>
      <c r="C95" s="22" t="s">
        <v>48</v>
      </c>
      <c r="D95" s="22" t="s">
        <v>24</v>
      </c>
      <c r="E95" s="22" t="s">
        <v>33</v>
      </c>
      <c r="F95" s="22" t="s">
        <v>25</v>
      </c>
      <c r="G95" s="22" t="s">
        <v>44</v>
      </c>
      <c r="H95" s="22">
        <v>55</v>
      </c>
      <c r="I95" s="24">
        <v>37789</v>
      </c>
      <c r="J95" s="27">
        <v>536</v>
      </c>
      <c r="K95" s="25">
        <v>0.08</v>
      </c>
      <c r="L95" s="22" t="s">
        <v>45</v>
      </c>
      <c r="M95" s="23" t="s">
        <v>46</v>
      </c>
    </row>
    <row r="96" spans="1:13" x14ac:dyDescent="0.35">
      <c r="A96" s="22" t="s">
        <v>357</v>
      </c>
      <c r="B96" s="22" t="s">
        <v>1190</v>
      </c>
      <c r="C96" s="22" t="s">
        <v>57</v>
      </c>
      <c r="D96" s="22" t="s">
        <v>56</v>
      </c>
      <c r="E96" s="22" t="s">
        <v>14</v>
      </c>
      <c r="F96" s="22" t="s">
        <v>15</v>
      </c>
      <c r="G96" s="22" t="s">
        <v>21</v>
      </c>
      <c r="H96" s="22">
        <v>46</v>
      </c>
      <c r="I96" s="24">
        <v>38808</v>
      </c>
      <c r="J96" s="27">
        <v>1000</v>
      </c>
      <c r="K96" s="25">
        <v>0</v>
      </c>
      <c r="L96" s="22" t="s">
        <v>30</v>
      </c>
      <c r="M96" s="23" t="s">
        <v>65</v>
      </c>
    </row>
    <row r="97" spans="1:13" x14ac:dyDescent="0.35">
      <c r="A97" s="22" t="s">
        <v>358</v>
      </c>
      <c r="B97" s="22" t="s">
        <v>1191</v>
      </c>
      <c r="C97" s="22" t="s">
        <v>47</v>
      </c>
      <c r="D97" s="22" t="s">
        <v>24</v>
      </c>
      <c r="E97" s="22" t="s">
        <v>14</v>
      </c>
      <c r="F97" s="22" t="s">
        <v>25</v>
      </c>
      <c r="G97" s="22" t="s">
        <v>21</v>
      </c>
      <c r="H97" s="22">
        <v>37</v>
      </c>
      <c r="I97" s="24">
        <v>42236</v>
      </c>
      <c r="J97" s="27">
        <v>866</v>
      </c>
      <c r="K97" s="25">
        <v>0</v>
      </c>
      <c r="L97" s="22" t="s">
        <v>30</v>
      </c>
      <c r="M97" s="23" t="s">
        <v>61</v>
      </c>
    </row>
    <row r="98" spans="1:13" x14ac:dyDescent="0.35">
      <c r="A98" s="22" t="s">
        <v>359</v>
      </c>
      <c r="B98" s="22" t="s">
        <v>1192</v>
      </c>
      <c r="C98" s="22" t="s">
        <v>76</v>
      </c>
      <c r="D98" s="22" t="s">
        <v>28</v>
      </c>
      <c r="E98" s="22" t="s">
        <v>29</v>
      </c>
      <c r="F98" s="22" t="s">
        <v>25</v>
      </c>
      <c r="G98" s="22" t="s">
        <v>21</v>
      </c>
      <c r="H98" s="22">
        <v>32</v>
      </c>
      <c r="I98" s="24">
        <v>43730</v>
      </c>
      <c r="J98" s="27">
        <v>793</v>
      </c>
      <c r="K98" s="25">
        <v>0.12</v>
      </c>
      <c r="L98" s="22" t="s">
        <v>17</v>
      </c>
      <c r="M98" s="23" t="s">
        <v>18</v>
      </c>
    </row>
    <row r="99" spans="1:13" x14ac:dyDescent="0.35">
      <c r="A99" s="22" t="s">
        <v>360</v>
      </c>
      <c r="B99" s="22" t="s">
        <v>1193</v>
      </c>
      <c r="C99" s="22" t="s">
        <v>55</v>
      </c>
      <c r="D99" s="22" t="s">
        <v>13</v>
      </c>
      <c r="E99" s="22" t="s">
        <v>1102</v>
      </c>
      <c r="F99" s="22" t="s">
        <v>15</v>
      </c>
      <c r="G99" s="22" t="s">
        <v>16</v>
      </c>
      <c r="H99" s="22">
        <v>28</v>
      </c>
      <c r="I99" s="24">
        <v>43868</v>
      </c>
      <c r="J99" s="27">
        <v>585</v>
      </c>
      <c r="K99" s="25">
        <v>0</v>
      </c>
      <c r="L99" s="22" t="s">
        <v>17</v>
      </c>
      <c r="M99" s="23" t="s">
        <v>54</v>
      </c>
    </row>
    <row r="100" spans="1:13" x14ac:dyDescent="0.35">
      <c r="A100" s="22" t="s">
        <v>361</v>
      </c>
      <c r="B100" s="22" t="s">
        <v>1194</v>
      </c>
      <c r="C100" s="22" t="s">
        <v>36</v>
      </c>
      <c r="D100" s="22" t="s">
        <v>28</v>
      </c>
      <c r="E100" s="22" t="s">
        <v>29</v>
      </c>
      <c r="F100" s="22" t="s">
        <v>25</v>
      </c>
      <c r="G100" s="22" t="s">
        <v>44</v>
      </c>
      <c r="H100" s="22">
        <v>49</v>
      </c>
      <c r="I100" s="24">
        <v>39168</v>
      </c>
      <c r="J100" s="27">
        <v>556</v>
      </c>
      <c r="K100" s="25">
        <v>0.27</v>
      </c>
      <c r="L100" s="22" t="s">
        <v>45</v>
      </c>
      <c r="M100" s="23" t="s">
        <v>46</v>
      </c>
    </row>
    <row r="101" spans="1:13" x14ac:dyDescent="0.35">
      <c r="A101" s="22" t="s">
        <v>362</v>
      </c>
      <c r="B101" s="22" t="s">
        <v>1195</v>
      </c>
      <c r="C101" s="22" t="s">
        <v>36</v>
      </c>
      <c r="D101" s="22" t="s">
        <v>28</v>
      </c>
      <c r="E101" s="22" t="s">
        <v>29</v>
      </c>
      <c r="F101" s="22" t="s">
        <v>15</v>
      </c>
      <c r="G101" s="22" t="s">
        <v>21</v>
      </c>
      <c r="H101" s="22">
        <v>52</v>
      </c>
      <c r="I101" s="24">
        <v>42539</v>
      </c>
      <c r="J101" s="27">
        <v>794</v>
      </c>
      <c r="K101" s="25">
        <v>0.23</v>
      </c>
      <c r="L101" s="22" t="s">
        <v>30</v>
      </c>
      <c r="M101" s="23" t="s">
        <v>31</v>
      </c>
    </row>
    <row r="102" spans="1:13" x14ac:dyDescent="0.35">
      <c r="A102" s="22" t="s">
        <v>363</v>
      </c>
      <c r="B102" s="22" t="s">
        <v>1196</v>
      </c>
      <c r="C102" s="22" t="s">
        <v>57</v>
      </c>
      <c r="D102" s="22" t="s">
        <v>56</v>
      </c>
      <c r="E102" s="22" t="s">
        <v>33</v>
      </c>
      <c r="F102" s="22" t="s">
        <v>15</v>
      </c>
      <c r="G102" s="22" t="s">
        <v>21</v>
      </c>
      <c r="H102" s="22">
        <v>61</v>
      </c>
      <c r="I102" s="24">
        <v>43081</v>
      </c>
      <c r="J102" s="27">
        <v>734</v>
      </c>
      <c r="K102" s="25">
        <v>0</v>
      </c>
      <c r="L102" s="22" t="s">
        <v>30</v>
      </c>
      <c r="M102" s="23" t="s">
        <v>61</v>
      </c>
    </row>
    <row r="103" spans="1:13" x14ac:dyDescent="0.35">
      <c r="A103" s="22" t="s">
        <v>123</v>
      </c>
      <c r="B103" s="22" t="s">
        <v>1197</v>
      </c>
      <c r="C103" s="22" t="s">
        <v>12</v>
      </c>
      <c r="D103" s="22" t="s">
        <v>43</v>
      </c>
      <c r="E103" s="22" t="s">
        <v>1102</v>
      </c>
      <c r="F103" s="22" t="s">
        <v>25</v>
      </c>
      <c r="G103" s="22" t="s">
        <v>21</v>
      </c>
      <c r="H103" s="22">
        <v>53</v>
      </c>
      <c r="I103" s="24">
        <v>41042</v>
      </c>
      <c r="J103" s="27">
        <v>680</v>
      </c>
      <c r="K103" s="25">
        <v>0.38</v>
      </c>
      <c r="L103" s="22" t="s">
        <v>30</v>
      </c>
      <c r="M103" s="23" t="s">
        <v>52</v>
      </c>
    </row>
    <row r="104" spans="1:13" x14ac:dyDescent="0.35">
      <c r="A104" s="22" t="s">
        <v>364</v>
      </c>
      <c r="B104" s="22" t="s">
        <v>1198</v>
      </c>
      <c r="C104" s="22" t="s">
        <v>63</v>
      </c>
      <c r="D104" s="22" t="s">
        <v>20</v>
      </c>
      <c r="E104" s="22" t="s">
        <v>29</v>
      </c>
      <c r="F104" s="22" t="s">
        <v>25</v>
      </c>
      <c r="G104" s="22" t="s">
        <v>21</v>
      </c>
      <c r="H104" s="22">
        <v>40</v>
      </c>
      <c r="I104" s="24">
        <v>43330</v>
      </c>
      <c r="J104" s="27">
        <v>980</v>
      </c>
      <c r="K104" s="25">
        <v>0</v>
      </c>
      <c r="L104" s="22" t="s">
        <v>30</v>
      </c>
      <c r="M104" s="23" t="s">
        <v>61</v>
      </c>
    </row>
    <row r="105" spans="1:13" x14ac:dyDescent="0.35">
      <c r="A105" s="22" t="s">
        <v>365</v>
      </c>
      <c r="B105" s="22" t="s">
        <v>1199</v>
      </c>
      <c r="C105" s="22" t="s">
        <v>53</v>
      </c>
      <c r="D105" s="22" t="s">
        <v>13</v>
      </c>
      <c r="E105" s="22" t="s">
        <v>29</v>
      </c>
      <c r="F105" s="22" t="s">
        <v>25</v>
      </c>
      <c r="G105" s="22" t="s">
        <v>16</v>
      </c>
      <c r="H105" s="22">
        <v>27</v>
      </c>
      <c r="I105" s="24">
        <v>44634</v>
      </c>
      <c r="J105" s="27">
        <v>928</v>
      </c>
      <c r="K105" s="25">
        <v>0.08</v>
      </c>
      <c r="L105" s="22" t="s">
        <v>17</v>
      </c>
      <c r="M105" s="23" t="s">
        <v>40</v>
      </c>
    </row>
    <row r="106" spans="1:13" x14ac:dyDescent="0.35">
      <c r="A106" s="22" t="s">
        <v>366</v>
      </c>
      <c r="B106" s="22" t="s">
        <v>1200</v>
      </c>
      <c r="C106" s="22" t="s">
        <v>53</v>
      </c>
      <c r="D106" s="22" t="s">
        <v>39</v>
      </c>
      <c r="E106" s="22" t="s">
        <v>1102</v>
      </c>
      <c r="F106" s="22" t="s">
        <v>15</v>
      </c>
      <c r="G106" s="22" t="s">
        <v>16</v>
      </c>
      <c r="H106" s="22">
        <v>26</v>
      </c>
      <c r="I106" s="24">
        <v>44158</v>
      </c>
      <c r="J106" s="27">
        <v>700</v>
      </c>
      <c r="K106" s="25">
        <v>0.05</v>
      </c>
      <c r="L106" s="22" t="s">
        <v>17</v>
      </c>
      <c r="M106" s="23" t="s">
        <v>18</v>
      </c>
    </row>
    <row r="107" spans="1:13" x14ac:dyDescent="0.35">
      <c r="A107" s="22" t="s">
        <v>367</v>
      </c>
      <c r="B107" s="22" t="s">
        <v>1201</v>
      </c>
      <c r="C107" s="22" t="s">
        <v>62</v>
      </c>
      <c r="D107" s="22" t="s">
        <v>24</v>
      </c>
      <c r="E107" s="22" t="s">
        <v>1102</v>
      </c>
      <c r="F107" s="22" t="s">
        <v>25</v>
      </c>
      <c r="G107" s="22" t="s">
        <v>16</v>
      </c>
      <c r="H107" s="22">
        <v>53</v>
      </c>
      <c r="I107" s="24">
        <v>36546</v>
      </c>
      <c r="J107" s="27">
        <v>521</v>
      </c>
      <c r="K107" s="25">
        <v>0</v>
      </c>
      <c r="L107" s="22" t="s">
        <v>17</v>
      </c>
      <c r="M107" s="23" t="s">
        <v>54</v>
      </c>
    </row>
    <row r="108" spans="1:13" x14ac:dyDescent="0.35">
      <c r="A108" s="22" t="s">
        <v>191</v>
      </c>
      <c r="B108" s="22" t="s">
        <v>1202</v>
      </c>
      <c r="C108" s="22" t="s">
        <v>1111</v>
      </c>
      <c r="D108" s="22" t="s">
        <v>56</v>
      </c>
      <c r="E108" s="22" t="s">
        <v>1102</v>
      </c>
      <c r="F108" s="22" t="s">
        <v>25</v>
      </c>
      <c r="G108" s="22" t="s">
        <v>44</v>
      </c>
      <c r="H108" s="22">
        <v>33</v>
      </c>
      <c r="I108" s="24">
        <v>41484</v>
      </c>
      <c r="J108" s="27">
        <v>821</v>
      </c>
      <c r="K108" s="25">
        <v>0.15</v>
      </c>
      <c r="L108" s="22" t="s">
        <v>45</v>
      </c>
      <c r="M108" s="23" t="s">
        <v>66</v>
      </c>
    </row>
    <row r="109" spans="1:13" x14ac:dyDescent="0.35">
      <c r="A109" s="22" t="s">
        <v>368</v>
      </c>
      <c r="B109" s="22" t="s">
        <v>1203</v>
      </c>
      <c r="C109" s="22" t="s">
        <v>83</v>
      </c>
      <c r="D109" s="22" t="s">
        <v>28</v>
      </c>
      <c r="E109" s="22" t="s">
        <v>33</v>
      </c>
      <c r="F109" s="22" t="s">
        <v>15</v>
      </c>
      <c r="G109" s="22" t="s">
        <v>21</v>
      </c>
      <c r="H109" s="22">
        <v>27</v>
      </c>
      <c r="I109" s="24">
        <v>44907</v>
      </c>
      <c r="J109" s="27">
        <v>582</v>
      </c>
      <c r="K109" s="25">
        <v>0</v>
      </c>
      <c r="L109" s="22" t="s">
        <v>30</v>
      </c>
      <c r="M109" s="23" t="s">
        <v>31</v>
      </c>
    </row>
    <row r="110" spans="1:13" x14ac:dyDescent="0.35">
      <c r="A110" s="22" t="s">
        <v>369</v>
      </c>
      <c r="B110" s="22" t="s">
        <v>1204</v>
      </c>
      <c r="C110" s="22" t="s">
        <v>12</v>
      </c>
      <c r="D110" s="22" t="s">
        <v>39</v>
      </c>
      <c r="E110" s="22" t="s">
        <v>29</v>
      </c>
      <c r="F110" s="22" t="s">
        <v>15</v>
      </c>
      <c r="G110" s="22" t="s">
        <v>44</v>
      </c>
      <c r="H110" s="22">
        <v>56</v>
      </c>
      <c r="I110" s="24">
        <v>42553</v>
      </c>
      <c r="J110" s="27">
        <v>671</v>
      </c>
      <c r="K110" s="25">
        <v>0.38</v>
      </c>
      <c r="L110" s="22" t="s">
        <v>17</v>
      </c>
      <c r="M110" s="23" t="s">
        <v>35</v>
      </c>
    </row>
    <row r="111" spans="1:13" x14ac:dyDescent="0.35">
      <c r="A111" s="22" t="s">
        <v>370</v>
      </c>
      <c r="B111" s="22" t="s">
        <v>1205</v>
      </c>
      <c r="C111" s="22" t="s">
        <v>57</v>
      </c>
      <c r="D111" s="22" t="s">
        <v>43</v>
      </c>
      <c r="E111" s="22" t="s">
        <v>29</v>
      </c>
      <c r="F111" s="22" t="s">
        <v>15</v>
      </c>
      <c r="G111" s="22" t="s">
        <v>44</v>
      </c>
      <c r="H111" s="22">
        <v>36</v>
      </c>
      <c r="I111" s="24">
        <v>41550</v>
      </c>
      <c r="J111" s="27">
        <v>526</v>
      </c>
      <c r="K111" s="25">
        <v>0</v>
      </c>
      <c r="L111" s="22" t="s">
        <v>45</v>
      </c>
      <c r="M111" s="23" t="s">
        <v>46</v>
      </c>
    </row>
    <row r="112" spans="1:13" x14ac:dyDescent="0.35">
      <c r="A112" s="22" t="s">
        <v>121</v>
      </c>
      <c r="B112" s="22" t="s">
        <v>1206</v>
      </c>
      <c r="C112" s="22" t="s">
        <v>36</v>
      </c>
      <c r="D112" s="22" t="s">
        <v>39</v>
      </c>
      <c r="E112" s="22" t="s">
        <v>29</v>
      </c>
      <c r="F112" s="22" t="s">
        <v>15</v>
      </c>
      <c r="G112" s="22" t="s">
        <v>21</v>
      </c>
      <c r="H112" s="22">
        <v>47</v>
      </c>
      <c r="I112" s="24">
        <v>38358</v>
      </c>
      <c r="J112" s="27">
        <v>892</v>
      </c>
      <c r="K112" s="25">
        <v>0.17</v>
      </c>
      <c r="L112" s="22" t="s">
        <v>30</v>
      </c>
      <c r="M112" s="23" t="s">
        <v>65</v>
      </c>
    </row>
    <row r="113" spans="1:13" x14ac:dyDescent="0.35">
      <c r="A113" s="22" t="s">
        <v>371</v>
      </c>
      <c r="B113" s="22" t="s">
        <v>1207</v>
      </c>
      <c r="C113" s="22" t="s">
        <v>38</v>
      </c>
      <c r="D113" s="22" t="s">
        <v>43</v>
      </c>
      <c r="E113" s="22" t="s">
        <v>33</v>
      </c>
      <c r="F113" s="22" t="s">
        <v>25</v>
      </c>
      <c r="G113" s="22" t="s">
        <v>21</v>
      </c>
      <c r="H113" s="22">
        <v>28</v>
      </c>
      <c r="I113" s="24">
        <v>44259</v>
      </c>
      <c r="J113" s="27">
        <v>948</v>
      </c>
      <c r="K113" s="25">
        <v>0</v>
      </c>
      <c r="L113" s="22" t="s">
        <v>30</v>
      </c>
      <c r="M113" s="23" t="s">
        <v>65</v>
      </c>
    </row>
    <row r="114" spans="1:13" x14ac:dyDescent="0.35">
      <c r="A114" s="22" t="s">
        <v>372</v>
      </c>
      <c r="B114" s="22" t="s">
        <v>1208</v>
      </c>
      <c r="C114" s="22" t="s">
        <v>74</v>
      </c>
      <c r="D114" s="22" t="s">
        <v>43</v>
      </c>
      <c r="E114" s="22" t="s">
        <v>33</v>
      </c>
      <c r="F114" s="22" t="s">
        <v>25</v>
      </c>
      <c r="G114" s="22" t="s">
        <v>44</v>
      </c>
      <c r="H114" s="22">
        <v>30</v>
      </c>
      <c r="I114" s="24">
        <v>43107</v>
      </c>
      <c r="J114" s="27">
        <v>817</v>
      </c>
      <c r="K114" s="25">
        <v>0</v>
      </c>
      <c r="L114" s="22" t="s">
        <v>17</v>
      </c>
      <c r="M114" s="23" t="s">
        <v>18</v>
      </c>
    </row>
    <row r="115" spans="1:13" x14ac:dyDescent="0.35">
      <c r="A115" s="22" t="s">
        <v>373</v>
      </c>
      <c r="B115" s="22" t="s">
        <v>1209</v>
      </c>
      <c r="C115" s="22" t="s">
        <v>62</v>
      </c>
      <c r="D115" s="22" t="s">
        <v>24</v>
      </c>
      <c r="E115" s="22" t="s">
        <v>14</v>
      </c>
      <c r="F115" s="22" t="s">
        <v>15</v>
      </c>
      <c r="G115" s="22" t="s">
        <v>21</v>
      </c>
      <c r="H115" s="22">
        <v>58</v>
      </c>
      <c r="I115" s="24">
        <v>37861</v>
      </c>
      <c r="J115" s="27">
        <v>516</v>
      </c>
      <c r="K115" s="25">
        <v>0</v>
      </c>
      <c r="L115" s="22" t="s">
        <v>17</v>
      </c>
      <c r="M115" s="23" t="s">
        <v>35</v>
      </c>
    </row>
    <row r="116" spans="1:13" x14ac:dyDescent="0.35">
      <c r="A116" s="22" t="s">
        <v>374</v>
      </c>
      <c r="B116" s="22" t="s">
        <v>1210</v>
      </c>
      <c r="C116" s="22" t="s">
        <v>67</v>
      </c>
      <c r="D116" s="22" t="s">
        <v>24</v>
      </c>
      <c r="E116" s="22" t="s">
        <v>29</v>
      </c>
      <c r="F116" s="22" t="s">
        <v>15</v>
      </c>
      <c r="G116" s="22" t="s">
        <v>21</v>
      </c>
      <c r="H116" s="22">
        <v>56</v>
      </c>
      <c r="I116" s="24">
        <v>44270</v>
      </c>
      <c r="J116" s="27">
        <v>925</v>
      </c>
      <c r="K116" s="25">
        <v>0</v>
      </c>
      <c r="L116" s="22" t="s">
        <v>30</v>
      </c>
      <c r="M116" s="23" t="s">
        <v>52</v>
      </c>
    </row>
    <row r="117" spans="1:13" x14ac:dyDescent="0.35">
      <c r="A117" s="22" t="s">
        <v>375</v>
      </c>
      <c r="B117" s="22" t="s">
        <v>1211</v>
      </c>
      <c r="C117" s="22" t="s">
        <v>72</v>
      </c>
      <c r="D117" s="22" t="s">
        <v>24</v>
      </c>
      <c r="E117" s="22" t="s">
        <v>29</v>
      </c>
      <c r="F117" s="22" t="s">
        <v>15</v>
      </c>
      <c r="G117" s="22" t="s">
        <v>21</v>
      </c>
      <c r="H117" s="22">
        <v>65</v>
      </c>
      <c r="I117" s="24">
        <v>37312</v>
      </c>
      <c r="J117" s="27">
        <v>889</v>
      </c>
      <c r="K117" s="25">
        <v>0</v>
      </c>
      <c r="L117" s="22" t="s">
        <v>17</v>
      </c>
      <c r="M117" s="23" t="s">
        <v>54</v>
      </c>
    </row>
    <row r="118" spans="1:13" x14ac:dyDescent="0.35">
      <c r="A118" s="22" t="s">
        <v>376</v>
      </c>
      <c r="B118" s="22" t="s">
        <v>1212</v>
      </c>
      <c r="C118" s="22" t="s">
        <v>1111</v>
      </c>
      <c r="D118" s="22" t="s">
        <v>24</v>
      </c>
      <c r="E118" s="22" t="s">
        <v>1102</v>
      </c>
      <c r="F118" s="22" t="s">
        <v>15</v>
      </c>
      <c r="G118" s="22" t="s">
        <v>16</v>
      </c>
      <c r="H118" s="22">
        <v>29</v>
      </c>
      <c r="I118" s="24">
        <v>43214</v>
      </c>
      <c r="J118" s="27">
        <v>799</v>
      </c>
      <c r="K118" s="25">
        <v>0.15</v>
      </c>
      <c r="L118" s="22" t="s">
        <v>17</v>
      </c>
      <c r="M118" s="23" t="s">
        <v>40</v>
      </c>
    </row>
    <row r="119" spans="1:13" x14ac:dyDescent="0.35">
      <c r="A119" s="22" t="s">
        <v>377</v>
      </c>
      <c r="B119" s="22" t="s">
        <v>1213</v>
      </c>
      <c r="C119" s="22" t="s">
        <v>36</v>
      </c>
      <c r="D119" s="22" t="s">
        <v>20</v>
      </c>
      <c r="E119" s="22" t="s">
        <v>14</v>
      </c>
      <c r="F119" s="22" t="s">
        <v>15</v>
      </c>
      <c r="G119" s="22" t="s">
        <v>44</v>
      </c>
      <c r="H119" s="22">
        <v>60</v>
      </c>
      <c r="I119" s="24">
        <v>34243</v>
      </c>
      <c r="J119" s="27">
        <v>533</v>
      </c>
      <c r="K119" s="25">
        <v>0.26</v>
      </c>
      <c r="L119" s="22" t="s">
        <v>45</v>
      </c>
      <c r="M119" s="23" t="s">
        <v>1134</v>
      </c>
    </row>
    <row r="120" spans="1:13" x14ac:dyDescent="0.35">
      <c r="A120" s="22" t="s">
        <v>378</v>
      </c>
      <c r="B120" s="22" t="s">
        <v>264</v>
      </c>
      <c r="C120" s="22" t="s">
        <v>12</v>
      </c>
      <c r="D120" s="22" t="s">
        <v>43</v>
      </c>
      <c r="E120" s="22" t="s">
        <v>1102</v>
      </c>
      <c r="F120" s="22" t="s">
        <v>15</v>
      </c>
      <c r="G120" s="22" t="s">
        <v>21</v>
      </c>
      <c r="H120" s="22">
        <v>31</v>
      </c>
      <c r="I120" s="24">
        <v>43564</v>
      </c>
      <c r="J120" s="27">
        <v>678</v>
      </c>
      <c r="K120" s="25">
        <v>0.32</v>
      </c>
      <c r="L120" s="22" t="s">
        <v>17</v>
      </c>
      <c r="M120" s="23" t="s">
        <v>22</v>
      </c>
    </row>
    <row r="121" spans="1:13" x14ac:dyDescent="0.35">
      <c r="A121" s="22" t="s">
        <v>164</v>
      </c>
      <c r="B121" s="22" t="s">
        <v>1214</v>
      </c>
      <c r="C121" s="22" t="s">
        <v>36</v>
      </c>
      <c r="D121" s="22" t="s">
        <v>28</v>
      </c>
      <c r="E121" s="22" t="s">
        <v>1102</v>
      </c>
      <c r="F121" s="22" t="s">
        <v>15</v>
      </c>
      <c r="G121" s="22" t="s">
        <v>21</v>
      </c>
      <c r="H121" s="22">
        <v>45</v>
      </c>
      <c r="I121" s="24">
        <v>44636</v>
      </c>
      <c r="J121" s="27">
        <v>911</v>
      </c>
      <c r="K121" s="25">
        <v>0.26</v>
      </c>
      <c r="L121" s="22" t="s">
        <v>17</v>
      </c>
      <c r="M121" s="23" t="s">
        <v>26</v>
      </c>
    </row>
    <row r="122" spans="1:13" x14ac:dyDescent="0.35">
      <c r="A122" s="22" t="s">
        <v>379</v>
      </c>
      <c r="B122" s="22" t="s">
        <v>1215</v>
      </c>
      <c r="C122" s="22" t="s">
        <v>23</v>
      </c>
      <c r="D122" s="22" t="s">
        <v>24</v>
      </c>
      <c r="E122" s="22" t="s">
        <v>14</v>
      </c>
      <c r="F122" s="22" t="s">
        <v>25</v>
      </c>
      <c r="G122" s="22" t="s">
        <v>41</v>
      </c>
      <c r="H122" s="22">
        <v>30</v>
      </c>
      <c r="I122" s="24">
        <v>42989</v>
      </c>
      <c r="J122" s="27">
        <v>966</v>
      </c>
      <c r="K122" s="25">
        <v>0</v>
      </c>
      <c r="L122" s="22" t="s">
        <v>17</v>
      </c>
      <c r="M122" s="23" t="s">
        <v>18</v>
      </c>
    </row>
    <row r="123" spans="1:13" x14ac:dyDescent="0.35">
      <c r="A123" s="22" t="s">
        <v>380</v>
      </c>
      <c r="B123" s="22" t="s">
        <v>1216</v>
      </c>
      <c r="C123" s="22" t="s">
        <v>36</v>
      </c>
      <c r="D123" s="22" t="s">
        <v>20</v>
      </c>
      <c r="E123" s="22" t="s">
        <v>1102</v>
      </c>
      <c r="F123" s="22" t="s">
        <v>25</v>
      </c>
      <c r="G123" s="22" t="s">
        <v>44</v>
      </c>
      <c r="H123" s="22">
        <v>36</v>
      </c>
      <c r="I123" s="24">
        <v>40748</v>
      </c>
      <c r="J123" s="27">
        <v>749</v>
      </c>
      <c r="K123" s="25">
        <v>0.2</v>
      </c>
      <c r="L123" s="22" t="s">
        <v>45</v>
      </c>
      <c r="M123" s="23" t="s">
        <v>1134</v>
      </c>
    </row>
    <row r="124" spans="1:13" x14ac:dyDescent="0.35">
      <c r="A124" s="22" t="s">
        <v>381</v>
      </c>
      <c r="B124" s="22" t="s">
        <v>1217</v>
      </c>
      <c r="C124" s="22" t="s">
        <v>12</v>
      </c>
      <c r="D124" s="22" t="s">
        <v>24</v>
      </c>
      <c r="E124" s="22" t="s">
        <v>29</v>
      </c>
      <c r="F124" s="22" t="s">
        <v>25</v>
      </c>
      <c r="G124" s="22" t="s">
        <v>41</v>
      </c>
      <c r="H124" s="22">
        <v>39</v>
      </c>
      <c r="I124" s="24">
        <v>40406</v>
      </c>
      <c r="J124" s="27">
        <v>868</v>
      </c>
      <c r="K124" s="25">
        <v>0.33</v>
      </c>
      <c r="L124" s="22" t="s">
        <v>17</v>
      </c>
      <c r="M124" s="23" t="s">
        <v>54</v>
      </c>
    </row>
    <row r="125" spans="1:13" x14ac:dyDescent="0.35">
      <c r="A125" s="22" t="s">
        <v>382</v>
      </c>
      <c r="B125" s="22" t="s">
        <v>1218</v>
      </c>
      <c r="C125" s="22" t="s">
        <v>55</v>
      </c>
      <c r="D125" s="22" t="s">
        <v>43</v>
      </c>
      <c r="E125" s="22" t="s">
        <v>1102</v>
      </c>
      <c r="F125" s="22" t="s">
        <v>25</v>
      </c>
      <c r="G125" s="22" t="s">
        <v>21</v>
      </c>
      <c r="H125" s="22">
        <v>44</v>
      </c>
      <c r="I125" s="24">
        <v>41480</v>
      </c>
      <c r="J125" s="27">
        <v>977</v>
      </c>
      <c r="K125" s="25">
        <v>0</v>
      </c>
      <c r="L125" s="22" t="s">
        <v>30</v>
      </c>
      <c r="M125" s="23" t="s">
        <v>52</v>
      </c>
    </row>
    <row r="126" spans="1:13" x14ac:dyDescent="0.35">
      <c r="A126" s="22" t="s">
        <v>383</v>
      </c>
      <c r="B126" s="22" t="s">
        <v>1219</v>
      </c>
      <c r="C126" s="22" t="s">
        <v>53</v>
      </c>
      <c r="D126" s="22" t="s">
        <v>24</v>
      </c>
      <c r="E126" s="22" t="s">
        <v>33</v>
      </c>
      <c r="F126" s="22" t="s">
        <v>25</v>
      </c>
      <c r="G126" s="22" t="s">
        <v>21</v>
      </c>
      <c r="H126" s="22">
        <v>53</v>
      </c>
      <c r="I126" s="24">
        <v>40616</v>
      </c>
      <c r="J126" s="27">
        <v>973</v>
      </c>
      <c r="K126" s="25">
        <v>0.08</v>
      </c>
      <c r="L126" s="22" t="s">
        <v>30</v>
      </c>
      <c r="M126" s="23" t="s">
        <v>52</v>
      </c>
    </row>
    <row r="127" spans="1:13" x14ac:dyDescent="0.35">
      <c r="A127" s="22" t="s">
        <v>384</v>
      </c>
      <c r="B127" s="22" t="s">
        <v>1220</v>
      </c>
      <c r="C127" s="22" t="s">
        <v>60</v>
      </c>
      <c r="D127" s="22" t="s">
        <v>24</v>
      </c>
      <c r="E127" s="22" t="s">
        <v>1102</v>
      </c>
      <c r="F127" s="22" t="s">
        <v>15</v>
      </c>
      <c r="G127" s="22" t="s">
        <v>21</v>
      </c>
      <c r="H127" s="22">
        <v>46</v>
      </c>
      <c r="I127" s="24">
        <v>44205</v>
      </c>
      <c r="J127" s="27">
        <v>536</v>
      </c>
      <c r="K127" s="25">
        <v>0</v>
      </c>
      <c r="L127" s="22" t="s">
        <v>30</v>
      </c>
      <c r="M127" s="23" t="s">
        <v>52</v>
      </c>
    </row>
    <row r="128" spans="1:13" x14ac:dyDescent="0.35">
      <c r="A128" s="22" t="s">
        <v>385</v>
      </c>
      <c r="B128" s="22" t="s">
        <v>1221</v>
      </c>
      <c r="C128" s="22" t="s">
        <v>74</v>
      </c>
      <c r="D128" s="22" t="s">
        <v>43</v>
      </c>
      <c r="E128" s="22" t="s">
        <v>29</v>
      </c>
      <c r="F128" s="22" t="s">
        <v>25</v>
      </c>
      <c r="G128" s="22" t="s">
        <v>44</v>
      </c>
      <c r="H128" s="22">
        <v>30</v>
      </c>
      <c r="I128" s="24">
        <v>43309</v>
      </c>
      <c r="J128" s="27">
        <v>822</v>
      </c>
      <c r="K128" s="25">
        <v>0</v>
      </c>
      <c r="L128" s="22" t="s">
        <v>45</v>
      </c>
      <c r="M128" s="23" t="s">
        <v>66</v>
      </c>
    </row>
    <row r="129" spans="1:13" x14ac:dyDescent="0.35">
      <c r="A129" s="22" t="s">
        <v>386</v>
      </c>
      <c r="B129" s="22" t="s">
        <v>1222</v>
      </c>
      <c r="C129" s="22" t="s">
        <v>83</v>
      </c>
      <c r="D129" s="22" t="s">
        <v>28</v>
      </c>
      <c r="E129" s="22" t="s">
        <v>29</v>
      </c>
      <c r="F129" s="22" t="s">
        <v>15</v>
      </c>
      <c r="G129" s="22" t="s">
        <v>21</v>
      </c>
      <c r="H129" s="22">
        <v>28</v>
      </c>
      <c r="I129" s="24">
        <v>43681</v>
      </c>
      <c r="J129" s="27">
        <v>707</v>
      </c>
      <c r="K129" s="25">
        <v>0</v>
      </c>
      <c r="L129" s="22" t="s">
        <v>30</v>
      </c>
      <c r="M129" s="23" t="s">
        <v>52</v>
      </c>
    </row>
    <row r="130" spans="1:13" x14ac:dyDescent="0.35">
      <c r="A130" s="22" t="s">
        <v>387</v>
      </c>
      <c r="B130" s="22" t="s">
        <v>1223</v>
      </c>
      <c r="C130" s="22" t="s">
        <v>57</v>
      </c>
      <c r="D130" s="22" t="s">
        <v>56</v>
      </c>
      <c r="E130" s="22" t="s">
        <v>1102</v>
      </c>
      <c r="F130" s="22" t="s">
        <v>15</v>
      </c>
      <c r="G130" s="22" t="s">
        <v>21</v>
      </c>
      <c r="H130" s="22">
        <v>35</v>
      </c>
      <c r="I130" s="24">
        <v>44180</v>
      </c>
      <c r="J130" s="27">
        <v>564</v>
      </c>
      <c r="K130" s="25">
        <v>0</v>
      </c>
      <c r="L130" s="22" t="s">
        <v>30</v>
      </c>
      <c r="M130" s="23" t="s">
        <v>31</v>
      </c>
    </row>
    <row r="131" spans="1:13" x14ac:dyDescent="0.35">
      <c r="A131" s="22" t="s">
        <v>388</v>
      </c>
      <c r="B131" s="22" t="s">
        <v>1224</v>
      </c>
      <c r="C131" s="22" t="s">
        <v>55</v>
      </c>
      <c r="D131" s="22" t="s">
        <v>13</v>
      </c>
      <c r="E131" s="22" t="s">
        <v>14</v>
      </c>
      <c r="F131" s="22" t="s">
        <v>15</v>
      </c>
      <c r="G131" s="22" t="s">
        <v>21</v>
      </c>
      <c r="H131" s="22">
        <v>58</v>
      </c>
      <c r="I131" s="24">
        <v>35297</v>
      </c>
      <c r="J131" s="27">
        <v>866</v>
      </c>
      <c r="K131" s="25">
        <v>0</v>
      </c>
      <c r="L131" s="22" t="s">
        <v>30</v>
      </c>
      <c r="M131" s="23" t="s">
        <v>31</v>
      </c>
    </row>
    <row r="132" spans="1:13" x14ac:dyDescent="0.35">
      <c r="A132" s="22" t="s">
        <v>389</v>
      </c>
      <c r="B132" s="22" t="s">
        <v>1225</v>
      </c>
      <c r="C132" s="22" t="s">
        <v>38</v>
      </c>
      <c r="D132" s="22" t="s">
        <v>43</v>
      </c>
      <c r="E132" s="22" t="s">
        <v>1102</v>
      </c>
      <c r="F132" s="22" t="s">
        <v>25</v>
      </c>
      <c r="G132" s="22" t="s">
        <v>44</v>
      </c>
      <c r="H132" s="22">
        <v>47</v>
      </c>
      <c r="I132" s="24">
        <v>37400</v>
      </c>
      <c r="J132" s="27">
        <v>758</v>
      </c>
      <c r="K132" s="25">
        <v>0</v>
      </c>
      <c r="L132" s="22" t="s">
        <v>17</v>
      </c>
      <c r="M132" s="23" t="s">
        <v>18</v>
      </c>
    </row>
    <row r="133" spans="1:13" x14ac:dyDescent="0.35">
      <c r="A133" s="22" t="s">
        <v>390</v>
      </c>
      <c r="B133" s="22" t="s">
        <v>1226</v>
      </c>
      <c r="C133" s="22" t="s">
        <v>38</v>
      </c>
      <c r="D133" s="22" t="s">
        <v>39</v>
      </c>
      <c r="E133" s="22" t="s">
        <v>1102</v>
      </c>
      <c r="F133" s="22" t="s">
        <v>25</v>
      </c>
      <c r="G133" s="22" t="s">
        <v>21</v>
      </c>
      <c r="H133" s="22">
        <v>43</v>
      </c>
      <c r="I133" s="24">
        <v>39110</v>
      </c>
      <c r="J133" s="27">
        <v>642</v>
      </c>
      <c r="K133" s="25">
        <v>0</v>
      </c>
      <c r="L133" s="22" t="s">
        <v>30</v>
      </c>
      <c r="M133" s="23" t="s">
        <v>31</v>
      </c>
    </row>
    <row r="134" spans="1:13" x14ac:dyDescent="0.35">
      <c r="A134" s="22" t="s">
        <v>391</v>
      </c>
      <c r="B134" s="22" t="s">
        <v>1227</v>
      </c>
      <c r="C134" s="22" t="s">
        <v>55</v>
      </c>
      <c r="D134" s="22" t="s">
        <v>13</v>
      </c>
      <c r="E134" s="22" t="s">
        <v>33</v>
      </c>
      <c r="F134" s="22" t="s">
        <v>25</v>
      </c>
      <c r="G134" s="22" t="s">
        <v>41</v>
      </c>
      <c r="H134" s="22">
        <v>47</v>
      </c>
      <c r="I134" s="24">
        <v>42212</v>
      </c>
      <c r="J134" s="27">
        <v>997</v>
      </c>
      <c r="K134" s="25">
        <v>0</v>
      </c>
      <c r="L134" s="22" t="s">
        <v>17</v>
      </c>
      <c r="M134" s="23" t="s">
        <v>35</v>
      </c>
    </row>
    <row r="135" spans="1:13" x14ac:dyDescent="0.35">
      <c r="A135" s="22" t="s">
        <v>260</v>
      </c>
      <c r="B135" s="22" t="s">
        <v>1228</v>
      </c>
      <c r="C135" s="22" t="s">
        <v>34</v>
      </c>
      <c r="D135" s="22" t="s">
        <v>24</v>
      </c>
      <c r="E135" s="22" t="s">
        <v>14</v>
      </c>
      <c r="F135" s="22" t="s">
        <v>15</v>
      </c>
      <c r="G135" s="22" t="s">
        <v>44</v>
      </c>
      <c r="H135" s="22">
        <v>57</v>
      </c>
      <c r="I135" s="24">
        <v>41514</v>
      </c>
      <c r="J135" s="27">
        <v>970</v>
      </c>
      <c r="K135" s="25">
        <v>0</v>
      </c>
      <c r="L135" s="22" t="s">
        <v>45</v>
      </c>
      <c r="M135" s="23" t="s">
        <v>1134</v>
      </c>
    </row>
    <row r="136" spans="1:13" x14ac:dyDescent="0.35">
      <c r="A136" s="22" t="s">
        <v>392</v>
      </c>
      <c r="B136" s="22" t="s">
        <v>1229</v>
      </c>
      <c r="C136" s="22" t="s">
        <v>62</v>
      </c>
      <c r="D136" s="22" t="s">
        <v>24</v>
      </c>
      <c r="E136" s="22" t="s">
        <v>29</v>
      </c>
      <c r="F136" s="22" t="s">
        <v>25</v>
      </c>
      <c r="G136" s="22" t="s">
        <v>41</v>
      </c>
      <c r="H136" s="22">
        <v>47</v>
      </c>
      <c r="I136" s="24">
        <v>38384</v>
      </c>
      <c r="J136" s="27">
        <v>598</v>
      </c>
      <c r="K136" s="25">
        <v>0</v>
      </c>
      <c r="L136" s="22" t="s">
        <v>17</v>
      </c>
      <c r="M136" s="23" t="s">
        <v>35</v>
      </c>
    </row>
    <row r="137" spans="1:13" x14ac:dyDescent="0.35">
      <c r="A137" s="22" t="s">
        <v>393</v>
      </c>
      <c r="B137" s="22" t="s">
        <v>1230</v>
      </c>
      <c r="C137" s="22" t="s">
        <v>53</v>
      </c>
      <c r="D137" s="22" t="s">
        <v>43</v>
      </c>
      <c r="E137" s="22" t="s">
        <v>14</v>
      </c>
      <c r="F137" s="22" t="s">
        <v>15</v>
      </c>
      <c r="G137" s="22" t="s">
        <v>21</v>
      </c>
      <c r="H137" s="22">
        <v>50</v>
      </c>
      <c r="I137" s="24">
        <v>39507</v>
      </c>
      <c r="J137" s="27">
        <v>593</v>
      </c>
      <c r="K137" s="25">
        <v>0.1</v>
      </c>
      <c r="L137" s="22" t="s">
        <v>30</v>
      </c>
      <c r="M137" s="23" t="s">
        <v>61</v>
      </c>
    </row>
    <row r="138" spans="1:13" x14ac:dyDescent="0.35">
      <c r="A138" s="22" t="s">
        <v>394</v>
      </c>
      <c r="B138" s="22" t="s">
        <v>1231</v>
      </c>
      <c r="C138" s="22" t="s">
        <v>57</v>
      </c>
      <c r="D138" s="22" t="s">
        <v>39</v>
      </c>
      <c r="E138" s="22" t="s">
        <v>14</v>
      </c>
      <c r="F138" s="22" t="s">
        <v>15</v>
      </c>
      <c r="G138" s="22" t="s">
        <v>21</v>
      </c>
      <c r="H138" s="22">
        <v>27</v>
      </c>
      <c r="I138" s="24">
        <v>43908</v>
      </c>
      <c r="J138" s="27">
        <v>906</v>
      </c>
      <c r="K138" s="25">
        <v>0</v>
      </c>
      <c r="L138" s="22" t="s">
        <v>17</v>
      </c>
      <c r="M138" s="23" t="s">
        <v>18</v>
      </c>
    </row>
    <row r="139" spans="1:13" x14ac:dyDescent="0.35">
      <c r="A139" s="22" t="s">
        <v>132</v>
      </c>
      <c r="B139" s="22" t="s">
        <v>1232</v>
      </c>
      <c r="C139" s="22" t="s">
        <v>1111</v>
      </c>
      <c r="D139" s="22" t="s">
        <v>56</v>
      </c>
      <c r="E139" s="22" t="s">
        <v>29</v>
      </c>
      <c r="F139" s="22" t="s">
        <v>15</v>
      </c>
      <c r="G139" s="22" t="s">
        <v>44</v>
      </c>
      <c r="H139" s="22">
        <v>26</v>
      </c>
      <c r="I139" s="24">
        <v>44421</v>
      </c>
      <c r="J139" s="27">
        <v>811</v>
      </c>
      <c r="K139" s="25">
        <v>0.13</v>
      </c>
      <c r="L139" s="22" t="s">
        <v>45</v>
      </c>
      <c r="M139" s="23" t="s">
        <v>46</v>
      </c>
    </row>
    <row r="140" spans="1:13" x14ac:dyDescent="0.35">
      <c r="A140" s="22" t="s">
        <v>207</v>
      </c>
      <c r="B140" s="22" t="s">
        <v>1233</v>
      </c>
      <c r="C140" s="22" t="s">
        <v>32</v>
      </c>
      <c r="D140" s="22" t="s">
        <v>24</v>
      </c>
      <c r="E140" s="22" t="s">
        <v>29</v>
      </c>
      <c r="F140" s="22" t="s">
        <v>25</v>
      </c>
      <c r="G140" s="22" t="s">
        <v>21</v>
      </c>
      <c r="H140" s="22">
        <v>43</v>
      </c>
      <c r="I140" s="24">
        <v>39881</v>
      </c>
      <c r="J140" s="27">
        <v>566</v>
      </c>
      <c r="K140" s="25">
        <v>0</v>
      </c>
      <c r="L140" s="22" t="s">
        <v>30</v>
      </c>
      <c r="M140" s="23" t="s">
        <v>31</v>
      </c>
    </row>
    <row r="141" spans="1:13" x14ac:dyDescent="0.35">
      <c r="A141" s="22" t="s">
        <v>395</v>
      </c>
      <c r="B141" s="22" t="s">
        <v>1234</v>
      </c>
      <c r="C141" s="22" t="s">
        <v>12</v>
      </c>
      <c r="D141" s="22" t="s">
        <v>56</v>
      </c>
      <c r="E141" s="22" t="s">
        <v>29</v>
      </c>
      <c r="F141" s="22" t="s">
        <v>15</v>
      </c>
      <c r="G141" s="22" t="s">
        <v>44</v>
      </c>
      <c r="H141" s="22">
        <v>49</v>
      </c>
      <c r="I141" s="24">
        <v>36063</v>
      </c>
      <c r="J141" s="27">
        <v>900</v>
      </c>
      <c r="K141" s="25">
        <v>0.34</v>
      </c>
      <c r="L141" s="22" t="s">
        <v>45</v>
      </c>
      <c r="M141" s="23" t="s">
        <v>46</v>
      </c>
    </row>
    <row r="142" spans="1:13" x14ac:dyDescent="0.35">
      <c r="A142" s="22" t="s">
        <v>396</v>
      </c>
      <c r="B142" s="22" t="s">
        <v>1235</v>
      </c>
      <c r="C142" s="22" t="s">
        <v>1111</v>
      </c>
      <c r="D142" s="22" t="s">
        <v>43</v>
      </c>
      <c r="E142" s="22" t="s">
        <v>14</v>
      </c>
      <c r="F142" s="22" t="s">
        <v>15</v>
      </c>
      <c r="G142" s="22" t="s">
        <v>16</v>
      </c>
      <c r="H142" s="22">
        <v>36</v>
      </c>
      <c r="I142" s="24">
        <v>42888</v>
      </c>
      <c r="J142" s="27">
        <v>528</v>
      </c>
      <c r="K142" s="25">
        <v>0.1</v>
      </c>
      <c r="L142" s="22" t="s">
        <v>17</v>
      </c>
      <c r="M142" s="23" t="s">
        <v>26</v>
      </c>
    </row>
    <row r="143" spans="1:13" x14ac:dyDescent="0.35">
      <c r="A143" s="22" t="s">
        <v>397</v>
      </c>
      <c r="B143" s="22" t="s">
        <v>1236</v>
      </c>
      <c r="C143" s="22" t="s">
        <v>57</v>
      </c>
      <c r="D143" s="22" t="s">
        <v>56</v>
      </c>
      <c r="E143" s="22" t="s">
        <v>29</v>
      </c>
      <c r="F143" s="22" t="s">
        <v>15</v>
      </c>
      <c r="G143" s="22" t="s">
        <v>44</v>
      </c>
      <c r="H143" s="22">
        <v>51</v>
      </c>
      <c r="I143" s="24">
        <v>35003</v>
      </c>
      <c r="J143" s="27">
        <v>991</v>
      </c>
      <c r="K143" s="25">
        <v>0</v>
      </c>
      <c r="L143" s="22" t="s">
        <v>45</v>
      </c>
      <c r="M143" s="23" t="s">
        <v>46</v>
      </c>
    </row>
    <row r="144" spans="1:13" x14ac:dyDescent="0.35">
      <c r="A144" s="22" t="s">
        <v>398</v>
      </c>
      <c r="B144" s="22" t="s">
        <v>1237</v>
      </c>
      <c r="C144" s="22" t="s">
        <v>57</v>
      </c>
      <c r="D144" s="22" t="s">
        <v>56</v>
      </c>
      <c r="E144" s="22" t="s">
        <v>29</v>
      </c>
      <c r="F144" s="22" t="s">
        <v>15</v>
      </c>
      <c r="G144" s="22" t="s">
        <v>44</v>
      </c>
      <c r="H144" s="22">
        <v>46</v>
      </c>
      <c r="I144" s="24">
        <v>37511</v>
      </c>
      <c r="J144" s="27">
        <v>762</v>
      </c>
      <c r="K144" s="25">
        <v>0</v>
      </c>
      <c r="L144" s="22" t="s">
        <v>45</v>
      </c>
      <c r="M144" s="23" t="s">
        <v>66</v>
      </c>
    </row>
    <row r="145" spans="1:13" x14ac:dyDescent="0.35">
      <c r="A145" s="22" t="s">
        <v>399</v>
      </c>
      <c r="B145" s="22" t="s">
        <v>1238</v>
      </c>
      <c r="C145" s="22" t="s">
        <v>55</v>
      </c>
      <c r="D145" s="22" t="s">
        <v>13</v>
      </c>
      <c r="E145" s="22" t="s">
        <v>33</v>
      </c>
      <c r="F145" s="22" t="s">
        <v>25</v>
      </c>
      <c r="G145" s="22" t="s">
        <v>44</v>
      </c>
      <c r="H145" s="22">
        <v>37</v>
      </c>
      <c r="I145" s="24">
        <v>43783</v>
      </c>
      <c r="J145" s="27">
        <v>894</v>
      </c>
      <c r="K145" s="25">
        <v>0</v>
      </c>
      <c r="L145" s="22" t="s">
        <v>17</v>
      </c>
      <c r="M145" s="23" t="s">
        <v>18</v>
      </c>
    </row>
    <row r="146" spans="1:13" x14ac:dyDescent="0.35">
      <c r="A146" s="22" t="s">
        <v>400</v>
      </c>
      <c r="B146" s="22" t="s">
        <v>1239</v>
      </c>
      <c r="C146" s="22" t="s">
        <v>38</v>
      </c>
      <c r="D146" s="22" t="s">
        <v>13</v>
      </c>
      <c r="E146" s="22" t="s">
        <v>33</v>
      </c>
      <c r="F146" s="22" t="s">
        <v>25</v>
      </c>
      <c r="G146" s="22" t="s">
        <v>44</v>
      </c>
      <c r="H146" s="22">
        <v>43</v>
      </c>
      <c r="I146" s="24">
        <v>43268</v>
      </c>
      <c r="J146" s="27">
        <v>630</v>
      </c>
      <c r="K146" s="25">
        <v>0</v>
      </c>
      <c r="L146" s="22" t="s">
        <v>45</v>
      </c>
      <c r="M146" s="23" t="s">
        <v>66</v>
      </c>
    </row>
    <row r="147" spans="1:13" x14ac:dyDescent="0.35">
      <c r="A147" s="22" t="s">
        <v>128</v>
      </c>
      <c r="B147" s="22" t="s">
        <v>1240</v>
      </c>
      <c r="C147" s="22" t="s">
        <v>36</v>
      </c>
      <c r="D147" s="22" t="s">
        <v>39</v>
      </c>
      <c r="E147" s="22" t="s">
        <v>1102</v>
      </c>
      <c r="F147" s="22" t="s">
        <v>15</v>
      </c>
      <c r="G147" s="22" t="s">
        <v>41</v>
      </c>
      <c r="H147" s="22">
        <v>53</v>
      </c>
      <c r="I147" s="24">
        <v>41496</v>
      </c>
      <c r="J147" s="27">
        <v>589</v>
      </c>
      <c r="K147" s="25">
        <v>0.15</v>
      </c>
      <c r="L147" s="22" t="s">
        <v>17</v>
      </c>
      <c r="M147" s="23" t="s">
        <v>26</v>
      </c>
    </row>
    <row r="148" spans="1:13" x14ac:dyDescent="0.35">
      <c r="A148" s="22" t="s">
        <v>177</v>
      </c>
      <c r="B148" s="22" t="s">
        <v>1241</v>
      </c>
      <c r="C148" s="22" t="s">
        <v>77</v>
      </c>
      <c r="D148" s="22" t="s">
        <v>24</v>
      </c>
      <c r="E148" s="22" t="s">
        <v>14</v>
      </c>
      <c r="F148" s="22" t="s">
        <v>15</v>
      </c>
      <c r="G148" s="22" t="s">
        <v>21</v>
      </c>
      <c r="H148" s="22">
        <v>58</v>
      </c>
      <c r="I148" s="24">
        <v>41744</v>
      </c>
      <c r="J148" s="27">
        <v>642</v>
      </c>
      <c r="K148" s="25">
        <v>0</v>
      </c>
      <c r="L148" s="22" t="s">
        <v>30</v>
      </c>
      <c r="M148" s="23" t="s">
        <v>52</v>
      </c>
    </row>
    <row r="149" spans="1:13" x14ac:dyDescent="0.35">
      <c r="A149" s="22" t="s">
        <v>401</v>
      </c>
      <c r="B149" s="22" t="s">
        <v>1242</v>
      </c>
      <c r="C149" s="22" t="s">
        <v>53</v>
      </c>
      <c r="D149" s="22" t="s">
        <v>39</v>
      </c>
      <c r="E149" s="22" t="s">
        <v>29</v>
      </c>
      <c r="F149" s="22" t="s">
        <v>25</v>
      </c>
      <c r="G149" s="22" t="s">
        <v>16</v>
      </c>
      <c r="H149" s="22">
        <v>57</v>
      </c>
      <c r="I149" s="24">
        <v>35256</v>
      </c>
      <c r="J149" s="27">
        <v>927</v>
      </c>
      <c r="K149" s="25">
        <v>0.08</v>
      </c>
      <c r="L149" s="22" t="s">
        <v>17</v>
      </c>
      <c r="M149" s="23" t="s">
        <v>40</v>
      </c>
    </row>
    <row r="150" spans="1:13" x14ac:dyDescent="0.35">
      <c r="A150" s="22" t="s">
        <v>402</v>
      </c>
      <c r="B150" s="22" t="s">
        <v>1243</v>
      </c>
      <c r="C150" s="22" t="s">
        <v>67</v>
      </c>
      <c r="D150" s="22" t="s">
        <v>24</v>
      </c>
      <c r="E150" s="22" t="s">
        <v>33</v>
      </c>
      <c r="F150" s="22" t="s">
        <v>15</v>
      </c>
      <c r="G150" s="22" t="s">
        <v>44</v>
      </c>
      <c r="H150" s="22">
        <v>31</v>
      </c>
      <c r="I150" s="24">
        <v>42301</v>
      </c>
      <c r="J150" s="27">
        <v>889</v>
      </c>
      <c r="K150" s="25">
        <v>0</v>
      </c>
      <c r="L150" s="22" t="s">
        <v>45</v>
      </c>
      <c r="M150" s="23" t="s">
        <v>1134</v>
      </c>
    </row>
    <row r="151" spans="1:13" x14ac:dyDescent="0.35">
      <c r="A151" s="22" t="s">
        <v>403</v>
      </c>
      <c r="B151" s="22" t="s">
        <v>1244</v>
      </c>
      <c r="C151" s="22" t="s">
        <v>74</v>
      </c>
      <c r="D151" s="22" t="s">
        <v>43</v>
      </c>
      <c r="E151" s="22" t="s">
        <v>33</v>
      </c>
      <c r="F151" s="22" t="s">
        <v>25</v>
      </c>
      <c r="G151" s="22" t="s">
        <v>21</v>
      </c>
      <c r="H151" s="22">
        <v>40</v>
      </c>
      <c r="I151" s="24">
        <v>39255</v>
      </c>
      <c r="J151" s="27">
        <v>974</v>
      </c>
      <c r="K151" s="25">
        <v>0</v>
      </c>
      <c r="L151" s="22" t="s">
        <v>30</v>
      </c>
      <c r="M151" s="23" t="s">
        <v>65</v>
      </c>
    </row>
    <row r="152" spans="1:13" x14ac:dyDescent="0.35">
      <c r="A152" s="22" t="s">
        <v>404</v>
      </c>
      <c r="B152" s="22" t="s">
        <v>1245</v>
      </c>
      <c r="C152" s="22" t="s">
        <v>59</v>
      </c>
      <c r="D152" s="22" t="s">
        <v>24</v>
      </c>
      <c r="E152" s="22" t="s">
        <v>14</v>
      </c>
      <c r="F152" s="22" t="s">
        <v>25</v>
      </c>
      <c r="G152" s="22" t="s">
        <v>41</v>
      </c>
      <c r="H152" s="22">
        <v>47</v>
      </c>
      <c r="I152" s="24">
        <v>39593</v>
      </c>
      <c r="J152" s="27">
        <v>537</v>
      </c>
      <c r="K152" s="25">
        <v>0</v>
      </c>
      <c r="L152" s="22" t="s">
        <v>17</v>
      </c>
      <c r="M152" s="23" t="s">
        <v>40</v>
      </c>
    </row>
    <row r="153" spans="1:13" x14ac:dyDescent="0.35">
      <c r="A153" s="22" t="s">
        <v>263</v>
      </c>
      <c r="B153" s="22" t="s">
        <v>1246</v>
      </c>
      <c r="C153" s="22" t="s">
        <v>62</v>
      </c>
      <c r="D153" s="22" t="s">
        <v>24</v>
      </c>
      <c r="E153" s="22" t="s">
        <v>33</v>
      </c>
      <c r="F153" s="22" t="s">
        <v>15</v>
      </c>
      <c r="G153" s="22" t="s">
        <v>44</v>
      </c>
      <c r="H153" s="22">
        <v>51</v>
      </c>
      <c r="I153" s="24">
        <v>39207</v>
      </c>
      <c r="J153" s="27">
        <v>500</v>
      </c>
      <c r="K153" s="25">
        <v>0</v>
      </c>
      <c r="L153" s="22" t="s">
        <v>45</v>
      </c>
      <c r="M153" s="23" t="s">
        <v>1134</v>
      </c>
    </row>
    <row r="154" spans="1:13" x14ac:dyDescent="0.35">
      <c r="A154" s="22" t="s">
        <v>405</v>
      </c>
      <c r="B154" s="22" t="s">
        <v>1247</v>
      </c>
      <c r="C154" s="22" t="s">
        <v>72</v>
      </c>
      <c r="D154" s="22" t="s">
        <v>24</v>
      </c>
      <c r="E154" s="22" t="s">
        <v>14</v>
      </c>
      <c r="F154" s="22" t="s">
        <v>25</v>
      </c>
      <c r="G154" s="22" t="s">
        <v>21</v>
      </c>
      <c r="H154" s="22">
        <v>57</v>
      </c>
      <c r="I154" s="24">
        <v>44106</v>
      </c>
      <c r="J154" s="27">
        <v>881</v>
      </c>
      <c r="K154" s="25">
        <v>0</v>
      </c>
      <c r="L154" s="22" t="s">
        <v>30</v>
      </c>
      <c r="M154" s="23" t="s">
        <v>65</v>
      </c>
    </row>
    <row r="155" spans="1:13" x14ac:dyDescent="0.35">
      <c r="A155" s="22" t="s">
        <v>406</v>
      </c>
      <c r="B155" s="22" t="s">
        <v>1248</v>
      </c>
      <c r="C155" s="22" t="s">
        <v>60</v>
      </c>
      <c r="D155" s="22" t="s">
        <v>24</v>
      </c>
      <c r="E155" s="22" t="s">
        <v>29</v>
      </c>
      <c r="F155" s="22" t="s">
        <v>25</v>
      </c>
      <c r="G155" s="22" t="s">
        <v>16</v>
      </c>
      <c r="H155" s="22">
        <v>46</v>
      </c>
      <c r="I155" s="24">
        <v>44522</v>
      </c>
      <c r="J155" s="27">
        <v>648</v>
      </c>
      <c r="K155" s="25">
        <v>0</v>
      </c>
      <c r="L155" s="22" t="s">
        <v>17</v>
      </c>
      <c r="M155" s="23" t="s">
        <v>26</v>
      </c>
    </row>
    <row r="156" spans="1:13" x14ac:dyDescent="0.35">
      <c r="A156" s="22" t="s">
        <v>407</v>
      </c>
      <c r="B156" s="22" t="s">
        <v>1249</v>
      </c>
      <c r="C156" s="22" t="s">
        <v>83</v>
      </c>
      <c r="D156" s="22" t="s">
        <v>28</v>
      </c>
      <c r="E156" s="22" t="s">
        <v>29</v>
      </c>
      <c r="F156" s="22" t="s">
        <v>25</v>
      </c>
      <c r="G156" s="22" t="s">
        <v>44</v>
      </c>
      <c r="H156" s="22">
        <v>40</v>
      </c>
      <c r="I156" s="24">
        <v>44807</v>
      </c>
      <c r="J156" s="27">
        <v>570</v>
      </c>
      <c r="K156" s="25">
        <v>0</v>
      </c>
      <c r="L156" s="22" t="s">
        <v>17</v>
      </c>
      <c r="M156" s="23" t="s">
        <v>18</v>
      </c>
    </row>
    <row r="157" spans="1:13" x14ac:dyDescent="0.35">
      <c r="A157" s="22" t="s">
        <v>408</v>
      </c>
      <c r="B157" s="22" t="s">
        <v>1250</v>
      </c>
      <c r="C157" s="22" t="s">
        <v>57</v>
      </c>
      <c r="D157" s="22" t="s">
        <v>56</v>
      </c>
      <c r="E157" s="22" t="s">
        <v>14</v>
      </c>
      <c r="F157" s="22" t="s">
        <v>25</v>
      </c>
      <c r="G157" s="22" t="s">
        <v>21</v>
      </c>
      <c r="H157" s="22">
        <v>43</v>
      </c>
      <c r="I157" s="24">
        <v>38004</v>
      </c>
      <c r="J157" s="27">
        <v>621</v>
      </c>
      <c r="K157" s="25">
        <v>0</v>
      </c>
      <c r="L157" s="22" t="s">
        <v>30</v>
      </c>
      <c r="M157" s="23" t="s">
        <v>52</v>
      </c>
    </row>
    <row r="158" spans="1:13" x14ac:dyDescent="0.35">
      <c r="A158" s="22" t="s">
        <v>409</v>
      </c>
      <c r="B158" s="22" t="s">
        <v>1251</v>
      </c>
      <c r="C158" s="22" t="s">
        <v>60</v>
      </c>
      <c r="D158" s="22" t="s">
        <v>24</v>
      </c>
      <c r="E158" s="22" t="s">
        <v>14</v>
      </c>
      <c r="F158" s="22" t="s">
        <v>25</v>
      </c>
      <c r="G158" s="22" t="s">
        <v>16</v>
      </c>
      <c r="H158" s="22">
        <v>54</v>
      </c>
      <c r="I158" s="24">
        <v>44303</v>
      </c>
      <c r="J158" s="27">
        <v>619</v>
      </c>
      <c r="K158" s="25">
        <v>0</v>
      </c>
      <c r="L158" s="22" t="s">
        <v>17</v>
      </c>
      <c r="M158" s="23" t="s">
        <v>26</v>
      </c>
    </row>
    <row r="159" spans="1:13" x14ac:dyDescent="0.35">
      <c r="A159" s="22" t="s">
        <v>410</v>
      </c>
      <c r="B159" s="22" t="s">
        <v>1252</v>
      </c>
      <c r="C159" s="22" t="s">
        <v>1111</v>
      </c>
      <c r="D159" s="22" t="s">
        <v>43</v>
      </c>
      <c r="E159" s="22" t="s">
        <v>14</v>
      </c>
      <c r="F159" s="22" t="s">
        <v>15</v>
      </c>
      <c r="G159" s="22" t="s">
        <v>41</v>
      </c>
      <c r="H159" s="22">
        <v>27</v>
      </c>
      <c r="I159" s="24">
        <v>44198</v>
      </c>
      <c r="J159" s="27">
        <v>577</v>
      </c>
      <c r="K159" s="25">
        <v>0.15</v>
      </c>
      <c r="L159" s="22" t="s">
        <v>17</v>
      </c>
      <c r="M159" s="23" t="s">
        <v>54</v>
      </c>
    </row>
    <row r="160" spans="1:13" x14ac:dyDescent="0.35">
      <c r="A160" s="22" t="s">
        <v>411</v>
      </c>
      <c r="B160" s="22" t="s">
        <v>1253</v>
      </c>
      <c r="C160" s="22" t="s">
        <v>55</v>
      </c>
      <c r="D160" s="22" t="s">
        <v>56</v>
      </c>
      <c r="E160" s="22" t="s">
        <v>33</v>
      </c>
      <c r="F160" s="22" t="s">
        <v>15</v>
      </c>
      <c r="G160" s="22" t="s">
        <v>21</v>
      </c>
      <c r="H160" s="22">
        <v>56</v>
      </c>
      <c r="I160" s="24">
        <v>36387</v>
      </c>
      <c r="J160" s="27">
        <v>856</v>
      </c>
      <c r="K160" s="25">
        <v>0</v>
      </c>
      <c r="L160" s="22" t="s">
        <v>17</v>
      </c>
      <c r="M160" s="23" t="s">
        <v>54</v>
      </c>
    </row>
    <row r="161" spans="1:13" x14ac:dyDescent="0.35">
      <c r="A161" s="22" t="s">
        <v>412</v>
      </c>
      <c r="B161" s="22" t="s">
        <v>1254</v>
      </c>
      <c r="C161" s="22" t="s">
        <v>72</v>
      </c>
      <c r="D161" s="22" t="s">
        <v>24</v>
      </c>
      <c r="E161" s="22" t="s">
        <v>1102</v>
      </c>
      <c r="F161" s="22" t="s">
        <v>15</v>
      </c>
      <c r="G161" s="22" t="s">
        <v>44</v>
      </c>
      <c r="H161" s="22">
        <v>36</v>
      </c>
      <c r="I161" s="24">
        <v>44785</v>
      </c>
      <c r="J161" s="27">
        <v>516</v>
      </c>
      <c r="K161" s="25">
        <v>0</v>
      </c>
      <c r="L161" s="22" t="s">
        <v>17</v>
      </c>
      <c r="M161" s="23" t="s">
        <v>40</v>
      </c>
    </row>
    <row r="162" spans="1:13" x14ac:dyDescent="0.35">
      <c r="A162" s="22" t="s">
        <v>413</v>
      </c>
      <c r="B162" s="22" t="s">
        <v>1255</v>
      </c>
      <c r="C162" s="22" t="s">
        <v>53</v>
      </c>
      <c r="D162" s="22" t="s">
        <v>13</v>
      </c>
      <c r="E162" s="22" t="s">
        <v>33</v>
      </c>
      <c r="F162" s="22" t="s">
        <v>25</v>
      </c>
      <c r="G162" s="22" t="s">
        <v>21</v>
      </c>
      <c r="H162" s="22">
        <v>53</v>
      </c>
      <c r="I162" s="24">
        <v>38531</v>
      </c>
      <c r="J162" s="27">
        <v>912</v>
      </c>
      <c r="K162" s="25">
        <v>0.08</v>
      </c>
      <c r="L162" s="22" t="s">
        <v>30</v>
      </c>
      <c r="M162" s="23" t="s">
        <v>61</v>
      </c>
    </row>
    <row r="163" spans="1:13" x14ac:dyDescent="0.35">
      <c r="A163" s="22" t="s">
        <v>414</v>
      </c>
      <c r="B163" s="22" t="s">
        <v>1256</v>
      </c>
      <c r="C163" s="22" t="s">
        <v>36</v>
      </c>
      <c r="D163" s="22" t="s">
        <v>28</v>
      </c>
      <c r="E163" s="22" t="s">
        <v>14</v>
      </c>
      <c r="F163" s="22" t="s">
        <v>15</v>
      </c>
      <c r="G163" s="22" t="s">
        <v>16</v>
      </c>
      <c r="H163" s="22">
        <v>31</v>
      </c>
      <c r="I163" s="24">
        <v>43165</v>
      </c>
      <c r="J163" s="27">
        <v>973</v>
      </c>
      <c r="K163" s="25">
        <v>0.24</v>
      </c>
      <c r="L163" s="22" t="s">
        <v>17</v>
      </c>
      <c r="M163" s="23" t="s">
        <v>22</v>
      </c>
    </row>
    <row r="164" spans="1:13" x14ac:dyDescent="0.35">
      <c r="A164" s="22" t="s">
        <v>415</v>
      </c>
      <c r="B164" s="22" t="s">
        <v>1257</v>
      </c>
      <c r="C164" s="22" t="s">
        <v>42</v>
      </c>
      <c r="D164" s="22" t="s">
        <v>43</v>
      </c>
      <c r="E164" s="22" t="s">
        <v>1102</v>
      </c>
      <c r="F164" s="22" t="s">
        <v>25</v>
      </c>
      <c r="G164" s="22" t="s">
        <v>16</v>
      </c>
      <c r="H164" s="22">
        <v>45</v>
      </c>
      <c r="I164" s="24">
        <v>42494</v>
      </c>
      <c r="J164" s="27">
        <v>908</v>
      </c>
      <c r="K164" s="25">
        <v>0</v>
      </c>
      <c r="L164" s="22" t="s">
        <v>17</v>
      </c>
      <c r="M164" s="23" t="s">
        <v>26</v>
      </c>
    </row>
    <row r="165" spans="1:13" x14ac:dyDescent="0.35">
      <c r="A165" s="22" t="s">
        <v>416</v>
      </c>
      <c r="B165" s="22" t="s">
        <v>1258</v>
      </c>
      <c r="C165" s="22" t="s">
        <v>70</v>
      </c>
      <c r="D165" s="22" t="s">
        <v>28</v>
      </c>
      <c r="E165" s="22" t="s">
        <v>29</v>
      </c>
      <c r="F165" s="22" t="s">
        <v>25</v>
      </c>
      <c r="G165" s="22" t="s">
        <v>16</v>
      </c>
      <c r="H165" s="22">
        <v>29</v>
      </c>
      <c r="I165" s="24">
        <v>44619</v>
      </c>
      <c r="J165" s="27">
        <v>556</v>
      </c>
      <c r="K165" s="25">
        <v>0</v>
      </c>
      <c r="L165" s="22" t="s">
        <v>17</v>
      </c>
      <c r="M165" s="23" t="s">
        <v>22</v>
      </c>
    </row>
    <row r="166" spans="1:13" x14ac:dyDescent="0.35">
      <c r="A166" s="22" t="s">
        <v>145</v>
      </c>
      <c r="B166" s="22" t="s">
        <v>1259</v>
      </c>
      <c r="C166" s="22" t="s">
        <v>34</v>
      </c>
      <c r="D166" s="22" t="s">
        <v>24</v>
      </c>
      <c r="E166" s="22" t="s">
        <v>14</v>
      </c>
      <c r="F166" s="22" t="s">
        <v>15</v>
      </c>
      <c r="G166" s="22" t="s">
        <v>21</v>
      </c>
      <c r="H166" s="22">
        <v>27</v>
      </c>
      <c r="I166" s="24">
        <v>44071</v>
      </c>
      <c r="J166" s="27">
        <v>777</v>
      </c>
      <c r="K166" s="25">
        <v>0</v>
      </c>
      <c r="L166" s="22" t="s">
        <v>17</v>
      </c>
      <c r="M166" s="23" t="s">
        <v>26</v>
      </c>
    </row>
    <row r="167" spans="1:13" x14ac:dyDescent="0.35">
      <c r="A167" s="22" t="s">
        <v>417</v>
      </c>
      <c r="B167" s="22" t="s">
        <v>1260</v>
      </c>
      <c r="C167" s="22" t="s">
        <v>27</v>
      </c>
      <c r="D167" s="22" t="s">
        <v>28</v>
      </c>
      <c r="E167" s="22" t="s">
        <v>14</v>
      </c>
      <c r="F167" s="22" t="s">
        <v>25</v>
      </c>
      <c r="G167" s="22" t="s">
        <v>16</v>
      </c>
      <c r="H167" s="22">
        <v>26</v>
      </c>
      <c r="I167" s="24">
        <v>44669</v>
      </c>
      <c r="J167" s="27">
        <v>892</v>
      </c>
      <c r="K167" s="25">
        <v>0</v>
      </c>
      <c r="L167" s="22" t="s">
        <v>17</v>
      </c>
      <c r="M167" s="23" t="s">
        <v>22</v>
      </c>
    </row>
    <row r="168" spans="1:13" x14ac:dyDescent="0.35">
      <c r="A168" s="22" t="s">
        <v>418</v>
      </c>
      <c r="B168" s="22" t="s">
        <v>1261</v>
      </c>
      <c r="C168" s="22" t="s">
        <v>76</v>
      </c>
      <c r="D168" s="22" t="s">
        <v>28</v>
      </c>
      <c r="E168" s="22" t="s">
        <v>14</v>
      </c>
      <c r="F168" s="22" t="s">
        <v>15</v>
      </c>
      <c r="G168" s="22" t="s">
        <v>44</v>
      </c>
      <c r="H168" s="22">
        <v>53</v>
      </c>
      <c r="I168" s="24">
        <v>39978</v>
      </c>
      <c r="J168" s="27">
        <v>707</v>
      </c>
      <c r="K168" s="25">
        <v>0.1</v>
      </c>
      <c r="L168" s="22" t="s">
        <v>17</v>
      </c>
      <c r="M168" s="23" t="s">
        <v>22</v>
      </c>
    </row>
    <row r="169" spans="1:13" x14ac:dyDescent="0.35">
      <c r="A169" s="22" t="s">
        <v>419</v>
      </c>
      <c r="B169" s="22" t="s">
        <v>1262</v>
      </c>
      <c r="C169" s="22" t="s">
        <v>36</v>
      </c>
      <c r="D169" s="22" t="s">
        <v>56</v>
      </c>
      <c r="E169" s="22" t="s">
        <v>29</v>
      </c>
      <c r="F169" s="22" t="s">
        <v>15</v>
      </c>
      <c r="G169" s="22" t="s">
        <v>21</v>
      </c>
      <c r="H169" s="22">
        <v>64</v>
      </c>
      <c r="I169" s="24">
        <v>41157</v>
      </c>
      <c r="J169" s="27">
        <v>633</v>
      </c>
      <c r="K169" s="25">
        <v>0.22</v>
      </c>
      <c r="L169" s="22" t="s">
        <v>30</v>
      </c>
      <c r="M169" s="23" t="s">
        <v>31</v>
      </c>
    </row>
    <row r="170" spans="1:13" x14ac:dyDescent="0.35">
      <c r="A170" s="22" t="s">
        <v>420</v>
      </c>
      <c r="B170" s="22" t="s">
        <v>1263</v>
      </c>
      <c r="C170" s="22" t="s">
        <v>36</v>
      </c>
      <c r="D170" s="22" t="s">
        <v>39</v>
      </c>
      <c r="E170" s="22" t="s">
        <v>33</v>
      </c>
      <c r="F170" s="22" t="s">
        <v>25</v>
      </c>
      <c r="G170" s="22" t="s">
        <v>41</v>
      </c>
      <c r="H170" s="22">
        <v>32</v>
      </c>
      <c r="I170" s="24">
        <v>43258</v>
      </c>
      <c r="J170" s="27">
        <v>863</v>
      </c>
      <c r="K170" s="25">
        <v>0.23</v>
      </c>
      <c r="L170" s="22" t="s">
        <v>17</v>
      </c>
      <c r="M170" s="23" t="s">
        <v>26</v>
      </c>
    </row>
    <row r="171" spans="1:13" x14ac:dyDescent="0.35">
      <c r="A171" s="22" t="s">
        <v>421</v>
      </c>
      <c r="B171" s="22" t="s">
        <v>1264</v>
      </c>
      <c r="C171" s="22" t="s">
        <v>12</v>
      </c>
      <c r="D171" s="22" t="s">
        <v>56</v>
      </c>
      <c r="E171" s="22" t="s">
        <v>33</v>
      </c>
      <c r="F171" s="22" t="s">
        <v>15</v>
      </c>
      <c r="G171" s="22" t="s">
        <v>21</v>
      </c>
      <c r="H171" s="22">
        <v>42</v>
      </c>
      <c r="I171" s="24">
        <v>42174</v>
      </c>
      <c r="J171" s="27">
        <v>823</v>
      </c>
      <c r="K171" s="25">
        <v>0.38</v>
      </c>
      <c r="L171" s="22" t="s">
        <v>17</v>
      </c>
      <c r="M171" s="23" t="s">
        <v>40</v>
      </c>
    </row>
    <row r="172" spans="1:13" x14ac:dyDescent="0.35">
      <c r="A172" s="22" t="s">
        <v>422</v>
      </c>
      <c r="B172" s="22" t="s">
        <v>1265</v>
      </c>
      <c r="C172" s="22" t="s">
        <v>47</v>
      </c>
      <c r="D172" s="22" t="s">
        <v>24</v>
      </c>
      <c r="E172" s="22" t="s">
        <v>29</v>
      </c>
      <c r="F172" s="22" t="s">
        <v>15</v>
      </c>
      <c r="G172" s="22" t="s">
        <v>16</v>
      </c>
      <c r="H172" s="22">
        <v>31</v>
      </c>
      <c r="I172" s="24">
        <v>43317</v>
      </c>
      <c r="J172" s="27">
        <v>582</v>
      </c>
      <c r="K172" s="25">
        <v>0</v>
      </c>
      <c r="L172" s="22" t="s">
        <v>17</v>
      </c>
      <c r="M172" s="23" t="s">
        <v>35</v>
      </c>
    </row>
    <row r="173" spans="1:13" x14ac:dyDescent="0.35">
      <c r="A173" s="22" t="s">
        <v>423</v>
      </c>
      <c r="B173" s="22" t="s">
        <v>1266</v>
      </c>
      <c r="C173" s="22" t="s">
        <v>72</v>
      </c>
      <c r="D173" s="22" t="s">
        <v>24</v>
      </c>
      <c r="E173" s="22" t="s">
        <v>14</v>
      </c>
      <c r="F173" s="22" t="s">
        <v>15</v>
      </c>
      <c r="G173" s="22" t="s">
        <v>21</v>
      </c>
      <c r="H173" s="22">
        <v>40</v>
      </c>
      <c r="I173" s="24">
        <v>39352</v>
      </c>
      <c r="J173" s="27">
        <v>733</v>
      </c>
      <c r="K173" s="25">
        <v>0</v>
      </c>
      <c r="L173" s="22" t="s">
        <v>30</v>
      </c>
      <c r="M173" s="23" t="s">
        <v>65</v>
      </c>
    </row>
    <row r="174" spans="1:13" x14ac:dyDescent="0.35">
      <c r="A174" s="22" t="s">
        <v>424</v>
      </c>
      <c r="B174" s="22" t="s">
        <v>1267</v>
      </c>
      <c r="C174" s="22" t="s">
        <v>50</v>
      </c>
      <c r="D174" s="22" t="s">
        <v>28</v>
      </c>
      <c r="E174" s="22" t="s">
        <v>14</v>
      </c>
      <c r="F174" s="22" t="s">
        <v>25</v>
      </c>
      <c r="G174" s="22" t="s">
        <v>21</v>
      </c>
      <c r="H174" s="22">
        <v>46</v>
      </c>
      <c r="I174" s="24">
        <v>37768</v>
      </c>
      <c r="J174" s="27">
        <v>703</v>
      </c>
      <c r="K174" s="25">
        <v>0</v>
      </c>
      <c r="L174" s="22" t="s">
        <v>30</v>
      </c>
      <c r="M174" s="23" t="s">
        <v>31</v>
      </c>
    </row>
    <row r="175" spans="1:13" x14ac:dyDescent="0.35">
      <c r="A175" s="22" t="s">
        <v>425</v>
      </c>
      <c r="B175" s="22" t="s">
        <v>1268</v>
      </c>
      <c r="C175" s="22" t="s">
        <v>12</v>
      </c>
      <c r="D175" s="22" t="s">
        <v>13</v>
      </c>
      <c r="E175" s="22" t="s">
        <v>1102</v>
      </c>
      <c r="F175" s="22" t="s">
        <v>25</v>
      </c>
      <c r="G175" s="22" t="s">
        <v>16</v>
      </c>
      <c r="H175" s="22">
        <v>35</v>
      </c>
      <c r="I175" s="24">
        <v>42562</v>
      </c>
      <c r="J175" s="27">
        <v>838</v>
      </c>
      <c r="K175" s="25">
        <v>0.31</v>
      </c>
      <c r="L175" s="22" t="s">
        <v>17</v>
      </c>
      <c r="M175" s="23" t="s">
        <v>22</v>
      </c>
    </row>
    <row r="176" spans="1:13" x14ac:dyDescent="0.35">
      <c r="A176" s="22" t="s">
        <v>426</v>
      </c>
      <c r="B176" s="22" t="s">
        <v>1269</v>
      </c>
      <c r="C176" s="22" t="s">
        <v>23</v>
      </c>
      <c r="D176" s="22" t="s">
        <v>24</v>
      </c>
      <c r="E176" s="22" t="s">
        <v>1102</v>
      </c>
      <c r="F176" s="22" t="s">
        <v>25</v>
      </c>
      <c r="G176" s="22" t="s">
        <v>21</v>
      </c>
      <c r="H176" s="22">
        <v>64</v>
      </c>
      <c r="I176" s="24">
        <v>34512</v>
      </c>
      <c r="J176" s="27">
        <v>843</v>
      </c>
      <c r="K176" s="25">
        <v>0</v>
      </c>
      <c r="L176" s="22" t="s">
        <v>30</v>
      </c>
      <c r="M176" s="23" t="s">
        <v>31</v>
      </c>
    </row>
    <row r="177" spans="1:13" x14ac:dyDescent="0.35">
      <c r="A177" s="22" t="s">
        <v>427</v>
      </c>
      <c r="B177" s="22" t="s">
        <v>1270</v>
      </c>
      <c r="C177" s="22" t="s">
        <v>38</v>
      </c>
      <c r="D177" s="22" t="s">
        <v>56</v>
      </c>
      <c r="E177" s="22" t="s">
        <v>14</v>
      </c>
      <c r="F177" s="22" t="s">
        <v>15</v>
      </c>
      <c r="G177" s="22" t="s">
        <v>44</v>
      </c>
      <c r="H177" s="22">
        <v>58</v>
      </c>
      <c r="I177" s="24">
        <v>41797</v>
      </c>
      <c r="J177" s="27">
        <v>840</v>
      </c>
      <c r="K177" s="25">
        <v>0</v>
      </c>
      <c r="L177" s="22" t="s">
        <v>45</v>
      </c>
      <c r="M177" s="23" t="s">
        <v>66</v>
      </c>
    </row>
    <row r="178" spans="1:13" x14ac:dyDescent="0.35">
      <c r="A178" s="22" t="s">
        <v>428</v>
      </c>
      <c r="B178" s="22" t="s">
        <v>1271</v>
      </c>
      <c r="C178" s="22" t="s">
        <v>58</v>
      </c>
      <c r="D178" s="22" t="s">
        <v>28</v>
      </c>
      <c r="E178" s="22" t="s">
        <v>33</v>
      </c>
      <c r="F178" s="22" t="s">
        <v>25</v>
      </c>
      <c r="G178" s="22" t="s">
        <v>16</v>
      </c>
      <c r="H178" s="22">
        <v>61</v>
      </c>
      <c r="I178" s="24">
        <v>42368</v>
      </c>
      <c r="J178" s="27">
        <v>546</v>
      </c>
      <c r="K178" s="25">
        <v>0</v>
      </c>
      <c r="L178" s="22" t="s">
        <v>17</v>
      </c>
      <c r="M178" s="23" t="s">
        <v>35</v>
      </c>
    </row>
    <row r="179" spans="1:13" x14ac:dyDescent="0.35">
      <c r="A179" s="22" t="s">
        <v>212</v>
      </c>
      <c r="B179" s="22" t="s">
        <v>1272</v>
      </c>
      <c r="C179" s="22" t="s">
        <v>55</v>
      </c>
      <c r="D179" s="22" t="s">
        <v>13</v>
      </c>
      <c r="E179" s="22" t="s">
        <v>33</v>
      </c>
      <c r="F179" s="22" t="s">
        <v>25</v>
      </c>
      <c r="G179" s="22" t="s">
        <v>44</v>
      </c>
      <c r="H179" s="22">
        <v>41</v>
      </c>
      <c r="I179" s="24">
        <v>44151</v>
      </c>
      <c r="J179" s="27">
        <v>565</v>
      </c>
      <c r="K179" s="25">
        <v>0</v>
      </c>
      <c r="L179" s="22" t="s">
        <v>45</v>
      </c>
      <c r="M179" s="23" t="s">
        <v>1134</v>
      </c>
    </row>
    <row r="180" spans="1:13" x14ac:dyDescent="0.35">
      <c r="A180" s="22" t="s">
        <v>429</v>
      </c>
      <c r="B180" s="22" t="s">
        <v>1273</v>
      </c>
      <c r="C180" s="22" t="s">
        <v>55</v>
      </c>
      <c r="D180" s="22" t="s">
        <v>39</v>
      </c>
      <c r="E180" s="22" t="s">
        <v>1102</v>
      </c>
      <c r="F180" s="22" t="s">
        <v>15</v>
      </c>
      <c r="G180" s="22" t="s">
        <v>44</v>
      </c>
      <c r="H180" s="22">
        <v>25</v>
      </c>
      <c r="I180" s="24">
        <v>44207</v>
      </c>
      <c r="J180" s="27">
        <v>557</v>
      </c>
      <c r="K180" s="25">
        <v>0</v>
      </c>
      <c r="L180" s="22" t="s">
        <v>45</v>
      </c>
      <c r="M180" s="23" t="s">
        <v>46</v>
      </c>
    </row>
    <row r="181" spans="1:13" x14ac:dyDescent="0.35">
      <c r="A181" s="22" t="s">
        <v>430</v>
      </c>
      <c r="B181" s="22" t="s">
        <v>1274</v>
      </c>
      <c r="C181" s="22" t="s">
        <v>12</v>
      </c>
      <c r="D181" s="22" t="s">
        <v>20</v>
      </c>
      <c r="E181" s="22" t="s">
        <v>33</v>
      </c>
      <c r="F181" s="22" t="s">
        <v>15</v>
      </c>
      <c r="G181" s="22" t="s">
        <v>21</v>
      </c>
      <c r="H181" s="22">
        <v>50</v>
      </c>
      <c r="I181" s="24">
        <v>40752</v>
      </c>
      <c r="J181" s="27">
        <v>822</v>
      </c>
      <c r="K181" s="25">
        <v>0.33</v>
      </c>
      <c r="L181" s="22" t="s">
        <v>30</v>
      </c>
      <c r="M181" s="23" t="s">
        <v>52</v>
      </c>
    </row>
    <row r="182" spans="1:13" x14ac:dyDescent="0.35">
      <c r="A182" s="22" t="s">
        <v>431</v>
      </c>
      <c r="B182" s="22" t="s">
        <v>1275</v>
      </c>
      <c r="C182" s="22" t="s">
        <v>1111</v>
      </c>
      <c r="D182" s="22" t="s">
        <v>56</v>
      </c>
      <c r="E182" s="22" t="s">
        <v>14</v>
      </c>
      <c r="F182" s="22" t="s">
        <v>25</v>
      </c>
      <c r="G182" s="22" t="s">
        <v>44</v>
      </c>
      <c r="H182" s="22">
        <v>61</v>
      </c>
      <c r="I182" s="24">
        <v>39012</v>
      </c>
      <c r="J182" s="27">
        <v>927</v>
      </c>
      <c r="K182" s="25">
        <v>0.13</v>
      </c>
      <c r="L182" s="22" t="s">
        <v>45</v>
      </c>
      <c r="M182" s="23" t="s">
        <v>1134</v>
      </c>
    </row>
    <row r="183" spans="1:13" x14ac:dyDescent="0.35">
      <c r="A183" s="22" t="s">
        <v>94</v>
      </c>
      <c r="B183" s="22" t="s">
        <v>1276</v>
      </c>
      <c r="C183" s="22" t="s">
        <v>57</v>
      </c>
      <c r="D183" s="22" t="s">
        <v>13</v>
      </c>
      <c r="E183" s="22" t="s">
        <v>14</v>
      </c>
      <c r="F183" s="22" t="s">
        <v>15</v>
      </c>
      <c r="G183" s="22" t="s">
        <v>21</v>
      </c>
      <c r="H183" s="22">
        <v>63</v>
      </c>
      <c r="I183" s="24">
        <v>40689</v>
      </c>
      <c r="J183" s="27">
        <v>890</v>
      </c>
      <c r="K183" s="25">
        <v>0</v>
      </c>
      <c r="L183" s="22" t="s">
        <v>17</v>
      </c>
      <c r="M183" s="23" t="s">
        <v>40</v>
      </c>
    </row>
    <row r="184" spans="1:13" x14ac:dyDescent="0.35">
      <c r="A184" s="22" t="s">
        <v>432</v>
      </c>
      <c r="B184" s="22" t="s">
        <v>1277</v>
      </c>
      <c r="C184" s="22" t="s">
        <v>12</v>
      </c>
      <c r="D184" s="22" t="s">
        <v>43</v>
      </c>
      <c r="E184" s="22" t="s">
        <v>14</v>
      </c>
      <c r="F184" s="22" t="s">
        <v>15</v>
      </c>
      <c r="G184" s="22" t="s">
        <v>21</v>
      </c>
      <c r="H184" s="22">
        <v>45</v>
      </c>
      <c r="I184" s="24">
        <v>41663</v>
      </c>
      <c r="J184" s="27">
        <v>508</v>
      </c>
      <c r="K184" s="25">
        <v>0.34</v>
      </c>
      <c r="L184" s="22" t="s">
        <v>17</v>
      </c>
      <c r="M184" s="23" t="s">
        <v>54</v>
      </c>
    </row>
    <row r="185" spans="1:13" x14ac:dyDescent="0.35">
      <c r="A185" s="22" t="s">
        <v>141</v>
      </c>
      <c r="B185" s="22" t="s">
        <v>1278</v>
      </c>
      <c r="C185" s="22" t="s">
        <v>1111</v>
      </c>
      <c r="D185" s="22" t="s">
        <v>56</v>
      </c>
      <c r="E185" s="22" t="s">
        <v>1102</v>
      </c>
      <c r="F185" s="22" t="s">
        <v>25</v>
      </c>
      <c r="G185" s="22" t="s">
        <v>44</v>
      </c>
      <c r="H185" s="22">
        <v>33</v>
      </c>
      <c r="I185" s="24">
        <v>41531</v>
      </c>
      <c r="J185" s="27">
        <v>896</v>
      </c>
      <c r="K185" s="25">
        <v>0.11</v>
      </c>
      <c r="L185" s="22" t="s">
        <v>45</v>
      </c>
      <c r="M185" s="23" t="s">
        <v>1134</v>
      </c>
    </row>
    <row r="186" spans="1:13" x14ac:dyDescent="0.35">
      <c r="A186" s="22" t="s">
        <v>433</v>
      </c>
      <c r="B186" s="22" t="s">
        <v>1279</v>
      </c>
      <c r="C186" s="22" t="s">
        <v>27</v>
      </c>
      <c r="D186" s="22" t="s">
        <v>28</v>
      </c>
      <c r="E186" s="22" t="s">
        <v>29</v>
      </c>
      <c r="F186" s="22" t="s">
        <v>25</v>
      </c>
      <c r="G186" s="22" t="s">
        <v>44</v>
      </c>
      <c r="H186" s="22">
        <v>62</v>
      </c>
      <c r="I186" s="24">
        <v>34799</v>
      </c>
      <c r="J186" s="27">
        <v>610</v>
      </c>
      <c r="K186" s="25">
        <v>0</v>
      </c>
      <c r="L186" s="22" t="s">
        <v>45</v>
      </c>
      <c r="M186" s="23" t="s">
        <v>46</v>
      </c>
    </row>
    <row r="187" spans="1:13" x14ac:dyDescent="0.35">
      <c r="A187" s="22" t="s">
        <v>434</v>
      </c>
      <c r="B187" s="22" t="s">
        <v>1280</v>
      </c>
      <c r="C187" s="22" t="s">
        <v>12</v>
      </c>
      <c r="D187" s="22" t="s">
        <v>43</v>
      </c>
      <c r="E187" s="22" t="s">
        <v>29</v>
      </c>
      <c r="F187" s="22" t="s">
        <v>15</v>
      </c>
      <c r="G187" s="22" t="s">
        <v>21</v>
      </c>
      <c r="H187" s="22">
        <v>43</v>
      </c>
      <c r="I187" s="24">
        <v>38109</v>
      </c>
      <c r="J187" s="27">
        <v>727</v>
      </c>
      <c r="K187" s="25">
        <v>0.35</v>
      </c>
      <c r="L187" s="22" t="s">
        <v>17</v>
      </c>
      <c r="M187" s="23" t="s">
        <v>22</v>
      </c>
    </row>
    <row r="188" spans="1:13" x14ac:dyDescent="0.35">
      <c r="A188" s="22" t="s">
        <v>435</v>
      </c>
      <c r="B188" s="22" t="s">
        <v>1281</v>
      </c>
      <c r="C188" s="22" t="s">
        <v>38</v>
      </c>
      <c r="D188" s="22" t="s">
        <v>43</v>
      </c>
      <c r="E188" s="22" t="s">
        <v>33</v>
      </c>
      <c r="F188" s="22" t="s">
        <v>25</v>
      </c>
      <c r="G188" s="22" t="s">
        <v>41</v>
      </c>
      <c r="H188" s="22">
        <v>48</v>
      </c>
      <c r="I188" s="24">
        <v>43766</v>
      </c>
      <c r="J188" s="27">
        <v>897</v>
      </c>
      <c r="K188" s="25">
        <v>0</v>
      </c>
      <c r="L188" s="22" t="s">
        <v>17</v>
      </c>
      <c r="M188" s="23" t="s">
        <v>22</v>
      </c>
    </row>
    <row r="189" spans="1:13" x14ac:dyDescent="0.35">
      <c r="A189" s="22" t="s">
        <v>130</v>
      </c>
      <c r="B189" s="22" t="s">
        <v>1282</v>
      </c>
      <c r="C189" s="22" t="s">
        <v>38</v>
      </c>
      <c r="D189" s="22" t="s">
        <v>13</v>
      </c>
      <c r="E189" s="22" t="s">
        <v>29</v>
      </c>
      <c r="F189" s="22" t="s">
        <v>25</v>
      </c>
      <c r="G189" s="22" t="s">
        <v>21</v>
      </c>
      <c r="H189" s="22">
        <v>42</v>
      </c>
      <c r="I189" s="24">
        <v>41387</v>
      </c>
      <c r="J189" s="27">
        <v>709</v>
      </c>
      <c r="K189" s="25">
        <v>0</v>
      </c>
      <c r="L189" s="22" t="s">
        <v>30</v>
      </c>
      <c r="M189" s="23" t="s">
        <v>65</v>
      </c>
    </row>
    <row r="190" spans="1:13" x14ac:dyDescent="0.35">
      <c r="A190" s="22" t="s">
        <v>86</v>
      </c>
      <c r="B190" s="22" t="s">
        <v>1283</v>
      </c>
      <c r="C190" s="22" t="s">
        <v>1111</v>
      </c>
      <c r="D190" s="22" t="s">
        <v>13</v>
      </c>
      <c r="E190" s="22" t="s">
        <v>29</v>
      </c>
      <c r="F190" s="22" t="s">
        <v>25</v>
      </c>
      <c r="G190" s="22" t="s">
        <v>21</v>
      </c>
      <c r="H190" s="22">
        <v>49</v>
      </c>
      <c r="I190" s="24">
        <v>36516</v>
      </c>
      <c r="J190" s="27">
        <v>914</v>
      </c>
      <c r="K190" s="25">
        <v>0.12</v>
      </c>
      <c r="L190" s="22" t="s">
        <v>30</v>
      </c>
      <c r="M190" s="23" t="s">
        <v>31</v>
      </c>
    </row>
    <row r="191" spans="1:13" x14ac:dyDescent="0.35">
      <c r="A191" s="22" t="s">
        <v>281</v>
      </c>
      <c r="B191" s="22" t="s">
        <v>1284</v>
      </c>
      <c r="C191" s="22" t="s">
        <v>42</v>
      </c>
      <c r="D191" s="22" t="s">
        <v>43</v>
      </c>
      <c r="E191" s="22" t="s">
        <v>29</v>
      </c>
      <c r="F191" s="22" t="s">
        <v>25</v>
      </c>
      <c r="G191" s="22" t="s">
        <v>21</v>
      </c>
      <c r="H191" s="22">
        <v>33</v>
      </c>
      <c r="I191" s="24">
        <v>44769</v>
      </c>
      <c r="J191" s="27">
        <v>806</v>
      </c>
      <c r="K191" s="25">
        <v>0</v>
      </c>
      <c r="L191" s="22" t="s">
        <v>30</v>
      </c>
      <c r="M191" s="23" t="s">
        <v>65</v>
      </c>
    </row>
    <row r="192" spans="1:13" x14ac:dyDescent="0.35">
      <c r="A192" s="22" t="s">
        <v>237</v>
      </c>
      <c r="B192" s="22" t="s">
        <v>1285</v>
      </c>
      <c r="C192" s="22" t="s">
        <v>47</v>
      </c>
      <c r="D192" s="22" t="s">
        <v>24</v>
      </c>
      <c r="E192" s="22" t="s">
        <v>14</v>
      </c>
      <c r="F192" s="22" t="s">
        <v>15</v>
      </c>
      <c r="G192" s="22" t="s">
        <v>21</v>
      </c>
      <c r="H192" s="22">
        <v>39</v>
      </c>
      <c r="I192" s="24">
        <v>42260</v>
      </c>
      <c r="J192" s="27">
        <v>530</v>
      </c>
      <c r="K192" s="25">
        <v>0</v>
      </c>
      <c r="L192" s="22" t="s">
        <v>30</v>
      </c>
      <c r="M192" s="23" t="s">
        <v>65</v>
      </c>
    </row>
    <row r="193" spans="1:13" x14ac:dyDescent="0.35">
      <c r="A193" s="22" t="s">
        <v>265</v>
      </c>
      <c r="B193" s="22" t="s">
        <v>1286</v>
      </c>
      <c r="C193" s="22" t="s">
        <v>57</v>
      </c>
      <c r="D193" s="22" t="s">
        <v>13</v>
      </c>
      <c r="E193" s="22" t="s">
        <v>1102</v>
      </c>
      <c r="F193" s="22" t="s">
        <v>15</v>
      </c>
      <c r="G193" s="22" t="s">
        <v>21</v>
      </c>
      <c r="H193" s="22">
        <v>51</v>
      </c>
      <c r="I193" s="24">
        <v>38363</v>
      </c>
      <c r="J193" s="27">
        <v>610</v>
      </c>
      <c r="K193" s="25">
        <v>0</v>
      </c>
      <c r="L193" s="22" t="s">
        <v>17</v>
      </c>
      <c r="M193" s="23" t="s">
        <v>18</v>
      </c>
    </row>
    <row r="194" spans="1:13" x14ac:dyDescent="0.35">
      <c r="A194" s="22" t="s">
        <v>436</v>
      </c>
      <c r="B194" s="22" t="s">
        <v>1287</v>
      </c>
      <c r="C194" s="22" t="s">
        <v>72</v>
      </c>
      <c r="D194" s="22" t="s">
        <v>24</v>
      </c>
      <c r="E194" s="22" t="s">
        <v>1102</v>
      </c>
      <c r="F194" s="22" t="s">
        <v>15</v>
      </c>
      <c r="G194" s="22" t="s">
        <v>16</v>
      </c>
      <c r="H194" s="22">
        <v>49</v>
      </c>
      <c r="I194" s="24">
        <v>44339</v>
      </c>
      <c r="J194" s="27">
        <v>551</v>
      </c>
      <c r="K194" s="25">
        <v>0</v>
      </c>
      <c r="L194" s="22" t="s">
        <v>17</v>
      </c>
      <c r="M194" s="23" t="s">
        <v>54</v>
      </c>
    </row>
    <row r="195" spans="1:13" x14ac:dyDescent="0.35">
      <c r="A195" s="22" t="s">
        <v>437</v>
      </c>
      <c r="B195" s="22" t="s">
        <v>1288</v>
      </c>
      <c r="C195" s="22" t="s">
        <v>38</v>
      </c>
      <c r="D195" s="22" t="s">
        <v>39</v>
      </c>
      <c r="E195" s="22" t="s">
        <v>14</v>
      </c>
      <c r="F195" s="22" t="s">
        <v>25</v>
      </c>
      <c r="G195" s="22" t="s">
        <v>21</v>
      </c>
      <c r="H195" s="22">
        <v>30</v>
      </c>
      <c r="I195" s="24">
        <v>43965</v>
      </c>
      <c r="J195" s="27">
        <v>661</v>
      </c>
      <c r="K195" s="25">
        <v>0</v>
      </c>
      <c r="L195" s="22" t="s">
        <v>30</v>
      </c>
      <c r="M195" s="23" t="s">
        <v>31</v>
      </c>
    </row>
    <row r="196" spans="1:13" x14ac:dyDescent="0.35">
      <c r="A196" s="22" t="s">
        <v>438</v>
      </c>
      <c r="B196" s="22" t="s">
        <v>1289</v>
      </c>
      <c r="C196" s="22" t="s">
        <v>74</v>
      </c>
      <c r="D196" s="22" t="s">
        <v>43</v>
      </c>
      <c r="E196" s="22" t="s">
        <v>33</v>
      </c>
      <c r="F196" s="22" t="s">
        <v>15</v>
      </c>
      <c r="G196" s="22" t="s">
        <v>44</v>
      </c>
      <c r="H196" s="22">
        <v>41</v>
      </c>
      <c r="I196" s="24">
        <v>42321</v>
      </c>
      <c r="J196" s="27">
        <v>516</v>
      </c>
      <c r="K196" s="25">
        <v>0</v>
      </c>
      <c r="L196" s="22" t="s">
        <v>17</v>
      </c>
      <c r="M196" s="23" t="s">
        <v>40</v>
      </c>
    </row>
    <row r="197" spans="1:13" x14ac:dyDescent="0.35">
      <c r="A197" s="22" t="s">
        <v>439</v>
      </c>
      <c r="B197" s="22" t="s">
        <v>1290</v>
      </c>
      <c r="C197" s="22" t="s">
        <v>47</v>
      </c>
      <c r="D197" s="22" t="s">
        <v>24</v>
      </c>
      <c r="E197" s="22" t="s">
        <v>14</v>
      </c>
      <c r="F197" s="22" t="s">
        <v>25</v>
      </c>
      <c r="G197" s="22" t="s">
        <v>41</v>
      </c>
      <c r="H197" s="22">
        <v>58</v>
      </c>
      <c r="I197" s="24">
        <v>40529</v>
      </c>
      <c r="J197" s="27">
        <v>871</v>
      </c>
      <c r="K197" s="25">
        <v>0</v>
      </c>
      <c r="L197" s="22" t="s">
        <v>17</v>
      </c>
      <c r="M197" s="23" t="s">
        <v>26</v>
      </c>
    </row>
    <row r="198" spans="1:13" x14ac:dyDescent="0.35">
      <c r="A198" s="22" t="s">
        <v>440</v>
      </c>
      <c r="B198" s="22" t="s">
        <v>1291</v>
      </c>
      <c r="C198" s="22" t="s">
        <v>77</v>
      </c>
      <c r="D198" s="22" t="s">
        <v>24</v>
      </c>
      <c r="E198" s="22" t="s">
        <v>1102</v>
      </c>
      <c r="F198" s="22" t="s">
        <v>25</v>
      </c>
      <c r="G198" s="22" t="s">
        <v>21</v>
      </c>
      <c r="H198" s="22">
        <v>55</v>
      </c>
      <c r="I198" s="24">
        <v>39809</v>
      </c>
      <c r="J198" s="27">
        <v>532</v>
      </c>
      <c r="K198" s="25">
        <v>0</v>
      </c>
      <c r="L198" s="22" t="s">
        <v>30</v>
      </c>
      <c r="M198" s="23" t="s">
        <v>61</v>
      </c>
    </row>
    <row r="199" spans="1:13" x14ac:dyDescent="0.35">
      <c r="A199" s="22" t="s">
        <v>441</v>
      </c>
      <c r="B199" s="22" t="s">
        <v>1292</v>
      </c>
      <c r="C199" s="22" t="s">
        <v>57</v>
      </c>
      <c r="D199" s="22" t="s">
        <v>39</v>
      </c>
      <c r="E199" s="22" t="s">
        <v>14</v>
      </c>
      <c r="F199" s="22" t="s">
        <v>15</v>
      </c>
      <c r="G199" s="22" t="s">
        <v>21</v>
      </c>
      <c r="H199" s="22">
        <v>40</v>
      </c>
      <c r="I199" s="24">
        <v>42435</v>
      </c>
      <c r="J199" s="27">
        <v>809</v>
      </c>
      <c r="K199" s="25">
        <v>0</v>
      </c>
      <c r="L199" s="22" t="s">
        <v>17</v>
      </c>
      <c r="M199" s="23" t="s">
        <v>18</v>
      </c>
    </row>
    <row r="200" spans="1:13" x14ac:dyDescent="0.35">
      <c r="A200" s="22" t="s">
        <v>442</v>
      </c>
      <c r="B200" s="22" t="s">
        <v>1293</v>
      </c>
      <c r="C200" s="22" t="s">
        <v>53</v>
      </c>
      <c r="D200" s="22" t="s">
        <v>13</v>
      </c>
      <c r="E200" s="22" t="s">
        <v>1102</v>
      </c>
      <c r="F200" s="22" t="s">
        <v>25</v>
      </c>
      <c r="G200" s="22" t="s">
        <v>44</v>
      </c>
      <c r="H200" s="22">
        <v>41</v>
      </c>
      <c r="I200" s="24">
        <v>41647</v>
      </c>
      <c r="J200" s="27">
        <v>882</v>
      </c>
      <c r="K200" s="25">
        <v>0.06</v>
      </c>
      <c r="L200" s="22" t="s">
        <v>17</v>
      </c>
      <c r="M200" s="23" t="s">
        <v>18</v>
      </c>
    </row>
    <row r="201" spans="1:13" x14ac:dyDescent="0.35">
      <c r="A201" s="22" t="s">
        <v>443</v>
      </c>
      <c r="B201" s="22" t="s">
        <v>1294</v>
      </c>
      <c r="C201" s="22" t="s">
        <v>83</v>
      </c>
      <c r="D201" s="22" t="s">
        <v>28</v>
      </c>
      <c r="E201" s="22" t="s">
        <v>14</v>
      </c>
      <c r="F201" s="22" t="s">
        <v>25</v>
      </c>
      <c r="G201" s="22" t="s">
        <v>16</v>
      </c>
      <c r="H201" s="22">
        <v>45</v>
      </c>
      <c r="I201" s="24">
        <v>38573</v>
      </c>
      <c r="J201" s="27">
        <v>939</v>
      </c>
      <c r="K201" s="25">
        <v>0</v>
      </c>
      <c r="L201" s="22" t="s">
        <v>17</v>
      </c>
      <c r="M201" s="23" t="s">
        <v>35</v>
      </c>
    </row>
    <row r="202" spans="1:13" x14ac:dyDescent="0.35">
      <c r="A202" s="22" t="s">
        <v>269</v>
      </c>
      <c r="B202" s="22" t="s">
        <v>1295</v>
      </c>
      <c r="C202" s="22" t="s">
        <v>38</v>
      </c>
      <c r="D202" s="22" t="s">
        <v>56</v>
      </c>
      <c r="E202" s="22" t="s">
        <v>29</v>
      </c>
      <c r="F202" s="22" t="s">
        <v>25</v>
      </c>
      <c r="G202" s="22" t="s">
        <v>44</v>
      </c>
      <c r="H202" s="22">
        <v>57</v>
      </c>
      <c r="I202" s="24">
        <v>40272</v>
      </c>
      <c r="J202" s="27">
        <v>800</v>
      </c>
      <c r="K202" s="25">
        <v>0</v>
      </c>
      <c r="L202" s="22" t="s">
        <v>17</v>
      </c>
      <c r="M202" s="23" t="s">
        <v>22</v>
      </c>
    </row>
    <row r="203" spans="1:13" x14ac:dyDescent="0.35">
      <c r="A203" s="22" t="s">
        <v>444</v>
      </c>
      <c r="B203" s="22" t="s">
        <v>1296</v>
      </c>
      <c r="C203" s="22" t="s">
        <v>36</v>
      </c>
      <c r="D203" s="22" t="s">
        <v>24</v>
      </c>
      <c r="E203" s="22" t="s">
        <v>33</v>
      </c>
      <c r="F203" s="22" t="s">
        <v>15</v>
      </c>
      <c r="G203" s="22" t="s">
        <v>16</v>
      </c>
      <c r="H203" s="22">
        <v>65</v>
      </c>
      <c r="I203" s="24">
        <v>35308</v>
      </c>
      <c r="J203" s="27">
        <v>725</v>
      </c>
      <c r="K203" s="25">
        <v>0.3</v>
      </c>
      <c r="L203" s="22" t="s">
        <v>17</v>
      </c>
      <c r="M203" s="23" t="s">
        <v>26</v>
      </c>
    </row>
    <row r="204" spans="1:13" x14ac:dyDescent="0.35">
      <c r="A204" s="22" t="s">
        <v>445</v>
      </c>
      <c r="B204" s="22" t="s">
        <v>1297</v>
      </c>
      <c r="C204" s="22" t="s">
        <v>77</v>
      </c>
      <c r="D204" s="22" t="s">
        <v>24</v>
      </c>
      <c r="E204" s="22" t="s">
        <v>14</v>
      </c>
      <c r="F204" s="22" t="s">
        <v>15</v>
      </c>
      <c r="G204" s="22" t="s">
        <v>16</v>
      </c>
      <c r="H204" s="22">
        <v>44</v>
      </c>
      <c r="I204" s="24">
        <v>37668</v>
      </c>
      <c r="J204" s="27">
        <v>934</v>
      </c>
      <c r="K204" s="25">
        <v>0</v>
      </c>
      <c r="L204" s="22" t="s">
        <v>17</v>
      </c>
      <c r="M204" s="23" t="s">
        <v>35</v>
      </c>
    </row>
    <row r="205" spans="1:13" x14ac:dyDescent="0.35">
      <c r="A205" s="22" t="s">
        <v>446</v>
      </c>
      <c r="B205" s="22" t="s">
        <v>1298</v>
      </c>
      <c r="C205" s="22" t="s">
        <v>57</v>
      </c>
      <c r="D205" s="22" t="s">
        <v>13</v>
      </c>
      <c r="E205" s="22" t="s">
        <v>1102</v>
      </c>
      <c r="F205" s="22" t="s">
        <v>15</v>
      </c>
      <c r="G205" s="22" t="s">
        <v>44</v>
      </c>
      <c r="H205" s="22">
        <v>52</v>
      </c>
      <c r="I205" s="24">
        <v>41835</v>
      </c>
      <c r="J205" s="27">
        <v>897</v>
      </c>
      <c r="K205" s="25">
        <v>0</v>
      </c>
      <c r="L205" s="22" t="s">
        <v>17</v>
      </c>
      <c r="M205" s="23" t="s">
        <v>40</v>
      </c>
    </row>
    <row r="206" spans="1:13" x14ac:dyDescent="0.35">
      <c r="A206" s="22" t="s">
        <v>138</v>
      </c>
      <c r="B206" s="22" t="s">
        <v>1299</v>
      </c>
      <c r="C206" s="22" t="s">
        <v>57</v>
      </c>
      <c r="D206" s="22" t="s">
        <v>13</v>
      </c>
      <c r="E206" s="22" t="s">
        <v>29</v>
      </c>
      <c r="F206" s="22" t="s">
        <v>25</v>
      </c>
      <c r="G206" s="22" t="s">
        <v>21</v>
      </c>
      <c r="H206" s="22">
        <v>52</v>
      </c>
      <c r="I206" s="24">
        <v>37000</v>
      </c>
      <c r="J206" s="27">
        <v>805</v>
      </c>
      <c r="K206" s="25">
        <v>0</v>
      </c>
      <c r="L206" s="22" t="s">
        <v>17</v>
      </c>
      <c r="M206" s="23" t="s">
        <v>18</v>
      </c>
    </row>
    <row r="207" spans="1:13" x14ac:dyDescent="0.35">
      <c r="A207" s="22" t="s">
        <v>447</v>
      </c>
      <c r="B207" s="22" t="s">
        <v>1300</v>
      </c>
      <c r="C207" s="22" t="s">
        <v>36</v>
      </c>
      <c r="D207" s="22" t="s">
        <v>20</v>
      </c>
      <c r="E207" s="22" t="s">
        <v>1102</v>
      </c>
      <c r="F207" s="22" t="s">
        <v>25</v>
      </c>
      <c r="G207" s="22" t="s">
        <v>44</v>
      </c>
      <c r="H207" s="22">
        <v>53</v>
      </c>
      <c r="I207" s="24">
        <v>37224</v>
      </c>
      <c r="J207" s="27">
        <v>758</v>
      </c>
      <c r="K207" s="25">
        <v>0.16</v>
      </c>
      <c r="L207" s="22" t="s">
        <v>17</v>
      </c>
      <c r="M207" s="23" t="s">
        <v>35</v>
      </c>
    </row>
    <row r="208" spans="1:13" x14ac:dyDescent="0.35">
      <c r="A208" s="22" t="s">
        <v>448</v>
      </c>
      <c r="B208" s="22" t="s">
        <v>1301</v>
      </c>
      <c r="C208" s="22" t="s">
        <v>53</v>
      </c>
      <c r="D208" s="22" t="s">
        <v>39</v>
      </c>
      <c r="E208" s="22" t="s">
        <v>14</v>
      </c>
      <c r="F208" s="22" t="s">
        <v>25</v>
      </c>
      <c r="G208" s="22" t="s">
        <v>21</v>
      </c>
      <c r="H208" s="22">
        <v>31</v>
      </c>
      <c r="I208" s="24">
        <v>44528</v>
      </c>
      <c r="J208" s="27">
        <v>905</v>
      </c>
      <c r="K208" s="25">
        <v>0.06</v>
      </c>
      <c r="L208" s="22" t="s">
        <v>17</v>
      </c>
      <c r="M208" s="23" t="s">
        <v>35</v>
      </c>
    </row>
    <row r="209" spans="1:13" x14ac:dyDescent="0.35">
      <c r="A209" s="22" t="s">
        <v>449</v>
      </c>
      <c r="B209" s="22" t="s">
        <v>1302</v>
      </c>
      <c r="C209" s="22" t="s">
        <v>53</v>
      </c>
      <c r="D209" s="22" t="s">
        <v>13</v>
      </c>
      <c r="E209" s="22" t="s">
        <v>33</v>
      </c>
      <c r="F209" s="22" t="s">
        <v>15</v>
      </c>
      <c r="G209" s="22" t="s">
        <v>44</v>
      </c>
      <c r="H209" s="22">
        <v>63</v>
      </c>
      <c r="I209" s="24">
        <v>42988</v>
      </c>
      <c r="J209" s="27">
        <v>511</v>
      </c>
      <c r="K209" s="25">
        <v>0.05</v>
      </c>
      <c r="L209" s="22" t="s">
        <v>17</v>
      </c>
      <c r="M209" s="23" t="s">
        <v>40</v>
      </c>
    </row>
    <row r="210" spans="1:13" x14ac:dyDescent="0.35">
      <c r="A210" s="22" t="s">
        <v>450</v>
      </c>
      <c r="B210" s="22" t="s">
        <v>1303</v>
      </c>
      <c r="C210" s="22" t="s">
        <v>1111</v>
      </c>
      <c r="D210" s="22" t="s">
        <v>20</v>
      </c>
      <c r="E210" s="22" t="s">
        <v>1102</v>
      </c>
      <c r="F210" s="22" t="s">
        <v>15</v>
      </c>
      <c r="G210" s="22" t="s">
        <v>41</v>
      </c>
      <c r="H210" s="22">
        <v>39</v>
      </c>
      <c r="I210" s="24">
        <v>41292</v>
      </c>
      <c r="J210" s="27">
        <v>963</v>
      </c>
      <c r="K210" s="25">
        <v>0.13</v>
      </c>
      <c r="L210" s="22" t="s">
        <v>17</v>
      </c>
      <c r="M210" s="23" t="s">
        <v>18</v>
      </c>
    </row>
    <row r="211" spans="1:13" x14ac:dyDescent="0.35">
      <c r="A211" s="22" t="s">
        <v>451</v>
      </c>
      <c r="B211" s="22" t="s">
        <v>1304</v>
      </c>
      <c r="C211" s="22" t="s">
        <v>67</v>
      </c>
      <c r="D211" s="22" t="s">
        <v>24</v>
      </c>
      <c r="E211" s="22" t="s">
        <v>1102</v>
      </c>
      <c r="F211" s="22" t="s">
        <v>25</v>
      </c>
      <c r="G211" s="22" t="s">
        <v>16</v>
      </c>
      <c r="H211" s="22">
        <v>63</v>
      </c>
      <c r="I211" s="24">
        <v>36627</v>
      </c>
      <c r="J211" s="27">
        <v>933</v>
      </c>
      <c r="K211" s="25">
        <v>0</v>
      </c>
      <c r="L211" s="22" t="s">
        <v>17</v>
      </c>
      <c r="M211" s="23" t="s">
        <v>54</v>
      </c>
    </row>
    <row r="212" spans="1:13" x14ac:dyDescent="0.35">
      <c r="A212" s="22" t="s">
        <v>452</v>
      </c>
      <c r="B212" s="22" t="s">
        <v>1305</v>
      </c>
      <c r="C212" s="22" t="s">
        <v>34</v>
      </c>
      <c r="D212" s="22" t="s">
        <v>24</v>
      </c>
      <c r="E212" s="22" t="s">
        <v>33</v>
      </c>
      <c r="F212" s="22" t="s">
        <v>25</v>
      </c>
      <c r="G212" s="22" t="s">
        <v>21</v>
      </c>
      <c r="H212" s="22">
        <v>27</v>
      </c>
      <c r="I212" s="24">
        <v>44066</v>
      </c>
      <c r="J212" s="27">
        <v>978</v>
      </c>
      <c r="K212" s="25">
        <v>0</v>
      </c>
      <c r="L212" s="22" t="s">
        <v>30</v>
      </c>
      <c r="M212" s="23" t="s">
        <v>65</v>
      </c>
    </row>
    <row r="213" spans="1:13" x14ac:dyDescent="0.35">
      <c r="A213" s="22" t="s">
        <v>453</v>
      </c>
      <c r="B213" s="22" t="s">
        <v>1306</v>
      </c>
      <c r="C213" s="22" t="s">
        <v>36</v>
      </c>
      <c r="D213" s="22" t="s">
        <v>43</v>
      </c>
      <c r="E213" s="22" t="s">
        <v>29</v>
      </c>
      <c r="F213" s="22" t="s">
        <v>15</v>
      </c>
      <c r="G213" s="22" t="s">
        <v>44</v>
      </c>
      <c r="H213" s="22">
        <v>30</v>
      </c>
      <c r="I213" s="24">
        <v>44883</v>
      </c>
      <c r="J213" s="27">
        <v>516</v>
      </c>
      <c r="K213" s="25">
        <v>0.24</v>
      </c>
      <c r="L213" s="22" t="s">
        <v>45</v>
      </c>
      <c r="M213" s="23" t="s">
        <v>66</v>
      </c>
    </row>
    <row r="214" spans="1:13" x14ac:dyDescent="0.35">
      <c r="A214" s="22" t="s">
        <v>454</v>
      </c>
      <c r="B214" s="22" t="s">
        <v>1307</v>
      </c>
      <c r="C214" s="22" t="s">
        <v>1111</v>
      </c>
      <c r="D214" s="22" t="s">
        <v>43</v>
      </c>
      <c r="E214" s="22" t="s">
        <v>1102</v>
      </c>
      <c r="F214" s="22" t="s">
        <v>15</v>
      </c>
      <c r="G214" s="22" t="s">
        <v>16</v>
      </c>
      <c r="H214" s="22">
        <v>51</v>
      </c>
      <c r="I214" s="24">
        <v>37932</v>
      </c>
      <c r="J214" s="27">
        <v>755</v>
      </c>
      <c r="K214" s="25">
        <v>0.12</v>
      </c>
      <c r="L214" s="22" t="s">
        <v>17</v>
      </c>
      <c r="M214" s="23" t="s">
        <v>54</v>
      </c>
    </row>
    <row r="215" spans="1:13" x14ac:dyDescent="0.35">
      <c r="A215" s="22" t="s">
        <v>455</v>
      </c>
      <c r="B215" s="22" t="s">
        <v>1308</v>
      </c>
      <c r="C215" s="22" t="s">
        <v>23</v>
      </c>
      <c r="D215" s="22" t="s">
        <v>24</v>
      </c>
      <c r="E215" s="22" t="s">
        <v>14</v>
      </c>
      <c r="F215" s="22" t="s">
        <v>25</v>
      </c>
      <c r="G215" s="22" t="s">
        <v>21</v>
      </c>
      <c r="H215" s="22">
        <v>58</v>
      </c>
      <c r="I215" s="24">
        <v>44458</v>
      </c>
      <c r="J215" s="27">
        <v>859</v>
      </c>
      <c r="K215" s="25">
        <v>0</v>
      </c>
      <c r="L215" s="22" t="s">
        <v>30</v>
      </c>
      <c r="M215" s="23" t="s">
        <v>65</v>
      </c>
    </row>
    <row r="216" spans="1:13" x14ac:dyDescent="0.35">
      <c r="A216" s="22" t="s">
        <v>157</v>
      </c>
      <c r="B216" s="22" t="s">
        <v>1309</v>
      </c>
      <c r="C216" s="22" t="s">
        <v>36</v>
      </c>
      <c r="D216" s="22" t="s">
        <v>13</v>
      </c>
      <c r="E216" s="22" t="s">
        <v>29</v>
      </c>
      <c r="F216" s="22" t="s">
        <v>15</v>
      </c>
      <c r="G216" s="22" t="s">
        <v>44</v>
      </c>
      <c r="H216" s="22">
        <v>62</v>
      </c>
      <c r="I216" s="24">
        <v>40754</v>
      </c>
      <c r="J216" s="27">
        <v>599</v>
      </c>
      <c r="K216" s="25">
        <v>0.24</v>
      </c>
      <c r="L216" s="22" t="s">
        <v>45</v>
      </c>
      <c r="M216" s="23" t="s">
        <v>66</v>
      </c>
    </row>
    <row r="217" spans="1:13" x14ac:dyDescent="0.35">
      <c r="A217" s="22" t="s">
        <v>126</v>
      </c>
      <c r="B217" s="22" t="s">
        <v>1310</v>
      </c>
      <c r="C217" s="22" t="s">
        <v>12</v>
      </c>
      <c r="D217" s="22" t="s">
        <v>43</v>
      </c>
      <c r="E217" s="22" t="s">
        <v>33</v>
      </c>
      <c r="F217" s="22" t="s">
        <v>15</v>
      </c>
      <c r="G217" s="22" t="s">
        <v>44</v>
      </c>
      <c r="H217" s="22">
        <v>27</v>
      </c>
      <c r="I217" s="24">
        <v>44539</v>
      </c>
      <c r="J217" s="27">
        <v>575</v>
      </c>
      <c r="K217" s="25">
        <v>0.3</v>
      </c>
      <c r="L217" s="22" t="s">
        <v>45</v>
      </c>
      <c r="M217" s="23" t="s">
        <v>46</v>
      </c>
    </row>
    <row r="218" spans="1:13" x14ac:dyDescent="0.35">
      <c r="A218" s="22" t="s">
        <v>456</v>
      </c>
      <c r="B218" s="22" t="s">
        <v>1311</v>
      </c>
      <c r="C218" s="22" t="s">
        <v>12</v>
      </c>
      <c r="D218" s="22" t="s">
        <v>56</v>
      </c>
      <c r="E218" s="22" t="s">
        <v>29</v>
      </c>
      <c r="F218" s="22" t="s">
        <v>15</v>
      </c>
      <c r="G218" s="22" t="s">
        <v>21</v>
      </c>
      <c r="H218" s="22">
        <v>63</v>
      </c>
      <c r="I218" s="24">
        <v>38211</v>
      </c>
      <c r="J218" s="27">
        <v>517</v>
      </c>
      <c r="K218" s="25">
        <v>0.4</v>
      </c>
      <c r="L218" s="22" t="s">
        <v>30</v>
      </c>
      <c r="M218" s="23" t="s">
        <v>61</v>
      </c>
    </row>
    <row r="219" spans="1:13" x14ac:dyDescent="0.35">
      <c r="A219" s="22" t="s">
        <v>457</v>
      </c>
      <c r="B219" s="22" t="s">
        <v>1312</v>
      </c>
      <c r="C219" s="22" t="s">
        <v>53</v>
      </c>
      <c r="D219" s="22" t="s">
        <v>24</v>
      </c>
      <c r="E219" s="22" t="s">
        <v>14</v>
      </c>
      <c r="F219" s="22" t="s">
        <v>15</v>
      </c>
      <c r="G219" s="22" t="s">
        <v>21</v>
      </c>
      <c r="H219" s="22">
        <v>52</v>
      </c>
      <c r="I219" s="24">
        <v>41345</v>
      </c>
      <c r="J219" s="27">
        <v>927</v>
      </c>
      <c r="K219" s="25">
        <v>0.06</v>
      </c>
      <c r="L219" s="22" t="s">
        <v>30</v>
      </c>
      <c r="M219" s="23" t="s">
        <v>52</v>
      </c>
    </row>
    <row r="220" spans="1:13" x14ac:dyDescent="0.35">
      <c r="A220" s="22" t="s">
        <v>458</v>
      </c>
      <c r="B220" s="22" t="s">
        <v>1313</v>
      </c>
      <c r="C220" s="22" t="s">
        <v>57</v>
      </c>
      <c r="D220" s="22" t="s">
        <v>13</v>
      </c>
      <c r="E220" s="22" t="s">
        <v>33</v>
      </c>
      <c r="F220" s="22" t="s">
        <v>25</v>
      </c>
      <c r="G220" s="22" t="s">
        <v>44</v>
      </c>
      <c r="H220" s="22">
        <v>36</v>
      </c>
      <c r="I220" s="24">
        <v>43747</v>
      </c>
      <c r="J220" s="27">
        <v>723</v>
      </c>
      <c r="K220" s="25">
        <v>0</v>
      </c>
      <c r="L220" s="22" t="s">
        <v>45</v>
      </c>
      <c r="M220" s="23" t="s">
        <v>1134</v>
      </c>
    </row>
    <row r="221" spans="1:13" x14ac:dyDescent="0.35">
      <c r="A221" s="22" t="s">
        <v>276</v>
      </c>
      <c r="B221" s="22" t="s">
        <v>1314</v>
      </c>
      <c r="C221" s="22" t="s">
        <v>51</v>
      </c>
      <c r="D221" s="22" t="s">
        <v>28</v>
      </c>
      <c r="E221" s="22" t="s">
        <v>14</v>
      </c>
      <c r="F221" s="22" t="s">
        <v>15</v>
      </c>
      <c r="G221" s="22" t="s">
        <v>21</v>
      </c>
      <c r="H221" s="22">
        <v>47</v>
      </c>
      <c r="I221" s="24">
        <v>36917</v>
      </c>
      <c r="J221" s="27">
        <v>620</v>
      </c>
      <c r="K221" s="25">
        <v>0</v>
      </c>
      <c r="L221" s="22" t="s">
        <v>17</v>
      </c>
      <c r="M221" s="23" t="s">
        <v>54</v>
      </c>
    </row>
    <row r="222" spans="1:13" x14ac:dyDescent="0.35">
      <c r="A222" s="22" t="s">
        <v>459</v>
      </c>
      <c r="B222" s="22" t="s">
        <v>1315</v>
      </c>
      <c r="C222" s="22" t="s">
        <v>34</v>
      </c>
      <c r="D222" s="22" t="s">
        <v>24</v>
      </c>
      <c r="E222" s="22" t="s">
        <v>1102</v>
      </c>
      <c r="F222" s="22" t="s">
        <v>25</v>
      </c>
      <c r="G222" s="22" t="s">
        <v>16</v>
      </c>
      <c r="H222" s="22">
        <v>27</v>
      </c>
      <c r="I222" s="24">
        <v>44276</v>
      </c>
      <c r="J222" s="27">
        <v>724</v>
      </c>
      <c r="K222" s="25">
        <v>0</v>
      </c>
      <c r="L222" s="22" t="s">
        <v>17</v>
      </c>
      <c r="M222" s="23" t="s">
        <v>35</v>
      </c>
    </row>
    <row r="223" spans="1:13" x14ac:dyDescent="0.35">
      <c r="A223" s="22" t="s">
        <v>460</v>
      </c>
      <c r="B223" s="22" t="s">
        <v>1316</v>
      </c>
      <c r="C223" s="22" t="s">
        <v>48</v>
      </c>
      <c r="D223" s="22" t="s">
        <v>24</v>
      </c>
      <c r="E223" s="22" t="s">
        <v>29</v>
      </c>
      <c r="F223" s="22" t="s">
        <v>15</v>
      </c>
      <c r="G223" s="22" t="s">
        <v>16</v>
      </c>
      <c r="H223" s="22">
        <v>45</v>
      </c>
      <c r="I223" s="24">
        <v>44278</v>
      </c>
      <c r="J223" s="27">
        <v>561</v>
      </c>
      <c r="K223" s="25">
        <v>0.06</v>
      </c>
      <c r="L223" s="22" t="s">
        <v>17</v>
      </c>
      <c r="M223" s="23" t="s">
        <v>22</v>
      </c>
    </row>
    <row r="224" spans="1:13" x14ac:dyDescent="0.35">
      <c r="A224" s="22" t="s">
        <v>461</v>
      </c>
      <c r="B224" s="22" t="s">
        <v>1317</v>
      </c>
      <c r="C224" s="22" t="s">
        <v>38</v>
      </c>
      <c r="D224" s="22" t="s">
        <v>39</v>
      </c>
      <c r="E224" s="22" t="s">
        <v>29</v>
      </c>
      <c r="F224" s="22" t="s">
        <v>25</v>
      </c>
      <c r="G224" s="22" t="s">
        <v>41</v>
      </c>
      <c r="H224" s="22">
        <v>47</v>
      </c>
      <c r="I224" s="24">
        <v>44902</v>
      </c>
      <c r="J224" s="27">
        <v>635</v>
      </c>
      <c r="K224" s="25">
        <v>0</v>
      </c>
      <c r="L224" s="22" t="s">
        <v>17</v>
      </c>
      <c r="M224" s="23" t="s">
        <v>18</v>
      </c>
    </row>
    <row r="225" spans="1:13" x14ac:dyDescent="0.35">
      <c r="A225" s="22" t="s">
        <v>462</v>
      </c>
      <c r="B225" s="22" t="s">
        <v>1318</v>
      </c>
      <c r="C225" s="22" t="s">
        <v>32</v>
      </c>
      <c r="D225" s="22" t="s">
        <v>24</v>
      </c>
      <c r="E225" s="22" t="s">
        <v>1102</v>
      </c>
      <c r="F225" s="22" t="s">
        <v>15</v>
      </c>
      <c r="G225" s="22" t="s">
        <v>16</v>
      </c>
      <c r="H225" s="22">
        <v>26</v>
      </c>
      <c r="I225" s="24">
        <v>43942</v>
      </c>
      <c r="J225" s="27">
        <v>630</v>
      </c>
      <c r="K225" s="25">
        <v>0</v>
      </c>
      <c r="L225" s="22" t="s">
        <v>17</v>
      </c>
      <c r="M225" s="23" t="s">
        <v>54</v>
      </c>
    </row>
    <row r="226" spans="1:13" x14ac:dyDescent="0.35">
      <c r="A226" s="22" t="s">
        <v>463</v>
      </c>
      <c r="B226" s="22" t="s">
        <v>1319</v>
      </c>
      <c r="C226" s="22" t="s">
        <v>55</v>
      </c>
      <c r="D226" s="22" t="s">
        <v>13</v>
      </c>
      <c r="E226" s="22" t="s">
        <v>14</v>
      </c>
      <c r="F226" s="22" t="s">
        <v>25</v>
      </c>
      <c r="G226" s="22" t="s">
        <v>21</v>
      </c>
      <c r="H226" s="22">
        <v>58</v>
      </c>
      <c r="I226" s="24">
        <v>39077</v>
      </c>
      <c r="J226" s="27">
        <v>717</v>
      </c>
      <c r="K226" s="25">
        <v>0</v>
      </c>
      <c r="L226" s="22" t="s">
        <v>30</v>
      </c>
      <c r="M226" s="23" t="s">
        <v>31</v>
      </c>
    </row>
    <row r="227" spans="1:13" x14ac:dyDescent="0.35">
      <c r="A227" s="22" t="s">
        <v>165</v>
      </c>
      <c r="B227" s="22" t="s">
        <v>1320</v>
      </c>
      <c r="C227" s="22" t="s">
        <v>58</v>
      </c>
      <c r="D227" s="22" t="s">
        <v>28</v>
      </c>
      <c r="E227" s="22" t="s">
        <v>29</v>
      </c>
      <c r="F227" s="22" t="s">
        <v>15</v>
      </c>
      <c r="G227" s="22" t="s">
        <v>44</v>
      </c>
      <c r="H227" s="22">
        <v>60</v>
      </c>
      <c r="I227" s="24">
        <v>35898</v>
      </c>
      <c r="J227" s="27">
        <v>627</v>
      </c>
      <c r="K227" s="25">
        <v>0</v>
      </c>
      <c r="L227" s="22" t="s">
        <v>45</v>
      </c>
      <c r="M227" s="23" t="s">
        <v>46</v>
      </c>
    </row>
    <row r="228" spans="1:13" x14ac:dyDescent="0.35">
      <c r="A228" s="22" t="s">
        <v>464</v>
      </c>
      <c r="B228" s="22" t="s">
        <v>1321</v>
      </c>
      <c r="C228" s="22" t="s">
        <v>53</v>
      </c>
      <c r="D228" s="22" t="s">
        <v>13</v>
      </c>
      <c r="E228" s="22" t="s">
        <v>29</v>
      </c>
      <c r="F228" s="22" t="s">
        <v>25</v>
      </c>
      <c r="G228" s="22" t="s">
        <v>21</v>
      </c>
      <c r="H228" s="22">
        <v>45</v>
      </c>
      <c r="I228" s="24">
        <v>40368</v>
      </c>
      <c r="J228" s="27">
        <v>956</v>
      </c>
      <c r="K228" s="25">
        <v>0.09</v>
      </c>
      <c r="L228" s="22" t="s">
        <v>17</v>
      </c>
      <c r="M228" s="23" t="s">
        <v>22</v>
      </c>
    </row>
    <row r="229" spans="1:13" x14ac:dyDescent="0.35">
      <c r="A229" s="22" t="s">
        <v>465</v>
      </c>
      <c r="B229" s="22" t="s">
        <v>1322</v>
      </c>
      <c r="C229" s="22" t="s">
        <v>73</v>
      </c>
      <c r="D229" s="22" t="s">
        <v>24</v>
      </c>
      <c r="E229" s="22" t="s">
        <v>1102</v>
      </c>
      <c r="F229" s="22" t="s">
        <v>15</v>
      </c>
      <c r="G229" s="22" t="s">
        <v>44</v>
      </c>
      <c r="H229" s="22">
        <v>45</v>
      </c>
      <c r="I229" s="24">
        <v>39114</v>
      </c>
      <c r="J229" s="27">
        <v>779</v>
      </c>
      <c r="K229" s="25">
        <v>0</v>
      </c>
      <c r="L229" s="22" t="s">
        <v>17</v>
      </c>
      <c r="M229" s="23" t="s">
        <v>26</v>
      </c>
    </row>
    <row r="230" spans="1:13" x14ac:dyDescent="0.35">
      <c r="A230" s="22" t="s">
        <v>466</v>
      </c>
      <c r="B230" s="22" t="s">
        <v>1323</v>
      </c>
      <c r="C230" s="22" t="s">
        <v>68</v>
      </c>
      <c r="D230" s="22" t="s">
        <v>20</v>
      </c>
      <c r="E230" s="22" t="s">
        <v>33</v>
      </c>
      <c r="F230" s="22" t="s">
        <v>25</v>
      </c>
      <c r="G230" s="22" t="s">
        <v>16</v>
      </c>
      <c r="H230" s="22">
        <v>40</v>
      </c>
      <c r="I230" s="24">
        <v>41951</v>
      </c>
      <c r="J230" s="27">
        <v>932</v>
      </c>
      <c r="K230" s="25">
        <v>0</v>
      </c>
      <c r="L230" s="22" t="s">
        <v>17</v>
      </c>
      <c r="M230" s="23" t="s">
        <v>54</v>
      </c>
    </row>
    <row r="231" spans="1:13" x14ac:dyDescent="0.35">
      <c r="A231" s="22" t="s">
        <v>467</v>
      </c>
      <c r="B231" s="22" t="s">
        <v>1324</v>
      </c>
      <c r="C231" s="22" t="s">
        <v>34</v>
      </c>
      <c r="D231" s="22" t="s">
        <v>24</v>
      </c>
      <c r="E231" s="22" t="s">
        <v>33</v>
      </c>
      <c r="F231" s="22" t="s">
        <v>25</v>
      </c>
      <c r="G231" s="22" t="s">
        <v>16</v>
      </c>
      <c r="H231" s="22">
        <v>27</v>
      </c>
      <c r="I231" s="24">
        <v>44751</v>
      </c>
      <c r="J231" s="27">
        <v>899</v>
      </c>
      <c r="K231" s="25">
        <v>0</v>
      </c>
      <c r="L231" s="22" t="s">
        <v>17</v>
      </c>
      <c r="M231" s="23" t="s">
        <v>22</v>
      </c>
    </row>
    <row r="232" spans="1:13" x14ac:dyDescent="0.35">
      <c r="A232" s="22" t="s">
        <v>468</v>
      </c>
      <c r="B232" s="22" t="s">
        <v>1325</v>
      </c>
      <c r="C232" s="22" t="s">
        <v>38</v>
      </c>
      <c r="D232" s="22" t="s">
        <v>56</v>
      </c>
      <c r="E232" s="22" t="s">
        <v>33</v>
      </c>
      <c r="F232" s="22" t="s">
        <v>25</v>
      </c>
      <c r="G232" s="22" t="s">
        <v>21</v>
      </c>
      <c r="H232" s="22">
        <v>36</v>
      </c>
      <c r="I232" s="24">
        <v>43903</v>
      </c>
      <c r="J232" s="27">
        <v>595</v>
      </c>
      <c r="K232" s="25">
        <v>0</v>
      </c>
      <c r="L232" s="22" t="s">
        <v>30</v>
      </c>
      <c r="M232" s="23" t="s">
        <v>65</v>
      </c>
    </row>
    <row r="233" spans="1:13" x14ac:dyDescent="0.35">
      <c r="A233" s="22" t="s">
        <v>469</v>
      </c>
      <c r="B233" s="22" t="s">
        <v>1326</v>
      </c>
      <c r="C233" s="22" t="s">
        <v>36</v>
      </c>
      <c r="D233" s="22" t="s">
        <v>13</v>
      </c>
      <c r="E233" s="22" t="s">
        <v>29</v>
      </c>
      <c r="F233" s="22" t="s">
        <v>25</v>
      </c>
      <c r="G233" s="22" t="s">
        <v>21</v>
      </c>
      <c r="H233" s="22">
        <v>28</v>
      </c>
      <c r="I233" s="24">
        <v>44846</v>
      </c>
      <c r="J233" s="27">
        <v>939</v>
      </c>
      <c r="K233" s="25">
        <v>0.25</v>
      </c>
      <c r="L233" s="22" t="s">
        <v>30</v>
      </c>
      <c r="M233" s="23" t="s">
        <v>52</v>
      </c>
    </row>
    <row r="234" spans="1:13" x14ac:dyDescent="0.35">
      <c r="A234" s="22" t="s">
        <v>470</v>
      </c>
      <c r="B234" s="22" t="s">
        <v>1327</v>
      </c>
      <c r="C234" s="22" t="s">
        <v>1111</v>
      </c>
      <c r="D234" s="22" t="s">
        <v>39</v>
      </c>
      <c r="E234" s="22" t="s">
        <v>33</v>
      </c>
      <c r="F234" s="22" t="s">
        <v>15</v>
      </c>
      <c r="G234" s="22" t="s">
        <v>41</v>
      </c>
      <c r="H234" s="22">
        <v>57</v>
      </c>
      <c r="I234" s="24">
        <v>44420</v>
      </c>
      <c r="J234" s="27">
        <v>576</v>
      </c>
      <c r="K234" s="25">
        <v>0.11</v>
      </c>
      <c r="L234" s="22" t="s">
        <v>17</v>
      </c>
      <c r="M234" s="23" t="s">
        <v>22</v>
      </c>
    </row>
    <row r="235" spans="1:13" x14ac:dyDescent="0.35">
      <c r="A235" s="22" t="s">
        <v>81</v>
      </c>
      <c r="B235" s="22" t="s">
        <v>1328</v>
      </c>
      <c r="C235" s="22" t="s">
        <v>59</v>
      </c>
      <c r="D235" s="22" t="s">
        <v>24</v>
      </c>
      <c r="E235" s="22" t="s">
        <v>33</v>
      </c>
      <c r="F235" s="22" t="s">
        <v>25</v>
      </c>
      <c r="G235" s="22" t="s">
        <v>41</v>
      </c>
      <c r="H235" s="22">
        <v>57</v>
      </c>
      <c r="I235" s="24">
        <v>44757</v>
      </c>
      <c r="J235" s="27">
        <v>745</v>
      </c>
      <c r="K235" s="25">
        <v>0</v>
      </c>
      <c r="L235" s="22" t="s">
        <v>17</v>
      </c>
      <c r="M235" s="23" t="s">
        <v>54</v>
      </c>
    </row>
    <row r="236" spans="1:13" x14ac:dyDescent="0.35">
      <c r="A236" s="22" t="s">
        <v>471</v>
      </c>
      <c r="B236" s="22" t="s">
        <v>1329</v>
      </c>
      <c r="C236" s="22" t="s">
        <v>34</v>
      </c>
      <c r="D236" s="22" t="s">
        <v>24</v>
      </c>
      <c r="E236" s="22" t="s">
        <v>14</v>
      </c>
      <c r="F236" s="22" t="s">
        <v>25</v>
      </c>
      <c r="G236" s="22" t="s">
        <v>44</v>
      </c>
      <c r="H236" s="22">
        <v>30</v>
      </c>
      <c r="I236" s="24">
        <v>42744</v>
      </c>
      <c r="J236" s="27">
        <v>919</v>
      </c>
      <c r="K236" s="25">
        <v>0</v>
      </c>
      <c r="L236" s="22" t="s">
        <v>45</v>
      </c>
      <c r="M236" s="23" t="s">
        <v>66</v>
      </c>
    </row>
    <row r="237" spans="1:13" x14ac:dyDescent="0.35">
      <c r="A237" s="22" t="s">
        <v>472</v>
      </c>
      <c r="B237" s="22" t="s">
        <v>1330</v>
      </c>
      <c r="C237" s="22" t="s">
        <v>12</v>
      </c>
      <c r="D237" s="22" t="s">
        <v>28</v>
      </c>
      <c r="E237" s="22" t="s">
        <v>1102</v>
      </c>
      <c r="F237" s="22" t="s">
        <v>15</v>
      </c>
      <c r="G237" s="22" t="s">
        <v>16</v>
      </c>
      <c r="H237" s="22">
        <v>26</v>
      </c>
      <c r="I237" s="24">
        <v>44584</v>
      </c>
      <c r="J237" s="27">
        <v>599</v>
      </c>
      <c r="K237" s="25">
        <v>0.39</v>
      </c>
      <c r="L237" s="22" t="s">
        <v>17</v>
      </c>
      <c r="M237" s="23" t="s">
        <v>40</v>
      </c>
    </row>
    <row r="238" spans="1:13" x14ac:dyDescent="0.35">
      <c r="A238" s="22" t="s">
        <v>473</v>
      </c>
      <c r="B238" s="22" t="s">
        <v>1331</v>
      </c>
      <c r="C238" s="22" t="s">
        <v>60</v>
      </c>
      <c r="D238" s="22" t="s">
        <v>24</v>
      </c>
      <c r="E238" s="22" t="s">
        <v>29</v>
      </c>
      <c r="F238" s="22" t="s">
        <v>15</v>
      </c>
      <c r="G238" s="22" t="s">
        <v>44</v>
      </c>
      <c r="H238" s="22">
        <v>53</v>
      </c>
      <c r="I238" s="24">
        <v>41282</v>
      </c>
      <c r="J238" s="27">
        <v>501</v>
      </c>
      <c r="K238" s="25">
        <v>0</v>
      </c>
      <c r="L238" s="22" t="s">
        <v>45</v>
      </c>
      <c r="M238" s="23" t="s">
        <v>66</v>
      </c>
    </row>
    <row r="239" spans="1:13" x14ac:dyDescent="0.35">
      <c r="A239" s="22" t="s">
        <v>474</v>
      </c>
      <c r="B239" s="22" t="s">
        <v>1332</v>
      </c>
      <c r="C239" s="22" t="s">
        <v>42</v>
      </c>
      <c r="D239" s="22" t="s">
        <v>43</v>
      </c>
      <c r="E239" s="22" t="s">
        <v>33</v>
      </c>
      <c r="F239" s="22" t="s">
        <v>25</v>
      </c>
      <c r="G239" s="22" t="s">
        <v>21</v>
      </c>
      <c r="H239" s="22">
        <v>59</v>
      </c>
      <c r="I239" s="24">
        <v>41770</v>
      </c>
      <c r="J239" s="27">
        <v>651</v>
      </c>
      <c r="K239" s="25">
        <v>0</v>
      </c>
      <c r="L239" s="22" t="s">
        <v>30</v>
      </c>
      <c r="M239" s="23" t="s">
        <v>65</v>
      </c>
    </row>
    <row r="240" spans="1:13" x14ac:dyDescent="0.35">
      <c r="A240" s="22" t="s">
        <v>475</v>
      </c>
      <c r="B240" s="22" t="s">
        <v>1333</v>
      </c>
      <c r="C240" s="22" t="s">
        <v>71</v>
      </c>
      <c r="D240" s="22" t="s">
        <v>24</v>
      </c>
      <c r="E240" s="22" t="s">
        <v>1102</v>
      </c>
      <c r="F240" s="22" t="s">
        <v>25</v>
      </c>
      <c r="G240" s="22" t="s">
        <v>21</v>
      </c>
      <c r="H240" s="22">
        <v>56</v>
      </c>
      <c r="I240" s="24">
        <v>37850</v>
      </c>
      <c r="J240" s="27">
        <v>908</v>
      </c>
      <c r="K240" s="25">
        <v>0</v>
      </c>
      <c r="L240" s="22" t="s">
        <v>17</v>
      </c>
      <c r="M240" s="23" t="s">
        <v>54</v>
      </c>
    </row>
    <row r="241" spans="1:13" x14ac:dyDescent="0.35">
      <c r="A241" s="22" t="s">
        <v>476</v>
      </c>
      <c r="B241" s="22" t="s">
        <v>1334</v>
      </c>
      <c r="C241" s="22" t="s">
        <v>53</v>
      </c>
      <c r="D241" s="22" t="s">
        <v>24</v>
      </c>
      <c r="E241" s="22" t="s">
        <v>29</v>
      </c>
      <c r="F241" s="22" t="s">
        <v>25</v>
      </c>
      <c r="G241" s="22" t="s">
        <v>16</v>
      </c>
      <c r="H241" s="22">
        <v>41</v>
      </c>
      <c r="I241" s="24">
        <v>41059</v>
      </c>
      <c r="J241" s="27">
        <v>968</v>
      </c>
      <c r="K241" s="25">
        <v>0.1</v>
      </c>
      <c r="L241" s="22" t="s">
        <v>17</v>
      </c>
      <c r="M241" s="23" t="s">
        <v>18</v>
      </c>
    </row>
    <row r="242" spans="1:13" x14ac:dyDescent="0.35">
      <c r="A242" s="22" t="s">
        <v>477</v>
      </c>
      <c r="B242" s="22" t="s">
        <v>1335</v>
      </c>
      <c r="C242" s="22" t="s">
        <v>53</v>
      </c>
      <c r="D242" s="22" t="s">
        <v>39</v>
      </c>
      <c r="E242" s="22" t="s">
        <v>29</v>
      </c>
      <c r="F242" s="22" t="s">
        <v>15</v>
      </c>
      <c r="G242" s="22" t="s">
        <v>21</v>
      </c>
      <c r="H242" s="22">
        <v>46</v>
      </c>
      <c r="I242" s="24">
        <v>42759</v>
      </c>
      <c r="J242" s="27">
        <v>732</v>
      </c>
      <c r="K242" s="25">
        <v>0.06</v>
      </c>
      <c r="L242" s="22" t="s">
        <v>17</v>
      </c>
      <c r="M242" s="23" t="s">
        <v>40</v>
      </c>
    </row>
    <row r="243" spans="1:13" x14ac:dyDescent="0.35">
      <c r="A243" s="22" t="s">
        <v>478</v>
      </c>
      <c r="B243" s="22" t="s">
        <v>1336</v>
      </c>
      <c r="C243" s="22" t="s">
        <v>73</v>
      </c>
      <c r="D243" s="22" t="s">
        <v>24</v>
      </c>
      <c r="E243" s="22" t="s">
        <v>33</v>
      </c>
      <c r="F243" s="22" t="s">
        <v>25</v>
      </c>
      <c r="G243" s="22" t="s">
        <v>44</v>
      </c>
      <c r="H243" s="22">
        <v>49</v>
      </c>
      <c r="I243" s="24">
        <v>44108</v>
      </c>
      <c r="J243" s="27">
        <v>805</v>
      </c>
      <c r="K243" s="25">
        <v>0</v>
      </c>
      <c r="L243" s="22" t="s">
        <v>17</v>
      </c>
      <c r="M243" s="23" t="s">
        <v>18</v>
      </c>
    </row>
    <row r="244" spans="1:13" x14ac:dyDescent="0.35">
      <c r="A244" s="22" t="s">
        <v>479</v>
      </c>
      <c r="B244" s="22" t="s">
        <v>1337</v>
      </c>
      <c r="C244" s="22" t="s">
        <v>62</v>
      </c>
      <c r="D244" s="22" t="s">
        <v>24</v>
      </c>
      <c r="E244" s="22" t="s">
        <v>1102</v>
      </c>
      <c r="F244" s="22" t="s">
        <v>25</v>
      </c>
      <c r="G244" s="22" t="s">
        <v>16</v>
      </c>
      <c r="H244" s="22">
        <v>42</v>
      </c>
      <c r="I244" s="24">
        <v>44270</v>
      </c>
      <c r="J244" s="27">
        <v>517</v>
      </c>
      <c r="K244" s="25">
        <v>0</v>
      </c>
      <c r="L244" s="22" t="s">
        <v>17</v>
      </c>
      <c r="M244" s="23" t="s">
        <v>22</v>
      </c>
    </row>
    <row r="245" spans="1:13" x14ac:dyDescent="0.35">
      <c r="A245" s="22" t="s">
        <v>480</v>
      </c>
      <c r="B245" s="22" t="s">
        <v>1338</v>
      </c>
      <c r="C245" s="22" t="s">
        <v>12</v>
      </c>
      <c r="D245" s="22" t="s">
        <v>43</v>
      </c>
      <c r="E245" s="22" t="s">
        <v>1102</v>
      </c>
      <c r="F245" s="22" t="s">
        <v>15</v>
      </c>
      <c r="G245" s="22" t="s">
        <v>21</v>
      </c>
      <c r="H245" s="22">
        <v>55</v>
      </c>
      <c r="I245" s="24">
        <v>36222</v>
      </c>
      <c r="J245" s="27">
        <v>941</v>
      </c>
      <c r="K245" s="25">
        <v>0.34</v>
      </c>
      <c r="L245" s="22" t="s">
        <v>17</v>
      </c>
      <c r="M245" s="23" t="s">
        <v>40</v>
      </c>
    </row>
    <row r="246" spans="1:13" x14ac:dyDescent="0.35">
      <c r="A246" s="22" t="s">
        <v>481</v>
      </c>
      <c r="B246" s="22" t="s">
        <v>1339</v>
      </c>
      <c r="C246" s="22" t="s">
        <v>36</v>
      </c>
      <c r="D246" s="22" t="s">
        <v>24</v>
      </c>
      <c r="E246" s="22" t="s">
        <v>14</v>
      </c>
      <c r="F246" s="22" t="s">
        <v>25</v>
      </c>
      <c r="G246" s="22" t="s">
        <v>44</v>
      </c>
      <c r="H246" s="22">
        <v>44</v>
      </c>
      <c r="I246" s="24">
        <v>41874</v>
      </c>
      <c r="J246" s="27">
        <v>611</v>
      </c>
      <c r="K246" s="25">
        <v>0.27</v>
      </c>
      <c r="L246" s="22" t="s">
        <v>17</v>
      </c>
      <c r="M246" s="23" t="s">
        <v>26</v>
      </c>
    </row>
    <row r="247" spans="1:13" x14ac:dyDescent="0.35">
      <c r="A247" s="22" t="s">
        <v>482</v>
      </c>
      <c r="B247" s="22" t="s">
        <v>1340</v>
      </c>
      <c r="C247" s="22" t="s">
        <v>12</v>
      </c>
      <c r="D247" s="22" t="s">
        <v>56</v>
      </c>
      <c r="E247" s="22" t="s">
        <v>33</v>
      </c>
      <c r="F247" s="22" t="s">
        <v>25</v>
      </c>
      <c r="G247" s="22" t="s">
        <v>21</v>
      </c>
      <c r="H247" s="22">
        <v>28</v>
      </c>
      <c r="I247" s="24">
        <v>43410</v>
      </c>
      <c r="J247" s="27">
        <v>591</v>
      </c>
      <c r="K247" s="25">
        <v>0.31</v>
      </c>
      <c r="L247" s="22" t="s">
        <v>17</v>
      </c>
      <c r="M247" s="23" t="s">
        <v>35</v>
      </c>
    </row>
    <row r="248" spans="1:13" x14ac:dyDescent="0.35">
      <c r="A248" s="22" t="s">
        <v>483</v>
      </c>
      <c r="B248" s="22" t="s">
        <v>1341</v>
      </c>
      <c r="C248" s="22" t="s">
        <v>36</v>
      </c>
      <c r="D248" s="22" t="s">
        <v>24</v>
      </c>
      <c r="E248" s="22" t="s">
        <v>33</v>
      </c>
      <c r="F248" s="22" t="s">
        <v>25</v>
      </c>
      <c r="G248" s="22" t="s">
        <v>41</v>
      </c>
      <c r="H248" s="22">
        <v>41</v>
      </c>
      <c r="I248" s="24">
        <v>41537</v>
      </c>
      <c r="J248" s="27">
        <v>591</v>
      </c>
      <c r="K248" s="25">
        <v>0.22</v>
      </c>
      <c r="L248" s="22" t="s">
        <v>17</v>
      </c>
      <c r="M248" s="23" t="s">
        <v>40</v>
      </c>
    </row>
    <row r="249" spans="1:13" x14ac:dyDescent="0.35">
      <c r="A249" s="22" t="s">
        <v>232</v>
      </c>
      <c r="B249" s="22" t="s">
        <v>1342</v>
      </c>
      <c r="C249" s="22" t="s">
        <v>69</v>
      </c>
      <c r="D249" s="22" t="s">
        <v>28</v>
      </c>
      <c r="E249" s="22" t="s">
        <v>33</v>
      </c>
      <c r="F249" s="22" t="s">
        <v>25</v>
      </c>
      <c r="G249" s="22" t="s">
        <v>21</v>
      </c>
      <c r="H249" s="22">
        <v>60</v>
      </c>
      <c r="I249" s="24">
        <v>35321</v>
      </c>
      <c r="J249" s="27">
        <v>630</v>
      </c>
      <c r="K249" s="25">
        <v>0</v>
      </c>
      <c r="L249" s="22" t="s">
        <v>30</v>
      </c>
      <c r="M249" s="23" t="s">
        <v>52</v>
      </c>
    </row>
    <row r="250" spans="1:13" x14ac:dyDescent="0.35">
      <c r="A250" s="22" t="s">
        <v>484</v>
      </c>
      <c r="B250" s="22" t="s">
        <v>1343</v>
      </c>
      <c r="C250" s="22" t="s">
        <v>53</v>
      </c>
      <c r="D250" s="22" t="s">
        <v>43</v>
      </c>
      <c r="E250" s="22" t="s">
        <v>33</v>
      </c>
      <c r="F250" s="22" t="s">
        <v>15</v>
      </c>
      <c r="G250" s="22" t="s">
        <v>21</v>
      </c>
      <c r="H250" s="22">
        <v>54</v>
      </c>
      <c r="I250" s="24">
        <v>40131</v>
      </c>
      <c r="J250" s="27">
        <v>637</v>
      </c>
      <c r="K250" s="25">
        <v>0.06</v>
      </c>
      <c r="L250" s="22" t="s">
        <v>17</v>
      </c>
      <c r="M250" s="23" t="s">
        <v>40</v>
      </c>
    </row>
    <row r="251" spans="1:13" x14ac:dyDescent="0.35">
      <c r="A251" s="22" t="s">
        <v>485</v>
      </c>
      <c r="B251" s="22" t="s">
        <v>1344</v>
      </c>
      <c r="C251" s="22" t="s">
        <v>53</v>
      </c>
      <c r="D251" s="22" t="s">
        <v>24</v>
      </c>
      <c r="E251" s="22" t="s">
        <v>14</v>
      </c>
      <c r="F251" s="22" t="s">
        <v>15</v>
      </c>
      <c r="G251" s="22" t="s">
        <v>44</v>
      </c>
      <c r="H251" s="22">
        <v>34</v>
      </c>
      <c r="I251" s="24">
        <v>42280</v>
      </c>
      <c r="J251" s="27">
        <v>530</v>
      </c>
      <c r="K251" s="25">
        <v>0.1</v>
      </c>
      <c r="L251" s="22" t="s">
        <v>45</v>
      </c>
      <c r="M251" s="23" t="s">
        <v>66</v>
      </c>
    </row>
    <row r="252" spans="1:13" x14ac:dyDescent="0.35">
      <c r="A252" s="22" t="s">
        <v>97</v>
      </c>
      <c r="B252" s="22" t="s">
        <v>1345</v>
      </c>
      <c r="C252" s="22" t="s">
        <v>32</v>
      </c>
      <c r="D252" s="22" t="s">
        <v>24</v>
      </c>
      <c r="E252" s="22" t="s">
        <v>1102</v>
      </c>
      <c r="F252" s="22" t="s">
        <v>15</v>
      </c>
      <c r="G252" s="22" t="s">
        <v>44</v>
      </c>
      <c r="H252" s="22">
        <v>53</v>
      </c>
      <c r="I252" s="24">
        <v>43934</v>
      </c>
      <c r="J252" s="27">
        <v>565</v>
      </c>
      <c r="K252" s="25">
        <v>0</v>
      </c>
      <c r="L252" s="22" t="s">
        <v>45</v>
      </c>
      <c r="M252" s="23" t="s">
        <v>46</v>
      </c>
    </row>
    <row r="253" spans="1:13" x14ac:dyDescent="0.35">
      <c r="A253" s="22" t="s">
        <v>486</v>
      </c>
      <c r="B253" s="22" t="s">
        <v>1346</v>
      </c>
      <c r="C253" s="22" t="s">
        <v>62</v>
      </c>
      <c r="D253" s="22" t="s">
        <v>24</v>
      </c>
      <c r="E253" s="22" t="s">
        <v>29</v>
      </c>
      <c r="F253" s="22" t="s">
        <v>15</v>
      </c>
      <c r="G253" s="22" t="s">
        <v>21</v>
      </c>
      <c r="H253" s="22">
        <v>48</v>
      </c>
      <c r="I253" s="24">
        <v>40805</v>
      </c>
      <c r="J253" s="27">
        <v>503</v>
      </c>
      <c r="K253" s="25">
        <v>0</v>
      </c>
      <c r="L253" s="22" t="s">
        <v>17</v>
      </c>
      <c r="M253" s="23" t="s">
        <v>54</v>
      </c>
    </row>
    <row r="254" spans="1:13" x14ac:dyDescent="0.35">
      <c r="A254" s="22" t="s">
        <v>156</v>
      </c>
      <c r="B254" s="22" t="s">
        <v>1347</v>
      </c>
      <c r="C254" s="22" t="s">
        <v>42</v>
      </c>
      <c r="D254" s="22" t="s">
        <v>43</v>
      </c>
      <c r="E254" s="22" t="s">
        <v>29</v>
      </c>
      <c r="F254" s="22" t="s">
        <v>15</v>
      </c>
      <c r="G254" s="22" t="s">
        <v>44</v>
      </c>
      <c r="H254" s="22">
        <v>43</v>
      </c>
      <c r="I254" s="24">
        <v>42862</v>
      </c>
      <c r="J254" s="27">
        <v>680</v>
      </c>
      <c r="K254" s="25">
        <v>0</v>
      </c>
      <c r="L254" s="22" t="s">
        <v>17</v>
      </c>
      <c r="M254" s="23" t="s">
        <v>26</v>
      </c>
    </row>
    <row r="255" spans="1:13" x14ac:dyDescent="0.35">
      <c r="A255" s="22" t="s">
        <v>487</v>
      </c>
      <c r="B255" s="22" t="s">
        <v>1348</v>
      </c>
      <c r="C255" s="22" t="s">
        <v>50</v>
      </c>
      <c r="D255" s="22" t="s">
        <v>28</v>
      </c>
      <c r="E255" s="22" t="s">
        <v>14</v>
      </c>
      <c r="F255" s="22" t="s">
        <v>15</v>
      </c>
      <c r="G255" s="22" t="s">
        <v>21</v>
      </c>
      <c r="H255" s="22">
        <v>60</v>
      </c>
      <c r="I255" s="24">
        <v>35719</v>
      </c>
      <c r="J255" s="27">
        <v>805</v>
      </c>
      <c r="K255" s="25">
        <v>0</v>
      </c>
      <c r="L255" s="22" t="s">
        <v>30</v>
      </c>
      <c r="M255" s="23" t="s">
        <v>65</v>
      </c>
    </row>
    <row r="256" spans="1:13" x14ac:dyDescent="0.35">
      <c r="A256" s="22" t="s">
        <v>488</v>
      </c>
      <c r="B256" s="22" t="s">
        <v>1349</v>
      </c>
      <c r="C256" s="22" t="s">
        <v>12</v>
      </c>
      <c r="D256" s="22" t="s">
        <v>43</v>
      </c>
      <c r="E256" s="22" t="s">
        <v>1102</v>
      </c>
      <c r="F256" s="22" t="s">
        <v>15</v>
      </c>
      <c r="G256" s="22" t="s">
        <v>41</v>
      </c>
      <c r="H256" s="22">
        <v>42</v>
      </c>
      <c r="I256" s="24">
        <v>43508</v>
      </c>
      <c r="J256" s="27">
        <v>833</v>
      </c>
      <c r="K256" s="25">
        <v>0.36</v>
      </c>
      <c r="L256" s="22" t="s">
        <v>17</v>
      </c>
      <c r="M256" s="23" t="s">
        <v>22</v>
      </c>
    </row>
    <row r="257" spans="1:13" x14ac:dyDescent="0.35">
      <c r="A257" s="22" t="s">
        <v>489</v>
      </c>
      <c r="B257" s="22" t="s">
        <v>1350</v>
      </c>
      <c r="C257" s="22" t="s">
        <v>34</v>
      </c>
      <c r="D257" s="22" t="s">
        <v>24</v>
      </c>
      <c r="E257" s="22" t="s">
        <v>33</v>
      </c>
      <c r="F257" s="22" t="s">
        <v>25</v>
      </c>
      <c r="G257" s="22" t="s">
        <v>44</v>
      </c>
      <c r="H257" s="22">
        <v>52</v>
      </c>
      <c r="I257" s="24">
        <v>39569</v>
      </c>
      <c r="J257" s="27">
        <v>583</v>
      </c>
      <c r="K257" s="25">
        <v>0</v>
      </c>
      <c r="L257" s="22" t="s">
        <v>17</v>
      </c>
      <c r="M257" s="23" t="s">
        <v>40</v>
      </c>
    </row>
    <row r="258" spans="1:13" x14ac:dyDescent="0.35">
      <c r="A258" s="22" t="s">
        <v>110</v>
      </c>
      <c r="B258" s="22" t="s">
        <v>1351</v>
      </c>
      <c r="C258" s="22" t="s">
        <v>76</v>
      </c>
      <c r="D258" s="22" t="s">
        <v>28</v>
      </c>
      <c r="E258" s="22" t="s">
        <v>1102</v>
      </c>
      <c r="F258" s="22" t="s">
        <v>25</v>
      </c>
      <c r="G258" s="22" t="s">
        <v>16</v>
      </c>
      <c r="H258" s="22">
        <v>50</v>
      </c>
      <c r="I258" s="24">
        <v>36212</v>
      </c>
      <c r="J258" s="27">
        <v>612</v>
      </c>
      <c r="K258" s="25">
        <v>0.11</v>
      </c>
      <c r="L258" s="22" t="s">
        <v>17</v>
      </c>
      <c r="M258" s="23" t="s">
        <v>18</v>
      </c>
    </row>
    <row r="259" spans="1:13" x14ac:dyDescent="0.35">
      <c r="A259" s="22" t="s">
        <v>256</v>
      </c>
      <c r="B259" s="22" t="s">
        <v>1352</v>
      </c>
      <c r="C259" s="22" t="s">
        <v>73</v>
      </c>
      <c r="D259" s="22" t="s">
        <v>24</v>
      </c>
      <c r="E259" s="22" t="s">
        <v>33</v>
      </c>
      <c r="F259" s="22" t="s">
        <v>15</v>
      </c>
      <c r="G259" s="22" t="s">
        <v>44</v>
      </c>
      <c r="H259" s="22">
        <v>37</v>
      </c>
      <c r="I259" s="24">
        <v>39873</v>
      </c>
      <c r="J259" s="27">
        <v>865</v>
      </c>
      <c r="K259" s="25">
        <v>0</v>
      </c>
      <c r="L259" s="22" t="s">
        <v>17</v>
      </c>
      <c r="M259" s="23" t="s">
        <v>18</v>
      </c>
    </row>
    <row r="260" spans="1:13" x14ac:dyDescent="0.35">
      <c r="A260" s="22" t="s">
        <v>490</v>
      </c>
      <c r="B260" s="22" t="s">
        <v>1353</v>
      </c>
      <c r="C260" s="22" t="s">
        <v>42</v>
      </c>
      <c r="D260" s="22" t="s">
        <v>43</v>
      </c>
      <c r="E260" s="22" t="s">
        <v>33</v>
      </c>
      <c r="F260" s="22" t="s">
        <v>25</v>
      </c>
      <c r="G260" s="22" t="s">
        <v>21</v>
      </c>
      <c r="H260" s="22">
        <v>58</v>
      </c>
      <c r="I260" s="24">
        <v>41940</v>
      </c>
      <c r="J260" s="27">
        <v>609</v>
      </c>
      <c r="K260" s="25">
        <v>0</v>
      </c>
      <c r="L260" s="22" t="s">
        <v>30</v>
      </c>
      <c r="M260" s="23" t="s">
        <v>31</v>
      </c>
    </row>
    <row r="261" spans="1:13" x14ac:dyDescent="0.35">
      <c r="A261" s="22" t="s">
        <v>491</v>
      </c>
      <c r="B261" s="22" t="s">
        <v>1354</v>
      </c>
      <c r="C261" s="22" t="s">
        <v>1111</v>
      </c>
      <c r="D261" s="22" t="s">
        <v>39</v>
      </c>
      <c r="E261" s="22" t="s">
        <v>29</v>
      </c>
      <c r="F261" s="22" t="s">
        <v>15</v>
      </c>
      <c r="G261" s="22" t="s">
        <v>44</v>
      </c>
      <c r="H261" s="22">
        <v>39</v>
      </c>
      <c r="I261" s="24">
        <v>42901</v>
      </c>
      <c r="J261" s="27">
        <v>594</v>
      </c>
      <c r="K261" s="25">
        <v>0.14000000000000001</v>
      </c>
      <c r="L261" s="22" t="s">
        <v>45</v>
      </c>
      <c r="M261" s="23" t="s">
        <v>66</v>
      </c>
    </row>
    <row r="262" spans="1:13" x14ac:dyDescent="0.35">
      <c r="A262" s="22" t="s">
        <v>492</v>
      </c>
      <c r="B262" s="22" t="s">
        <v>1355</v>
      </c>
      <c r="C262" s="22" t="s">
        <v>12</v>
      </c>
      <c r="D262" s="22" t="s">
        <v>56</v>
      </c>
      <c r="E262" s="22" t="s">
        <v>29</v>
      </c>
      <c r="F262" s="22" t="s">
        <v>25</v>
      </c>
      <c r="G262" s="22" t="s">
        <v>21</v>
      </c>
      <c r="H262" s="22">
        <v>50</v>
      </c>
      <c r="I262" s="24">
        <v>35170</v>
      </c>
      <c r="J262" s="27">
        <v>734</v>
      </c>
      <c r="K262" s="25">
        <v>0.36</v>
      </c>
      <c r="L262" s="22" t="s">
        <v>17</v>
      </c>
      <c r="M262" s="23" t="s">
        <v>26</v>
      </c>
    </row>
    <row r="263" spans="1:13" x14ac:dyDescent="0.35">
      <c r="A263" s="22" t="s">
        <v>493</v>
      </c>
      <c r="B263" s="22" t="s">
        <v>1112</v>
      </c>
      <c r="C263" s="22" t="s">
        <v>55</v>
      </c>
      <c r="D263" s="22" t="s">
        <v>39</v>
      </c>
      <c r="E263" s="22" t="s">
        <v>14</v>
      </c>
      <c r="F263" s="22" t="s">
        <v>15</v>
      </c>
      <c r="G263" s="22" t="s">
        <v>21</v>
      </c>
      <c r="H263" s="22">
        <v>51</v>
      </c>
      <c r="I263" s="24">
        <v>39147</v>
      </c>
      <c r="J263" s="27">
        <v>635</v>
      </c>
      <c r="K263" s="25">
        <v>0</v>
      </c>
      <c r="L263" s="22" t="s">
        <v>30</v>
      </c>
      <c r="M263" s="23" t="s">
        <v>52</v>
      </c>
    </row>
    <row r="264" spans="1:13" x14ac:dyDescent="0.35">
      <c r="A264" s="22" t="s">
        <v>494</v>
      </c>
      <c r="B264" s="22" t="s">
        <v>1356</v>
      </c>
      <c r="C264" s="22" t="s">
        <v>38</v>
      </c>
      <c r="D264" s="22" t="s">
        <v>39</v>
      </c>
      <c r="E264" s="22" t="s">
        <v>1102</v>
      </c>
      <c r="F264" s="22" t="s">
        <v>25</v>
      </c>
      <c r="G264" s="22" t="s">
        <v>21</v>
      </c>
      <c r="H264" s="22">
        <v>31</v>
      </c>
      <c r="I264" s="24">
        <v>42015</v>
      </c>
      <c r="J264" s="27">
        <v>686</v>
      </c>
      <c r="K264" s="25">
        <v>0</v>
      </c>
      <c r="L264" s="22" t="s">
        <v>30</v>
      </c>
      <c r="M264" s="23" t="s">
        <v>52</v>
      </c>
    </row>
    <row r="265" spans="1:13" x14ac:dyDescent="0.35">
      <c r="A265" s="22" t="s">
        <v>495</v>
      </c>
      <c r="B265" s="22" t="s">
        <v>1357</v>
      </c>
      <c r="C265" s="22" t="s">
        <v>36</v>
      </c>
      <c r="D265" s="22" t="s">
        <v>24</v>
      </c>
      <c r="E265" s="22" t="s">
        <v>14</v>
      </c>
      <c r="F265" s="22" t="s">
        <v>15</v>
      </c>
      <c r="G265" s="22" t="s">
        <v>44</v>
      </c>
      <c r="H265" s="22">
        <v>52</v>
      </c>
      <c r="I265" s="24">
        <v>36381</v>
      </c>
      <c r="J265" s="27">
        <v>818</v>
      </c>
      <c r="K265" s="25">
        <v>0.27</v>
      </c>
      <c r="L265" s="22" t="s">
        <v>45</v>
      </c>
      <c r="M265" s="23" t="s">
        <v>46</v>
      </c>
    </row>
    <row r="266" spans="1:13" x14ac:dyDescent="0.35">
      <c r="A266" s="22" t="s">
        <v>496</v>
      </c>
      <c r="B266" s="22" t="s">
        <v>1358</v>
      </c>
      <c r="C266" s="22" t="s">
        <v>72</v>
      </c>
      <c r="D266" s="22" t="s">
        <v>24</v>
      </c>
      <c r="E266" s="22" t="s">
        <v>14</v>
      </c>
      <c r="F266" s="22" t="s">
        <v>15</v>
      </c>
      <c r="G266" s="22" t="s">
        <v>16</v>
      </c>
      <c r="H266" s="22">
        <v>63</v>
      </c>
      <c r="I266" s="24">
        <v>40532</v>
      </c>
      <c r="J266" s="27">
        <v>563</v>
      </c>
      <c r="K266" s="25">
        <v>0</v>
      </c>
      <c r="L266" s="22" t="s">
        <v>17</v>
      </c>
      <c r="M266" s="23" t="s">
        <v>54</v>
      </c>
    </row>
    <row r="267" spans="1:13" x14ac:dyDescent="0.35">
      <c r="A267" s="22" t="s">
        <v>497</v>
      </c>
      <c r="B267" s="22" t="s">
        <v>1359</v>
      </c>
      <c r="C267" s="22" t="s">
        <v>1111</v>
      </c>
      <c r="D267" s="22" t="s">
        <v>56</v>
      </c>
      <c r="E267" s="22" t="s">
        <v>14</v>
      </c>
      <c r="F267" s="22" t="s">
        <v>25</v>
      </c>
      <c r="G267" s="22" t="s">
        <v>41</v>
      </c>
      <c r="H267" s="22">
        <v>28</v>
      </c>
      <c r="I267" s="24">
        <v>44914</v>
      </c>
      <c r="J267" s="27">
        <v>549</v>
      </c>
      <c r="K267" s="25">
        <v>0.1</v>
      </c>
      <c r="L267" s="22" t="s">
        <v>17</v>
      </c>
      <c r="M267" s="23" t="s">
        <v>54</v>
      </c>
    </row>
    <row r="268" spans="1:13" x14ac:dyDescent="0.35">
      <c r="A268" s="22" t="s">
        <v>498</v>
      </c>
      <c r="B268" s="22" t="s">
        <v>1360</v>
      </c>
      <c r="C268" s="22" t="s">
        <v>12</v>
      </c>
      <c r="D268" s="22" t="s">
        <v>13</v>
      </c>
      <c r="E268" s="22" t="s">
        <v>14</v>
      </c>
      <c r="F268" s="22" t="s">
        <v>15</v>
      </c>
      <c r="G268" s="22" t="s">
        <v>44</v>
      </c>
      <c r="H268" s="22">
        <v>39</v>
      </c>
      <c r="I268" s="24">
        <v>41106</v>
      </c>
      <c r="J268" s="27">
        <v>780</v>
      </c>
      <c r="K268" s="25">
        <v>0.35</v>
      </c>
      <c r="L268" s="22" t="s">
        <v>45</v>
      </c>
      <c r="M268" s="23" t="s">
        <v>46</v>
      </c>
    </row>
    <row r="269" spans="1:13" x14ac:dyDescent="0.35">
      <c r="A269" s="22" t="s">
        <v>499</v>
      </c>
      <c r="B269" s="22" t="s">
        <v>1361</v>
      </c>
      <c r="C269" s="22" t="s">
        <v>36</v>
      </c>
      <c r="D269" s="22" t="s">
        <v>13</v>
      </c>
      <c r="E269" s="22" t="s">
        <v>1102</v>
      </c>
      <c r="F269" s="22" t="s">
        <v>15</v>
      </c>
      <c r="G269" s="22" t="s">
        <v>44</v>
      </c>
      <c r="H269" s="22">
        <v>36</v>
      </c>
      <c r="I269" s="24">
        <v>41538</v>
      </c>
      <c r="J269" s="27">
        <v>913</v>
      </c>
      <c r="K269" s="25">
        <v>0.15</v>
      </c>
      <c r="L269" s="22" t="s">
        <v>17</v>
      </c>
      <c r="M269" s="23" t="s">
        <v>26</v>
      </c>
    </row>
    <row r="270" spans="1:13" x14ac:dyDescent="0.35">
      <c r="A270" s="22" t="s">
        <v>500</v>
      </c>
      <c r="B270" s="22" t="s">
        <v>1362</v>
      </c>
      <c r="C270" s="22" t="s">
        <v>1111</v>
      </c>
      <c r="D270" s="22" t="s">
        <v>56</v>
      </c>
      <c r="E270" s="22" t="s">
        <v>1102</v>
      </c>
      <c r="F270" s="22" t="s">
        <v>15</v>
      </c>
      <c r="G270" s="22" t="s">
        <v>44</v>
      </c>
      <c r="H270" s="22">
        <v>63</v>
      </c>
      <c r="I270" s="24">
        <v>36161</v>
      </c>
      <c r="J270" s="27">
        <v>771</v>
      </c>
      <c r="K270" s="25">
        <v>0.14000000000000001</v>
      </c>
      <c r="L270" s="22" t="s">
        <v>17</v>
      </c>
      <c r="M270" s="23" t="s">
        <v>54</v>
      </c>
    </row>
    <row r="271" spans="1:13" x14ac:dyDescent="0.35">
      <c r="A271" s="22" t="s">
        <v>501</v>
      </c>
      <c r="B271" s="22" t="s">
        <v>1363</v>
      </c>
      <c r="C271" s="22" t="s">
        <v>36</v>
      </c>
      <c r="D271" s="22" t="s">
        <v>39</v>
      </c>
      <c r="E271" s="22" t="s">
        <v>29</v>
      </c>
      <c r="F271" s="22" t="s">
        <v>15</v>
      </c>
      <c r="G271" s="22" t="s">
        <v>21</v>
      </c>
      <c r="H271" s="22">
        <v>47</v>
      </c>
      <c r="I271" s="24">
        <v>41936</v>
      </c>
      <c r="J271" s="27">
        <v>536</v>
      </c>
      <c r="K271" s="25">
        <v>0.21</v>
      </c>
      <c r="L271" s="22" t="s">
        <v>17</v>
      </c>
      <c r="M271" s="23" t="s">
        <v>35</v>
      </c>
    </row>
    <row r="272" spans="1:13" x14ac:dyDescent="0.35">
      <c r="A272" s="22" t="s">
        <v>502</v>
      </c>
      <c r="B272" s="22" t="s">
        <v>1364</v>
      </c>
      <c r="C272" s="22" t="s">
        <v>12</v>
      </c>
      <c r="D272" s="22" t="s">
        <v>56</v>
      </c>
      <c r="E272" s="22" t="s">
        <v>14</v>
      </c>
      <c r="F272" s="22" t="s">
        <v>15</v>
      </c>
      <c r="G272" s="22" t="s">
        <v>21</v>
      </c>
      <c r="H272" s="22">
        <v>43</v>
      </c>
      <c r="I272" s="24">
        <v>38305</v>
      </c>
      <c r="J272" s="27">
        <v>625</v>
      </c>
      <c r="K272" s="25">
        <v>0.37</v>
      </c>
      <c r="L272" s="22" t="s">
        <v>17</v>
      </c>
      <c r="M272" s="23" t="s">
        <v>18</v>
      </c>
    </row>
    <row r="273" spans="1:13" x14ac:dyDescent="0.35">
      <c r="A273" s="22" t="s">
        <v>503</v>
      </c>
      <c r="B273" s="22" t="s">
        <v>1365</v>
      </c>
      <c r="C273" s="22" t="s">
        <v>53</v>
      </c>
      <c r="D273" s="22" t="s">
        <v>20</v>
      </c>
      <c r="E273" s="22" t="s">
        <v>1102</v>
      </c>
      <c r="F273" s="22" t="s">
        <v>15</v>
      </c>
      <c r="G273" s="22" t="s">
        <v>21</v>
      </c>
      <c r="H273" s="22">
        <v>39</v>
      </c>
      <c r="I273" s="24">
        <v>43370</v>
      </c>
      <c r="J273" s="27">
        <v>917</v>
      </c>
      <c r="K273" s="25">
        <v>7.0000000000000007E-2</v>
      </c>
      <c r="L273" s="22" t="s">
        <v>30</v>
      </c>
      <c r="M273" s="23" t="s">
        <v>31</v>
      </c>
    </row>
    <row r="274" spans="1:13" x14ac:dyDescent="0.35">
      <c r="A274" s="22" t="s">
        <v>37</v>
      </c>
      <c r="B274" s="22" t="s">
        <v>1366</v>
      </c>
      <c r="C274" s="22" t="s">
        <v>51</v>
      </c>
      <c r="D274" s="22" t="s">
        <v>28</v>
      </c>
      <c r="E274" s="22" t="s">
        <v>29</v>
      </c>
      <c r="F274" s="22" t="s">
        <v>25</v>
      </c>
      <c r="G274" s="22" t="s">
        <v>21</v>
      </c>
      <c r="H274" s="22">
        <v>55</v>
      </c>
      <c r="I274" s="24">
        <v>42134</v>
      </c>
      <c r="J274" s="27">
        <v>904</v>
      </c>
      <c r="K274" s="25">
        <v>0</v>
      </c>
      <c r="L274" s="22" t="s">
        <v>30</v>
      </c>
      <c r="M274" s="23" t="s">
        <v>65</v>
      </c>
    </row>
    <row r="275" spans="1:13" x14ac:dyDescent="0.35">
      <c r="A275" s="22" t="s">
        <v>504</v>
      </c>
      <c r="B275" s="22" t="s">
        <v>1367</v>
      </c>
      <c r="C275" s="22" t="s">
        <v>1111</v>
      </c>
      <c r="D275" s="22" t="s">
        <v>43</v>
      </c>
      <c r="E275" s="22" t="s">
        <v>29</v>
      </c>
      <c r="F275" s="22" t="s">
        <v>15</v>
      </c>
      <c r="G275" s="22" t="s">
        <v>21</v>
      </c>
      <c r="H275" s="22">
        <v>32</v>
      </c>
      <c r="I275" s="24">
        <v>44754</v>
      </c>
      <c r="J275" s="27">
        <v>500</v>
      </c>
      <c r="K275" s="25">
        <v>0.15</v>
      </c>
      <c r="L275" s="22" t="s">
        <v>17</v>
      </c>
      <c r="M275" s="23" t="s">
        <v>40</v>
      </c>
    </row>
    <row r="276" spans="1:13" x14ac:dyDescent="0.35">
      <c r="A276" s="22" t="s">
        <v>250</v>
      </c>
      <c r="B276" s="22" t="s">
        <v>1368</v>
      </c>
      <c r="C276" s="22" t="s">
        <v>12</v>
      </c>
      <c r="D276" s="22" t="s">
        <v>56</v>
      </c>
      <c r="E276" s="22" t="s">
        <v>33</v>
      </c>
      <c r="F276" s="22" t="s">
        <v>15</v>
      </c>
      <c r="G276" s="22" t="s">
        <v>21</v>
      </c>
      <c r="H276" s="22">
        <v>53</v>
      </c>
      <c r="I276" s="24">
        <v>38600</v>
      </c>
      <c r="J276" s="27">
        <v>976</v>
      </c>
      <c r="K276" s="25">
        <v>0.33</v>
      </c>
      <c r="L276" s="22" t="s">
        <v>30</v>
      </c>
      <c r="M276" s="23" t="s">
        <v>31</v>
      </c>
    </row>
    <row r="277" spans="1:13" x14ac:dyDescent="0.35">
      <c r="A277" s="22" t="s">
        <v>505</v>
      </c>
      <c r="B277" s="22" t="s">
        <v>1369</v>
      </c>
      <c r="C277" s="22" t="s">
        <v>38</v>
      </c>
      <c r="D277" s="22" t="s">
        <v>13</v>
      </c>
      <c r="E277" s="22" t="s">
        <v>33</v>
      </c>
      <c r="F277" s="22" t="s">
        <v>25</v>
      </c>
      <c r="G277" s="22" t="s">
        <v>21</v>
      </c>
      <c r="H277" s="22">
        <v>59</v>
      </c>
      <c r="I277" s="24">
        <v>39463</v>
      </c>
      <c r="J277" s="27">
        <v>804</v>
      </c>
      <c r="K277" s="25">
        <v>0</v>
      </c>
      <c r="L277" s="22" t="s">
        <v>30</v>
      </c>
      <c r="M277" s="23" t="s">
        <v>65</v>
      </c>
    </row>
    <row r="278" spans="1:13" x14ac:dyDescent="0.35">
      <c r="A278" s="22" t="s">
        <v>506</v>
      </c>
      <c r="B278" s="22" t="s">
        <v>1370</v>
      </c>
      <c r="C278" s="22" t="s">
        <v>36</v>
      </c>
      <c r="D278" s="22" t="s">
        <v>20</v>
      </c>
      <c r="E278" s="22" t="s">
        <v>29</v>
      </c>
      <c r="F278" s="22" t="s">
        <v>15</v>
      </c>
      <c r="G278" s="22" t="s">
        <v>21</v>
      </c>
      <c r="H278" s="22">
        <v>26</v>
      </c>
      <c r="I278" s="24">
        <v>44672</v>
      </c>
      <c r="J278" s="27">
        <v>712</v>
      </c>
      <c r="K278" s="25">
        <v>0.22</v>
      </c>
      <c r="L278" s="22" t="s">
        <v>17</v>
      </c>
      <c r="M278" s="23" t="s">
        <v>18</v>
      </c>
    </row>
    <row r="279" spans="1:13" x14ac:dyDescent="0.35">
      <c r="A279" s="22" t="s">
        <v>507</v>
      </c>
      <c r="B279" s="22" t="s">
        <v>1371</v>
      </c>
      <c r="C279" s="22" t="s">
        <v>68</v>
      </c>
      <c r="D279" s="22" t="s">
        <v>20</v>
      </c>
      <c r="E279" s="22" t="s">
        <v>29</v>
      </c>
      <c r="F279" s="22" t="s">
        <v>25</v>
      </c>
      <c r="G279" s="22" t="s">
        <v>21</v>
      </c>
      <c r="H279" s="22">
        <v>55</v>
      </c>
      <c r="I279" s="24">
        <v>37120</v>
      </c>
      <c r="J279" s="27">
        <v>825</v>
      </c>
      <c r="K279" s="25">
        <v>0</v>
      </c>
      <c r="L279" s="22" t="s">
        <v>17</v>
      </c>
      <c r="M279" s="23" t="s">
        <v>54</v>
      </c>
    </row>
    <row r="280" spans="1:13" x14ac:dyDescent="0.35">
      <c r="A280" s="22" t="s">
        <v>508</v>
      </c>
      <c r="B280" s="22" t="s">
        <v>1372</v>
      </c>
      <c r="C280" s="22" t="s">
        <v>53</v>
      </c>
      <c r="D280" s="22" t="s">
        <v>56</v>
      </c>
      <c r="E280" s="22" t="s">
        <v>1102</v>
      </c>
      <c r="F280" s="22" t="s">
        <v>25</v>
      </c>
      <c r="G280" s="22" t="s">
        <v>21</v>
      </c>
      <c r="H280" s="22">
        <v>34</v>
      </c>
      <c r="I280" s="24">
        <v>41472</v>
      </c>
      <c r="J280" s="27">
        <v>868</v>
      </c>
      <c r="K280" s="25">
        <v>0.1</v>
      </c>
      <c r="L280" s="22" t="s">
        <v>30</v>
      </c>
      <c r="M280" s="23" t="s">
        <v>31</v>
      </c>
    </row>
    <row r="281" spans="1:13" x14ac:dyDescent="0.35">
      <c r="A281" s="22" t="s">
        <v>509</v>
      </c>
      <c r="B281" s="22" t="s">
        <v>1373</v>
      </c>
      <c r="C281" s="22" t="s">
        <v>53</v>
      </c>
      <c r="D281" s="22" t="s">
        <v>39</v>
      </c>
      <c r="E281" s="22" t="s">
        <v>29</v>
      </c>
      <c r="F281" s="22" t="s">
        <v>25</v>
      </c>
      <c r="G281" s="22" t="s">
        <v>16</v>
      </c>
      <c r="H281" s="22">
        <v>45</v>
      </c>
      <c r="I281" s="24">
        <v>41004</v>
      </c>
      <c r="J281" s="27">
        <v>704</v>
      </c>
      <c r="K281" s="25">
        <v>0.09</v>
      </c>
      <c r="L281" s="22" t="s">
        <v>17</v>
      </c>
      <c r="M281" s="23" t="s">
        <v>22</v>
      </c>
    </row>
    <row r="282" spans="1:13" x14ac:dyDescent="0.35">
      <c r="A282" s="22" t="s">
        <v>510</v>
      </c>
      <c r="B282" s="22" t="s">
        <v>1374</v>
      </c>
      <c r="C282" s="22" t="s">
        <v>63</v>
      </c>
      <c r="D282" s="22" t="s">
        <v>20</v>
      </c>
      <c r="E282" s="22" t="s">
        <v>1102</v>
      </c>
      <c r="F282" s="22" t="s">
        <v>25</v>
      </c>
      <c r="G282" s="22" t="s">
        <v>21</v>
      </c>
      <c r="H282" s="22">
        <v>29</v>
      </c>
      <c r="I282" s="24">
        <v>44665</v>
      </c>
      <c r="J282" s="27">
        <v>583</v>
      </c>
      <c r="K282" s="25">
        <v>0</v>
      </c>
      <c r="L282" s="22" t="s">
        <v>17</v>
      </c>
      <c r="M282" s="23" t="s">
        <v>54</v>
      </c>
    </row>
    <row r="283" spans="1:13" x14ac:dyDescent="0.35">
      <c r="A283" s="22" t="s">
        <v>155</v>
      </c>
      <c r="B283" s="22" t="s">
        <v>1375</v>
      </c>
      <c r="C283" s="22" t="s">
        <v>36</v>
      </c>
      <c r="D283" s="22" t="s">
        <v>39</v>
      </c>
      <c r="E283" s="22" t="s">
        <v>1102</v>
      </c>
      <c r="F283" s="22" t="s">
        <v>15</v>
      </c>
      <c r="G283" s="22" t="s">
        <v>44</v>
      </c>
      <c r="H283" s="22">
        <v>45</v>
      </c>
      <c r="I283" s="24">
        <v>40693</v>
      </c>
      <c r="J283" s="27">
        <v>535</v>
      </c>
      <c r="K283" s="25">
        <v>0.28999999999999998</v>
      </c>
      <c r="L283" s="22" t="s">
        <v>45</v>
      </c>
      <c r="M283" s="23" t="s">
        <v>46</v>
      </c>
    </row>
    <row r="284" spans="1:13" x14ac:dyDescent="0.35">
      <c r="A284" s="22" t="s">
        <v>188</v>
      </c>
      <c r="B284" s="22" t="s">
        <v>1376</v>
      </c>
      <c r="C284" s="22" t="s">
        <v>19</v>
      </c>
      <c r="D284" s="22" t="s">
        <v>20</v>
      </c>
      <c r="E284" s="22" t="s">
        <v>1102</v>
      </c>
      <c r="F284" s="22" t="s">
        <v>25</v>
      </c>
      <c r="G284" s="22" t="s">
        <v>44</v>
      </c>
      <c r="H284" s="22">
        <v>34</v>
      </c>
      <c r="I284" s="24">
        <v>41005</v>
      </c>
      <c r="J284" s="27">
        <v>734</v>
      </c>
      <c r="K284" s="25">
        <v>0</v>
      </c>
      <c r="L284" s="22" t="s">
        <v>17</v>
      </c>
      <c r="M284" s="23" t="s">
        <v>54</v>
      </c>
    </row>
    <row r="285" spans="1:13" x14ac:dyDescent="0.35">
      <c r="A285" s="22" t="s">
        <v>170</v>
      </c>
      <c r="B285" s="22" t="s">
        <v>1377</v>
      </c>
      <c r="C285" s="22" t="s">
        <v>47</v>
      </c>
      <c r="D285" s="22" t="s">
        <v>24</v>
      </c>
      <c r="E285" s="22" t="s">
        <v>29</v>
      </c>
      <c r="F285" s="22" t="s">
        <v>25</v>
      </c>
      <c r="G285" s="22" t="s">
        <v>44</v>
      </c>
      <c r="H285" s="22">
        <v>26</v>
      </c>
      <c r="I285" s="24">
        <v>44353</v>
      </c>
      <c r="J285" s="27">
        <v>774</v>
      </c>
      <c r="K285" s="25">
        <v>0</v>
      </c>
      <c r="L285" s="22" t="s">
        <v>17</v>
      </c>
      <c r="M285" s="23" t="s">
        <v>40</v>
      </c>
    </row>
    <row r="286" spans="1:13" x14ac:dyDescent="0.35">
      <c r="A286" s="22" t="s">
        <v>511</v>
      </c>
      <c r="B286" s="22" t="s">
        <v>1378</v>
      </c>
      <c r="C286" s="22" t="s">
        <v>53</v>
      </c>
      <c r="D286" s="22" t="s">
        <v>43</v>
      </c>
      <c r="E286" s="22" t="s">
        <v>14</v>
      </c>
      <c r="F286" s="22" t="s">
        <v>15</v>
      </c>
      <c r="G286" s="22" t="s">
        <v>44</v>
      </c>
      <c r="H286" s="22">
        <v>30</v>
      </c>
      <c r="I286" s="24">
        <v>43065</v>
      </c>
      <c r="J286" s="27">
        <v>977</v>
      </c>
      <c r="K286" s="25">
        <v>7.0000000000000007E-2</v>
      </c>
      <c r="L286" s="22" t="s">
        <v>45</v>
      </c>
      <c r="M286" s="23" t="s">
        <v>66</v>
      </c>
    </row>
    <row r="287" spans="1:13" x14ac:dyDescent="0.35">
      <c r="A287" s="22" t="s">
        <v>512</v>
      </c>
      <c r="B287" s="22" t="s">
        <v>1379</v>
      </c>
      <c r="C287" s="22" t="s">
        <v>1111</v>
      </c>
      <c r="D287" s="22" t="s">
        <v>43</v>
      </c>
      <c r="E287" s="22" t="s">
        <v>14</v>
      </c>
      <c r="F287" s="22" t="s">
        <v>15</v>
      </c>
      <c r="G287" s="22" t="s">
        <v>21</v>
      </c>
      <c r="H287" s="22">
        <v>55</v>
      </c>
      <c r="I287" s="24">
        <v>36199</v>
      </c>
      <c r="J287" s="27">
        <v>632</v>
      </c>
      <c r="K287" s="25">
        <v>0.15</v>
      </c>
      <c r="L287" s="22" t="s">
        <v>17</v>
      </c>
      <c r="M287" s="23" t="s">
        <v>18</v>
      </c>
    </row>
    <row r="288" spans="1:13" x14ac:dyDescent="0.35">
      <c r="A288" s="22" t="s">
        <v>513</v>
      </c>
      <c r="B288" s="22" t="s">
        <v>1380</v>
      </c>
      <c r="C288" s="22" t="s">
        <v>48</v>
      </c>
      <c r="D288" s="22" t="s">
        <v>24</v>
      </c>
      <c r="E288" s="22" t="s">
        <v>29</v>
      </c>
      <c r="F288" s="22" t="s">
        <v>25</v>
      </c>
      <c r="G288" s="22" t="s">
        <v>21</v>
      </c>
      <c r="H288" s="22">
        <v>47</v>
      </c>
      <c r="I288" s="24">
        <v>37331</v>
      </c>
      <c r="J288" s="27">
        <v>905</v>
      </c>
      <c r="K288" s="25">
        <v>0.05</v>
      </c>
      <c r="L288" s="22" t="s">
        <v>17</v>
      </c>
      <c r="M288" s="23" t="s">
        <v>35</v>
      </c>
    </row>
    <row r="289" spans="1:13" x14ac:dyDescent="0.35">
      <c r="A289" s="22" t="s">
        <v>514</v>
      </c>
      <c r="B289" s="22" t="s">
        <v>1381</v>
      </c>
      <c r="C289" s="22" t="s">
        <v>51</v>
      </c>
      <c r="D289" s="22" t="s">
        <v>28</v>
      </c>
      <c r="E289" s="22" t="s">
        <v>33</v>
      </c>
      <c r="F289" s="22" t="s">
        <v>25</v>
      </c>
      <c r="G289" s="22" t="s">
        <v>44</v>
      </c>
      <c r="H289" s="22">
        <v>51</v>
      </c>
      <c r="I289" s="24">
        <v>38519</v>
      </c>
      <c r="J289" s="27">
        <v>670</v>
      </c>
      <c r="K289" s="25">
        <v>0</v>
      </c>
      <c r="L289" s="22" t="s">
        <v>45</v>
      </c>
      <c r="M289" s="23" t="s">
        <v>66</v>
      </c>
    </row>
    <row r="290" spans="1:13" x14ac:dyDescent="0.35">
      <c r="A290" s="22" t="s">
        <v>515</v>
      </c>
      <c r="B290" s="22" t="s">
        <v>1382</v>
      </c>
      <c r="C290" s="22" t="s">
        <v>1111</v>
      </c>
      <c r="D290" s="22" t="s">
        <v>24</v>
      </c>
      <c r="E290" s="22" t="s">
        <v>29</v>
      </c>
      <c r="F290" s="22" t="s">
        <v>15</v>
      </c>
      <c r="G290" s="22" t="s">
        <v>21</v>
      </c>
      <c r="H290" s="22">
        <v>54</v>
      </c>
      <c r="I290" s="24">
        <v>34160</v>
      </c>
      <c r="J290" s="27">
        <v>629</v>
      </c>
      <c r="K290" s="25">
        <v>0.1</v>
      </c>
      <c r="L290" s="22" t="s">
        <v>30</v>
      </c>
      <c r="M290" s="23" t="s">
        <v>52</v>
      </c>
    </row>
    <row r="291" spans="1:13" x14ac:dyDescent="0.35">
      <c r="A291" s="22" t="s">
        <v>516</v>
      </c>
      <c r="B291" s="22" t="s">
        <v>1383</v>
      </c>
      <c r="C291" s="22" t="s">
        <v>1111</v>
      </c>
      <c r="D291" s="22" t="s">
        <v>43</v>
      </c>
      <c r="E291" s="22" t="s">
        <v>29</v>
      </c>
      <c r="F291" s="22" t="s">
        <v>15</v>
      </c>
      <c r="G291" s="22" t="s">
        <v>21</v>
      </c>
      <c r="H291" s="22">
        <v>64</v>
      </c>
      <c r="I291" s="24">
        <v>35440</v>
      </c>
      <c r="J291" s="27">
        <v>788</v>
      </c>
      <c r="K291" s="25">
        <v>0.11</v>
      </c>
      <c r="L291" s="22" t="s">
        <v>17</v>
      </c>
      <c r="M291" s="23" t="s">
        <v>22</v>
      </c>
    </row>
    <row r="292" spans="1:13" x14ac:dyDescent="0.35">
      <c r="A292" s="22" t="s">
        <v>517</v>
      </c>
      <c r="B292" s="22" t="s">
        <v>1384</v>
      </c>
      <c r="C292" s="22" t="s">
        <v>53</v>
      </c>
      <c r="D292" s="22" t="s">
        <v>24</v>
      </c>
      <c r="E292" s="22" t="s">
        <v>33</v>
      </c>
      <c r="F292" s="22" t="s">
        <v>15</v>
      </c>
      <c r="G292" s="22" t="s">
        <v>44</v>
      </c>
      <c r="H292" s="22">
        <v>40</v>
      </c>
      <c r="I292" s="24">
        <v>40071</v>
      </c>
      <c r="J292" s="27">
        <v>742</v>
      </c>
      <c r="K292" s="25">
        <v>7.0000000000000007E-2</v>
      </c>
      <c r="L292" s="22" t="s">
        <v>17</v>
      </c>
      <c r="M292" s="23" t="s">
        <v>54</v>
      </c>
    </row>
    <row r="293" spans="1:13" x14ac:dyDescent="0.35">
      <c r="A293" s="22" t="s">
        <v>518</v>
      </c>
      <c r="B293" s="22" t="s">
        <v>1385</v>
      </c>
      <c r="C293" s="22" t="s">
        <v>60</v>
      </c>
      <c r="D293" s="22" t="s">
        <v>24</v>
      </c>
      <c r="E293" s="22" t="s">
        <v>33</v>
      </c>
      <c r="F293" s="22" t="s">
        <v>25</v>
      </c>
      <c r="G293" s="22" t="s">
        <v>44</v>
      </c>
      <c r="H293" s="22">
        <v>27</v>
      </c>
      <c r="I293" s="24">
        <v>43871</v>
      </c>
      <c r="J293" s="27">
        <v>960</v>
      </c>
      <c r="K293" s="25">
        <v>0</v>
      </c>
      <c r="L293" s="22" t="s">
        <v>17</v>
      </c>
      <c r="M293" s="23" t="s">
        <v>35</v>
      </c>
    </row>
    <row r="294" spans="1:13" x14ac:dyDescent="0.35">
      <c r="A294" s="22" t="s">
        <v>519</v>
      </c>
      <c r="B294" s="22" t="s">
        <v>1386</v>
      </c>
      <c r="C294" s="22" t="s">
        <v>12</v>
      </c>
      <c r="D294" s="22" t="s">
        <v>39</v>
      </c>
      <c r="E294" s="22" t="s">
        <v>33</v>
      </c>
      <c r="F294" s="22" t="s">
        <v>25</v>
      </c>
      <c r="G294" s="22" t="s">
        <v>16</v>
      </c>
      <c r="H294" s="22">
        <v>47</v>
      </c>
      <c r="I294" s="24">
        <v>44605</v>
      </c>
      <c r="J294" s="27">
        <v>608</v>
      </c>
      <c r="K294" s="25">
        <v>0.4</v>
      </c>
      <c r="L294" s="22" t="s">
        <v>17</v>
      </c>
      <c r="M294" s="23" t="s">
        <v>54</v>
      </c>
    </row>
    <row r="295" spans="1:13" x14ac:dyDescent="0.35">
      <c r="A295" s="22" t="s">
        <v>197</v>
      </c>
      <c r="B295" s="22" t="s">
        <v>1387</v>
      </c>
      <c r="C295" s="22" t="s">
        <v>12</v>
      </c>
      <c r="D295" s="22" t="s">
        <v>56</v>
      </c>
      <c r="E295" s="22" t="s">
        <v>1102</v>
      </c>
      <c r="F295" s="22" t="s">
        <v>15</v>
      </c>
      <c r="G295" s="22" t="s">
        <v>21</v>
      </c>
      <c r="H295" s="22">
        <v>28</v>
      </c>
      <c r="I295" s="24">
        <v>44184</v>
      </c>
      <c r="J295" s="27">
        <v>826</v>
      </c>
      <c r="K295" s="25">
        <v>0.38</v>
      </c>
      <c r="L295" s="22" t="s">
        <v>30</v>
      </c>
      <c r="M295" s="23" t="s">
        <v>31</v>
      </c>
    </row>
    <row r="296" spans="1:13" x14ac:dyDescent="0.35">
      <c r="A296" s="22" t="s">
        <v>520</v>
      </c>
      <c r="B296" s="22" t="s">
        <v>1388</v>
      </c>
      <c r="C296" s="22" t="s">
        <v>12</v>
      </c>
      <c r="D296" s="22" t="s">
        <v>20</v>
      </c>
      <c r="E296" s="22" t="s">
        <v>14</v>
      </c>
      <c r="F296" s="22" t="s">
        <v>15</v>
      </c>
      <c r="G296" s="22" t="s">
        <v>21</v>
      </c>
      <c r="H296" s="22">
        <v>35</v>
      </c>
      <c r="I296" s="24">
        <v>42083</v>
      </c>
      <c r="J296" s="27">
        <v>959</v>
      </c>
      <c r="K296" s="25">
        <v>0.37</v>
      </c>
      <c r="L296" s="22" t="s">
        <v>17</v>
      </c>
      <c r="M296" s="23" t="s">
        <v>22</v>
      </c>
    </row>
    <row r="297" spans="1:13" x14ac:dyDescent="0.35">
      <c r="A297" s="22" t="s">
        <v>521</v>
      </c>
      <c r="B297" s="22" t="s">
        <v>1389</v>
      </c>
      <c r="C297" s="22" t="s">
        <v>48</v>
      </c>
      <c r="D297" s="22" t="s">
        <v>24</v>
      </c>
      <c r="E297" s="22" t="s">
        <v>29</v>
      </c>
      <c r="F297" s="22" t="s">
        <v>15</v>
      </c>
      <c r="G297" s="22" t="s">
        <v>44</v>
      </c>
      <c r="H297" s="22">
        <v>59</v>
      </c>
      <c r="I297" s="24">
        <v>35339</v>
      </c>
      <c r="J297" s="27">
        <v>578</v>
      </c>
      <c r="K297" s="25">
        <v>0.09</v>
      </c>
      <c r="L297" s="22" t="s">
        <v>17</v>
      </c>
      <c r="M297" s="23" t="s">
        <v>54</v>
      </c>
    </row>
    <row r="298" spans="1:13" x14ac:dyDescent="0.35">
      <c r="A298" s="22" t="s">
        <v>241</v>
      </c>
      <c r="B298" s="22" t="s">
        <v>140</v>
      </c>
      <c r="C298" s="22" t="s">
        <v>83</v>
      </c>
      <c r="D298" s="22" t="s">
        <v>28</v>
      </c>
      <c r="E298" s="22" t="s">
        <v>33</v>
      </c>
      <c r="F298" s="22" t="s">
        <v>25</v>
      </c>
      <c r="G298" s="22" t="s">
        <v>21</v>
      </c>
      <c r="H298" s="22">
        <v>33</v>
      </c>
      <c r="I298" s="24">
        <v>42327</v>
      </c>
      <c r="J298" s="27">
        <v>914</v>
      </c>
      <c r="K298" s="25">
        <v>0</v>
      </c>
      <c r="L298" s="22" t="s">
        <v>30</v>
      </c>
      <c r="M298" s="23" t="s">
        <v>31</v>
      </c>
    </row>
    <row r="299" spans="1:13" x14ac:dyDescent="0.35">
      <c r="A299" s="22" t="s">
        <v>522</v>
      </c>
      <c r="B299" s="22" t="s">
        <v>1390</v>
      </c>
      <c r="C299" s="22" t="s">
        <v>68</v>
      </c>
      <c r="D299" s="22" t="s">
        <v>20</v>
      </c>
      <c r="E299" s="22" t="s">
        <v>33</v>
      </c>
      <c r="F299" s="22" t="s">
        <v>15</v>
      </c>
      <c r="G299" s="22" t="s">
        <v>21</v>
      </c>
      <c r="H299" s="22">
        <v>62</v>
      </c>
      <c r="I299" s="24">
        <v>38691</v>
      </c>
      <c r="J299" s="27">
        <v>651</v>
      </c>
      <c r="K299" s="25">
        <v>0</v>
      </c>
      <c r="L299" s="22" t="s">
        <v>17</v>
      </c>
      <c r="M299" s="23" t="s">
        <v>54</v>
      </c>
    </row>
    <row r="300" spans="1:13" x14ac:dyDescent="0.35">
      <c r="A300" s="22" t="s">
        <v>523</v>
      </c>
      <c r="B300" s="22" t="s">
        <v>1391</v>
      </c>
      <c r="C300" s="22" t="s">
        <v>32</v>
      </c>
      <c r="D300" s="22" t="s">
        <v>24</v>
      </c>
      <c r="E300" s="22" t="s">
        <v>29</v>
      </c>
      <c r="F300" s="22" t="s">
        <v>15</v>
      </c>
      <c r="G300" s="22" t="s">
        <v>16</v>
      </c>
      <c r="H300" s="22">
        <v>50</v>
      </c>
      <c r="I300" s="24">
        <v>37802</v>
      </c>
      <c r="J300" s="27">
        <v>838</v>
      </c>
      <c r="K300" s="25">
        <v>0</v>
      </c>
      <c r="L300" s="22" t="s">
        <v>17</v>
      </c>
      <c r="M300" s="23" t="s">
        <v>35</v>
      </c>
    </row>
    <row r="301" spans="1:13" x14ac:dyDescent="0.35">
      <c r="A301" s="22" t="s">
        <v>524</v>
      </c>
      <c r="B301" s="22" t="s">
        <v>1392</v>
      </c>
      <c r="C301" s="22" t="s">
        <v>12</v>
      </c>
      <c r="D301" s="22" t="s">
        <v>56</v>
      </c>
      <c r="E301" s="22" t="s">
        <v>33</v>
      </c>
      <c r="F301" s="22" t="s">
        <v>15</v>
      </c>
      <c r="G301" s="22" t="s">
        <v>21</v>
      </c>
      <c r="H301" s="22">
        <v>55</v>
      </c>
      <c r="I301" s="24">
        <v>38895</v>
      </c>
      <c r="J301" s="27">
        <v>979</v>
      </c>
      <c r="K301" s="25">
        <v>0.37</v>
      </c>
      <c r="L301" s="22" t="s">
        <v>17</v>
      </c>
      <c r="M301" s="23" t="s">
        <v>18</v>
      </c>
    </row>
    <row r="302" spans="1:13" x14ac:dyDescent="0.35">
      <c r="A302" s="22" t="s">
        <v>525</v>
      </c>
      <c r="B302" s="22" t="s">
        <v>1393</v>
      </c>
      <c r="C302" s="22" t="s">
        <v>53</v>
      </c>
      <c r="D302" s="22" t="s">
        <v>24</v>
      </c>
      <c r="E302" s="22" t="s">
        <v>14</v>
      </c>
      <c r="F302" s="22" t="s">
        <v>15</v>
      </c>
      <c r="G302" s="22" t="s">
        <v>44</v>
      </c>
      <c r="H302" s="22">
        <v>47</v>
      </c>
      <c r="I302" s="24">
        <v>44598</v>
      </c>
      <c r="J302" s="27">
        <v>556</v>
      </c>
      <c r="K302" s="25">
        <v>0.09</v>
      </c>
      <c r="L302" s="22" t="s">
        <v>17</v>
      </c>
      <c r="M302" s="23" t="s">
        <v>54</v>
      </c>
    </row>
    <row r="303" spans="1:13" x14ac:dyDescent="0.35">
      <c r="A303" s="22" t="s">
        <v>526</v>
      </c>
      <c r="B303" s="22" t="s">
        <v>1394</v>
      </c>
      <c r="C303" s="22" t="s">
        <v>60</v>
      </c>
      <c r="D303" s="22" t="s">
        <v>24</v>
      </c>
      <c r="E303" s="22" t="s">
        <v>1102</v>
      </c>
      <c r="F303" s="22" t="s">
        <v>15</v>
      </c>
      <c r="G303" s="22" t="s">
        <v>21</v>
      </c>
      <c r="H303" s="22">
        <v>34</v>
      </c>
      <c r="I303" s="24">
        <v>44218</v>
      </c>
      <c r="J303" s="27">
        <v>959</v>
      </c>
      <c r="K303" s="25">
        <v>0</v>
      </c>
      <c r="L303" s="22" t="s">
        <v>30</v>
      </c>
      <c r="M303" s="23" t="s">
        <v>65</v>
      </c>
    </row>
    <row r="304" spans="1:13" x14ac:dyDescent="0.35">
      <c r="A304" s="22" t="s">
        <v>527</v>
      </c>
      <c r="B304" s="22" t="s">
        <v>1395</v>
      </c>
      <c r="C304" s="22" t="s">
        <v>32</v>
      </c>
      <c r="D304" s="22" t="s">
        <v>24</v>
      </c>
      <c r="E304" s="22" t="s">
        <v>14</v>
      </c>
      <c r="F304" s="22" t="s">
        <v>15</v>
      </c>
      <c r="G304" s="22" t="s">
        <v>21</v>
      </c>
      <c r="H304" s="22">
        <v>39</v>
      </c>
      <c r="I304" s="24">
        <v>43082</v>
      </c>
      <c r="J304" s="27">
        <v>582</v>
      </c>
      <c r="K304" s="25">
        <v>0</v>
      </c>
      <c r="L304" s="22" t="s">
        <v>30</v>
      </c>
      <c r="M304" s="23" t="s">
        <v>65</v>
      </c>
    </row>
    <row r="305" spans="1:13" x14ac:dyDescent="0.35">
      <c r="A305" s="22" t="s">
        <v>528</v>
      </c>
      <c r="B305" s="22" t="s">
        <v>1396</v>
      </c>
      <c r="C305" s="22" t="s">
        <v>68</v>
      </c>
      <c r="D305" s="22" t="s">
        <v>20</v>
      </c>
      <c r="E305" s="22" t="s">
        <v>29</v>
      </c>
      <c r="F305" s="22" t="s">
        <v>15</v>
      </c>
      <c r="G305" s="22" t="s">
        <v>44</v>
      </c>
      <c r="H305" s="22">
        <v>35</v>
      </c>
      <c r="I305" s="24">
        <v>42355</v>
      </c>
      <c r="J305" s="27">
        <v>998</v>
      </c>
      <c r="K305" s="25">
        <v>0</v>
      </c>
      <c r="L305" s="22" t="s">
        <v>17</v>
      </c>
      <c r="M305" s="23" t="s">
        <v>26</v>
      </c>
    </row>
    <row r="306" spans="1:13" x14ac:dyDescent="0.35">
      <c r="A306" s="22" t="s">
        <v>529</v>
      </c>
      <c r="B306" s="22" t="s">
        <v>1397</v>
      </c>
      <c r="C306" s="22" t="s">
        <v>70</v>
      </c>
      <c r="D306" s="22" t="s">
        <v>28</v>
      </c>
      <c r="E306" s="22" t="s">
        <v>14</v>
      </c>
      <c r="F306" s="22" t="s">
        <v>25</v>
      </c>
      <c r="G306" s="22" t="s">
        <v>21</v>
      </c>
      <c r="H306" s="22">
        <v>54</v>
      </c>
      <c r="I306" s="24">
        <v>35511</v>
      </c>
      <c r="J306" s="27">
        <v>887</v>
      </c>
      <c r="K306" s="25">
        <v>0</v>
      </c>
      <c r="L306" s="22" t="s">
        <v>30</v>
      </c>
      <c r="M306" s="23" t="s">
        <v>52</v>
      </c>
    </row>
    <row r="307" spans="1:13" x14ac:dyDescent="0.35">
      <c r="A307" s="22" t="s">
        <v>87</v>
      </c>
      <c r="B307" s="22" t="s">
        <v>1398</v>
      </c>
      <c r="C307" s="22" t="s">
        <v>12</v>
      </c>
      <c r="D307" s="22" t="s">
        <v>13</v>
      </c>
      <c r="E307" s="22" t="s">
        <v>33</v>
      </c>
      <c r="F307" s="22" t="s">
        <v>15</v>
      </c>
      <c r="G307" s="22" t="s">
        <v>21</v>
      </c>
      <c r="H307" s="22">
        <v>41</v>
      </c>
      <c r="I307" s="24">
        <v>43402</v>
      </c>
      <c r="J307" s="27">
        <v>709</v>
      </c>
      <c r="K307" s="25">
        <v>0.38</v>
      </c>
      <c r="L307" s="22" t="s">
        <v>30</v>
      </c>
      <c r="M307" s="23" t="s">
        <v>61</v>
      </c>
    </row>
    <row r="308" spans="1:13" x14ac:dyDescent="0.35">
      <c r="A308" s="22" t="s">
        <v>530</v>
      </c>
      <c r="B308" s="22" t="s">
        <v>1399</v>
      </c>
      <c r="C308" s="22" t="s">
        <v>36</v>
      </c>
      <c r="D308" s="22" t="s">
        <v>43</v>
      </c>
      <c r="E308" s="22" t="s">
        <v>29</v>
      </c>
      <c r="F308" s="22" t="s">
        <v>25</v>
      </c>
      <c r="G308" s="22" t="s">
        <v>21</v>
      </c>
      <c r="H308" s="22">
        <v>37</v>
      </c>
      <c r="I308" s="24">
        <v>43637</v>
      </c>
      <c r="J308" s="27">
        <v>565</v>
      </c>
      <c r="K308" s="25">
        <v>0.24</v>
      </c>
      <c r="L308" s="22" t="s">
        <v>30</v>
      </c>
      <c r="M308" s="23" t="s">
        <v>65</v>
      </c>
    </row>
    <row r="309" spans="1:13" x14ac:dyDescent="0.35">
      <c r="A309" s="22" t="s">
        <v>531</v>
      </c>
      <c r="B309" s="22" t="s">
        <v>230</v>
      </c>
      <c r="C309" s="22" t="s">
        <v>38</v>
      </c>
      <c r="D309" s="22" t="s">
        <v>13</v>
      </c>
      <c r="E309" s="22" t="s">
        <v>14</v>
      </c>
      <c r="F309" s="22" t="s">
        <v>15</v>
      </c>
      <c r="G309" s="22" t="s">
        <v>41</v>
      </c>
      <c r="H309" s="22">
        <v>29</v>
      </c>
      <c r="I309" s="24">
        <v>43857</v>
      </c>
      <c r="J309" s="27">
        <v>924</v>
      </c>
      <c r="K309" s="25">
        <v>0</v>
      </c>
      <c r="L309" s="22" t="s">
        <v>17</v>
      </c>
      <c r="M309" s="23" t="s">
        <v>40</v>
      </c>
    </row>
    <row r="310" spans="1:13" x14ac:dyDescent="0.35">
      <c r="A310" s="22" t="s">
        <v>278</v>
      </c>
      <c r="B310" s="22" t="s">
        <v>1400</v>
      </c>
      <c r="C310" s="22" t="s">
        <v>12</v>
      </c>
      <c r="D310" s="22" t="s">
        <v>24</v>
      </c>
      <c r="E310" s="22" t="s">
        <v>29</v>
      </c>
      <c r="F310" s="22" t="s">
        <v>15</v>
      </c>
      <c r="G310" s="22" t="s">
        <v>21</v>
      </c>
      <c r="H310" s="22">
        <v>64</v>
      </c>
      <c r="I310" s="24">
        <v>42836</v>
      </c>
      <c r="J310" s="27">
        <v>889</v>
      </c>
      <c r="K310" s="25">
        <v>0.39</v>
      </c>
      <c r="L310" s="22" t="s">
        <v>17</v>
      </c>
      <c r="M310" s="23" t="s">
        <v>22</v>
      </c>
    </row>
    <row r="311" spans="1:13" x14ac:dyDescent="0.35">
      <c r="A311" s="22" t="s">
        <v>532</v>
      </c>
      <c r="B311" s="22" t="s">
        <v>183</v>
      </c>
      <c r="C311" s="22" t="s">
        <v>1111</v>
      </c>
      <c r="D311" s="22" t="s">
        <v>43</v>
      </c>
      <c r="E311" s="22" t="s">
        <v>29</v>
      </c>
      <c r="F311" s="22" t="s">
        <v>15</v>
      </c>
      <c r="G311" s="22" t="s">
        <v>16</v>
      </c>
      <c r="H311" s="22">
        <v>54</v>
      </c>
      <c r="I311" s="24">
        <v>40769</v>
      </c>
      <c r="J311" s="27">
        <v>842</v>
      </c>
      <c r="K311" s="25">
        <v>0.14000000000000001</v>
      </c>
      <c r="L311" s="22" t="s">
        <v>17</v>
      </c>
      <c r="M311" s="23" t="s">
        <v>54</v>
      </c>
    </row>
    <row r="312" spans="1:13" x14ac:dyDescent="0.35">
      <c r="A312" s="22" t="s">
        <v>533</v>
      </c>
      <c r="B312" s="22" t="s">
        <v>1401</v>
      </c>
      <c r="C312" s="22" t="s">
        <v>1111</v>
      </c>
      <c r="D312" s="22" t="s">
        <v>56</v>
      </c>
      <c r="E312" s="22" t="s">
        <v>29</v>
      </c>
      <c r="F312" s="22" t="s">
        <v>25</v>
      </c>
      <c r="G312" s="22" t="s">
        <v>16</v>
      </c>
      <c r="H312" s="22">
        <v>36</v>
      </c>
      <c r="I312" s="24">
        <v>44282</v>
      </c>
      <c r="J312" s="27">
        <v>710</v>
      </c>
      <c r="K312" s="25">
        <v>0.12</v>
      </c>
      <c r="L312" s="22" t="s">
        <v>17</v>
      </c>
      <c r="M312" s="23" t="s">
        <v>40</v>
      </c>
    </row>
    <row r="313" spans="1:13" x14ac:dyDescent="0.35">
      <c r="A313" s="22" t="s">
        <v>129</v>
      </c>
      <c r="B313" s="22" t="s">
        <v>1402</v>
      </c>
      <c r="C313" s="22" t="s">
        <v>23</v>
      </c>
      <c r="D313" s="22" t="s">
        <v>24</v>
      </c>
      <c r="E313" s="22" t="s">
        <v>1102</v>
      </c>
      <c r="F313" s="22" t="s">
        <v>15</v>
      </c>
      <c r="G313" s="22" t="s">
        <v>41</v>
      </c>
      <c r="H313" s="22">
        <v>54</v>
      </c>
      <c r="I313" s="24">
        <v>41382</v>
      </c>
      <c r="J313" s="27">
        <v>762</v>
      </c>
      <c r="K313" s="25">
        <v>0</v>
      </c>
      <c r="L313" s="22" t="s">
        <v>17</v>
      </c>
      <c r="M313" s="23" t="s">
        <v>40</v>
      </c>
    </row>
    <row r="314" spans="1:13" x14ac:dyDescent="0.35">
      <c r="A314" s="22" t="s">
        <v>534</v>
      </c>
      <c r="B314" s="22" t="s">
        <v>1403</v>
      </c>
      <c r="C314" s="22" t="s">
        <v>74</v>
      </c>
      <c r="D314" s="22" t="s">
        <v>43</v>
      </c>
      <c r="E314" s="22" t="s">
        <v>14</v>
      </c>
      <c r="F314" s="22" t="s">
        <v>15</v>
      </c>
      <c r="G314" s="22" t="s">
        <v>16</v>
      </c>
      <c r="H314" s="22">
        <v>56</v>
      </c>
      <c r="I314" s="24">
        <v>42744</v>
      </c>
      <c r="J314" s="27">
        <v>740</v>
      </c>
      <c r="K314" s="25">
        <v>0</v>
      </c>
      <c r="L314" s="22" t="s">
        <v>17</v>
      </c>
      <c r="M314" s="23" t="s">
        <v>26</v>
      </c>
    </row>
    <row r="315" spans="1:13" x14ac:dyDescent="0.35">
      <c r="A315" s="22" t="s">
        <v>535</v>
      </c>
      <c r="B315" s="22" t="s">
        <v>1404</v>
      </c>
      <c r="C315" s="22" t="s">
        <v>50</v>
      </c>
      <c r="D315" s="22" t="s">
        <v>28</v>
      </c>
      <c r="E315" s="22" t="s">
        <v>14</v>
      </c>
      <c r="F315" s="22" t="s">
        <v>25</v>
      </c>
      <c r="G315" s="22" t="s">
        <v>16</v>
      </c>
      <c r="H315" s="22">
        <v>48</v>
      </c>
      <c r="I315" s="24">
        <v>42717</v>
      </c>
      <c r="J315" s="27">
        <v>758</v>
      </c>
      <c r="K315" s="25">
        <v>0</v>
      </c>
      <c r="L315" s="22" t="s">
        <v>17</v>
      </c>
      <c r="M315" s="23" t="s">
        <v>22</v>
      </c>
    </row>
    <row r="316" spans="1:13" x14ac:dyDescent="0.35">
      <c r="A316" s="22" t="s">
        <v>536</v>
      </c>
      <c r="B316" s="22" t="s">
        <v>1405</v>
      </c>
      <c r="C316" s="22" t="s">
        <v>36</v>
      </c>
      <c r="D316" s="22" t="s">
        <v>20</v>
      </c>
      <c r="E316" s="22" t="s">
        <v>33</v>
      </c>
      <c r="F316" s="22" t="s">
        <v>25</v>
      </c>
      <c r="G316" s="22" t="s">
        <v>21</v>
      </c>
      <c r="H316" s="22">
        <v>35</v>
      </c>
      <c r="I316" s="24">
        <v>42196</v>
      </c>
      <c r="J316" s="27">
        <v>600</v>
      </c>
      <c r="K316" s="25">
        <v>0.19</v>
      </c>
      <c r="L316" s="22" t="s">
        <v>17</v>
      </c>
      <c r="M316" s="23" t="s">
        <v>40</v>
      </c>
    </row>
    <row r="317" spans="1:13" x14ac:dyDescent="0.35">
      <c r="A317" s="22" t="s">
        <v>537</v>
      </c>
      <c r="B317" s="22" t="s">
        <v>1406</v>
      </c>
      <c r="C317" s="22" t="s">
        <v>1111</v>
      </c>
      <c r="D317" s="22" t="s">
        <v>39</v>
      </c>
      <c r="E317" s="22" t="s">
        <v>1102</v>
      </c>
      <c r="F317" s="22" t="s">
        <v>15</v>
      </c>
      <c r="G317" s="22" t="s">
        <v>41</v>
      </c>
      <c r="H317" s="22">
        <v>32</v>
      </c>
      <c r="I317" s="24">
        <v>43328</v>
      </c>
      <c r="J317" s="27">
        <v>761</v>
      </c>
      <c r="K317" s="25">
        <v>0.15</v>
      </c>
      <c r="L317" s="22" t="s">
        <v>17</v>
      </c>
      <c r="M317" s="23" t="s">
        <v>40</v>
      </c>
    </row>
    <row r="318" spans="1:13" x14ac:dyDescent="0.35">
      <c r="A318" s="22" t="s">
        <v>538</v>
      </c>
      <c r="B318" s="22" t="s">
        <v>1407</v>
      </c>
      <c r="C318" s="22" t="s">
        <v>12</v>
      </c>
      <c r="D318" s="22" t="s">
        <v>39</v>
      </c>
      <c r="E318" s="22" t="s">
        <v>29</v>
      </c>
      <c r="F318" s="22" t="s">
        <v>25</v>
      </c>
      <c r="G318" s="22" t="s">
        <v>21</v>
      </c>
      <c r="H318" s="22">
        <v>25</v>
      </c>
      <c r="I318" s="24">
        <v>44854</v>
      </c>
      <c r="J318" s="27">
        <v>921</v>
      </c>
      <c r="K318" s="25">
        <v>0.35</v>
      </c>
      <c r="L318" s="22" t="s">
        <v>17</v>
      </c>
      <c r="M318" s="23" t="s">
        <v>22</v>
      </c>
    </row>
    <row r="319" spans="1:13" x14ac:dyDescent="0.35">
      <c r="A319" s="22" t="s">
        <v>539</v>
      </c>
      <c r="B319" s="22" t="s">
        <v>1408</v>
      </c>
      <c r="C319" s="22" t="s">
        <v>38</v>
      </c>
      <c r="D319" s="22" t="s">
        <v>13</v>
      </c>
      <c r="E319" s="22" t="s">
        <v>33</v>
      </c>
      <c r="F319" s="22" t="s">
        <v>25</v>
      </c>
      <c r="G319" s="22" t="s">
        <v>21</v>
      </c>
      <c r="H319" s="22">
        <v>26</v>
      </c>
      <c r="I319" s="24">
        <v>43955</v>
      </c>
      <c r="J319" s="27">
        <v>763</v>
      </c>
      <c r="K319" s="25">
        <v>0</v>
      </c>
      <c r="L319" s="22" t="s">
        <v>17</v>
      </c>
      <c r="M319" s="23" t="s">
        <v>40</v>
      </c>
    </row>
    <row r="320" spans="1:13" x14ac:dyDescent="0.35">
      <c r="A320" s="22" t="s">
        <v>540</v>
      </c>
      <c r="B320" s="22" t="s">
        <v>1409</v>
      </c>
      <c r="C320" s="22" t="s">
        <v>63</v>
      </c>
      <c r="D320" s="22" t="s">
        <v>20</v>
      </c>
      <c r="E320" s="22" t="s">
        <v>29</v>
      </c>
      <c r="F320" s="22" t="s">
        <v>25</v>
      </c>
      <c r="G320" s="22" t="s">
        <v>21</v>
      </c>
      <c r="H320" s="22">
        <v>53</v>
      </c>
      <c r="I320" s="24">
        <v>42891</v>
      </c>
      <c r="J320" s="27">
        <v>943</v>
      </c>
      <c r="K320" s="25">
        <v>0</v>
      </c>
      <c r="L320" s="22" t="s">
        <v>30</v>
      </c>
      <c r="M320" s="23" t="s">
        <v>31</v>
      </c>
    </row>
    <row r="321" spans="1:13" x14ac:dyDescent="0.35">
      <c r="A321" s="22" t="s">
        <v>541</v>
      </c>
      <c r="B321" s="22" t="s">
        <v>1410</v>
      </c>
      <c r="C321" s="22" t="s">
        <v>73</v>
      </c>
      <c r="D321" s="22" t="s">
        <v>24</v>
      </c>
      <c r="E321" s="22" t="s">
        <v>29</v>
      </c>
      <c r="F321" s="22" t="s">
        <v>15</v>
      </c>
      <c r="G321" s="22" t="s">
        <v>21</v>
      </c>
      <c r="H321" s="22">
        <v>37</v>
      </c>
      <c r="I321" s="24">
        <v>41393</v>
      </c>
      <c r="J321" s="27">
        <v>700</v>
      </c>
      <c r="K321" s="25">
        <v>0</v>
      </c>
      <c r="L321" s="22" t="s">
        <v>30</v>
      </c>
      <c r="M321" s="23" t="s">
        <v>31</v>
      </c>
    </row>
    <row r="322" spans="1:13" x14ac:dyDescent="0.35">
      <c r="A322" s="22" t="s">
        <v>542</v>
      </c>
      <c r="B322" s="22" t="s">
        <v>1411</v>
      </c>
      <c r="C322" s="22" t="s">
        <v>42</v>
      </c>
      <c r="D322" s="22" t="s">
        <v>43</v>
      </c>
      <c r="E322" s="22" t="s">
        <v>1102</v>
      </c>
      <c r="F322" s="22" t="s">
        <v>15</v>
      </c>
      <c r="G322" s="22" t="s">
        <v>16</v>
      </c>
      <c r="H322" s="22">
        <v>31</v>
      </c>
      <c r="I322" s="24">
        <v>42407</v>
      </c>
      <c r="J322" s="27">
        <v>996</v>
      </c>
      <c r="K322" s="25">
        <v>0</v>
      </c>
      <c r="L322" s="22" t="s">
        <v>17</v>
      </c>
      <c r="M322" s="23" t="s">
        <v>22</v>
      </c>
    </row>
    <row r="323" spans="1:13" x14ac:dyDescent="0.35">
      <c r="A323" s="22" t="s">
        <v>543</v>
      </c>
      <c r="B323" s="22" t="s">
        <v>1412</v>
      </c>
      <c r="C323" s="22" t="s">
        <v>1111</v>
      </c>
      <c r="D323" s="22" t="s">
        <v>24</v>
      </c>
      <c r="E323" s="22" t="s">
        <v>33</v>
      </c>
      <c r="F323" s="22" t="s">
        <v>15</v>
      </c>
      <c r="G323" s="22" t="s">
        <v>21</v>
      </c>
      <c r="H323" s="22">
        <v>47</v>
      </c>
      <c r="I323" s="24">
        <v>40185</v>
      </c>
      <c r="J323" s="27">
        <v>917</v>
      </c>
      <c r="K323" s="25">
        <v>0.14000000000000001</v>
      </c>
      <c r="L323" s="22" t="s">
        <v>30</v>
      </c>
      <c r="M323" s="23" t="s">
        <v>65</v>
      </c>
    </row>
    <row r="324" spans="1:13" x14ac:dyDescent="0.35">
      <c r="A324" s="22" t="s">
        <v>544</v>
      </c>
      <c r="B324" s="22" t="s">
        <v>1413</v>
      </c>
      <c r="C324" s="22" t="s">
        <v>53</v>
      </c>
      <c r="D324" s="22" t="s">
        <v>43</v>
      </c>
      <c r="E324" s="22" t="s">
        <v>14</v>
      </c>
      <c r="F324" s="22" t="s">
        <v>25</v>
      </c>
      <c r="G324" s="22" t="s">
        <v>41</v>
      </c>
      <c r="H324" s="22">
        <v>32</v>
      </c>
      <c r="I324" s="24">
        <v>43449</v>
      </c>
      <c r="J324" s="27">
        <v>504</v>
      </c>
      <c r="K324" s="25">
        <v>0.06</v>
      </c>
      <c r="L324" s="22" t="s">
        <v>17</v>
      </c>
      <c r="M324" s="23" t="s">
        <v>22</v>
      </c>
    </row>
    <row r="325" spans="1:13" x14ac:dyDescent="0.35">
      <c r="A325" s="22" t="s">
        <v>545</v>
      </c>
      <c r="B325" s="22" t="s">
        <v>1414</v>
      </c>
      <c r="C325" s="22" t="s">
        <v>69</v>
      </c>
      <c r="D325" s="22" t="s">
        <v>28</v>
      </c>
      <c r="E325" s="22" t="s">
        <v>14</v>
      </c>
      <c r="F325" s="22" t="s">
        <v>25</v>
      </c>
      <c r="G325" s="22" t="s">
        <v>21</v>
      </c>
      <c r="H325" s="22">
        <v>40</v>
      </c>
      <c r="I325" s="24">
        <v>40098</v>
      </c>
      <c r="J325" s="27">
        <v>820</v>
      </c>
      <c r="K325" s="25">
        <v>0</v>
      </c>
      <c r="L325" s="22" t="s">
        <v>17</v>
      </c>
      <c r="M325" s="23" t="s">
        <v>35</v>
      </c>
    </row>
    <row r="326" spans="1:13" x14ac:dyDescent="0.35">
      <c r="A326" s="22" t="s">
        <v>546</v>
      </c>
      <c r="B326" s="22" t="s">
        <v>1415</v>
      </c>
      <c r="C326" s="22" t="s">
        <v>19</v>
      </c>
      <c r="D326" s="22" t="s">
        <v>20</v>
      </c>
      <c r="E326" s="22" t="s">
        <v>29</v>
      </c>
      <c r="F326" s="22" t="s">
        <v>25</v>
      </c>
      <c r="G326" s="22" t="s">
        <v>21</v>
      </c>
      <c r="H326" s="22">
        <v>65</v>
      </c>
      <c r="I326" s="24">
        <v>44478</v>
      </c>
      <c r="J326" s="27">
        <v>873</v>
      </c>
      <c r="K326" s="25">
        <v>0</v>
      </c>
      <c r="L326" s="22" t="s">
        <v>30</v>
      </c>
      <c r="M326" s="23" t="s">
        <v>31</v>
      </c>
    </row>
    <row r="327" spans="1:13" x14ac:dyDescent="0.35">
      <c r="A327" s="22" t="s">
        <v>547</v>
      </c>
      <c r="B327" s="22" t="s">
        <v>1416</v>
      </c>
      <c r="C327" s="22" t="s">
        <v>59</v>
      </c>
      <c r="D327" s="22" t="s">
        <v>24</v>
      </c>
      <c r="E327" s="22" t="s">
        <v>33</v>
      </c>
      <c r="F327" s="22" t="s">
        <v>15</v>
      </c>
      <c r="G327" s="22" t="s">
        <v>44</v>
      </c>
      <c r="H327" s="22">
        <v>25</v>
      </c>
      <c r="I327" s="24">
        <v>44579</v>
      </c>
      <c r="J327" s="27">
        <v>891</v>
      </c>
      <c r="K327" s="25">
        <v>0</v>
      </c>
      <c r="L327" s="22" t="s">
        <v>17</v>
      </c>
      <c r="M327" s="23" t="s">
        <v>54</v>
      </c>
    </row>
    <row r="328" spans="1:13" x14ac:dyDescent="0.35">
      <c r="A328" s="22" t="s">
        <v>548</v>
      </c>
      <c r="B328" s="22" t="s">
        <v>1417</v>
      </c>
      <c r="C328" s="22" t="s">
        <v>83</v>
      </c>
      <c r="D328" s="22" t="s">
        <v>28</v>
      </c>
      <c r="E328" s="22" t="s">
        <v>29</v>
      </c>
      <c r="F328" s="22" t="s">
        <v>25</v>
      </c>
      <c r="G328" s="22" t="s">
        <v>16</v>
      </c>
      <c r="H328" s="22">
        <v>39</v>
      </c>
      <c r="I328" s="24">
        <v>44739</v>
      </c>
      <c r="J328" s="27">
        <v>655</v>
      </c>
      <c r="K328" s="25">
        <v>0</v>
      </c>
      <c r="L328" s="22" t="s">
        <v>17</v>
      </c>
      <c r="M328" s="23" t="s">
        <v>35</v>
      </c>
    </row>
    <row r="329" spans="1:13" x14ac:dyDescent="0.35">
      <c r="A329" s="22" t="s">
        <v>549</v>
      </c>
      <c r="B329" s="22" t="s">
        <v>1418</v>
      </c>
      <c r="C329" s="22" t="s">
        <v>32</v>
      </c>
      <c r="D329" s="22" t="s">
        <v>24</v>
      </c>
      <c r="E329" s="22" t="s">
        <v>14</v>
      </c>
      <c r="F329" s="22" t="s">
        <v>15</v>
      </c>
      <c r="G329" s="22" t="s">
        <v>16</v>
      </c>
      <c r="H329" s="22">
        <v>52</v>
      </c>
      <c r="I329" s="24">
        <v>35953</v>
      </c>
      <c r="J329" s="27">
        <v>900</v>
      </c>
      <c r="K329" s="25">
        <v>0</v>
      </c>
      <c r="L329" s="22" t="s">
        <v>17</v>
      </c>
      <c r="M329" s="23" t="s">
        <v>35</v>
      </c>
    </row>
    <row r="330" spans="1:13" x14ac:dyDescent="0.35">
      <c r="A330" s="22" t="s">
        <v>550</v>
      </c>
      <c r="B330" s="22" t="s">
        <v>1419</v>
      </c>
      <c r="C330" s="22" t="s">
        <v>51</v>
      </c>
      <c r="D330" s="22" t="s">
        <v>28</v>
      </c>
      <c r="E330" s="22" t="s">
        <v>33</v>
      </c>
      <c r="F330" s="22" t="s">
        <v>15</v>
      </c>
      <c r="G330" s="22" t="s">
        <v>44</v>
      </c>
      <c r="H330" s="22">
        <v>38</v>
      </c>
      <c r="I330" s="24">
        <v>44725</v>
      </c>
      <c r="J330" s="27">
        <v>982</v>
      </c>
      <c r="K330" s="25">
        <v>0</v>
      </c>
      <c r="L330" s="22" t="s">
        <v>45</v>
      </c>
      <c r="M330" s="23" t="s">
        <v>46</v>
      </c>
    </row>
    <row r="331" spans="1:13" x14ac:dyDescent="0.35">
      <c r="A331" s="22" t="s">
        <v>151</v>
      </c>
      <c r="B331" s="22" t="s">
        <v>1420</v>
      </c>
      <c r="C331" s="22" t="s">
        <v>62</v>
      </c>
      <c r="D331" s="22" t="s">
        <v>24</v>
      </c>
      <c r="E331" s="22" t="s">
        <v>1102</v>
      </c>
      <c r="F331" s="22" t="s">
        <v>25</v>
      </c>
      <c r="G331" s="22" t="s">
        <v>44</v>
      </c>
      <c r="H331" s="22">
        <v>33</v>
      </c>
      <c r="I331" s="24">
        <v>42212</v>
      </c>
      <c r="J331" s="27">
        <v>502</v>
      </c>
      <c r="K331" s="25">
        <v>0</v>
      </c>
      <c r="L331" s="22" t="s">
        <v>45</v>
      </c>
      <c r="M331" s="23" t="s">
        <v>66</v>
      </c>
    </row>
    <row r="332" spans="1:13" x14ac:dyDescent="0.35">
      <c r="A332" s="22" t="s">
        <v>551</v>
      </c>
      <c r="B332" s="22" t="s">
        <v>1421</v>
      </c>
      <c r="C332" s="22" t="s">
        <v>12</v>
      </c>
      <c r="D332" s="22" t="s">
        <v>13</v>
      </c>
      <c r="E332" s="22" t="s">
        <v>14</v>
      </c>
      <c r="F332" s="22" t="s">
        <v>15</v>
      </c>
      <c r="G332" s="22" t="s">
        <v>21</v>
      </c>
      <c r="H332" s="22">
        <v>28</v>
      </c>
      <c r="I332" s="24">
        <v>44289</v>
      </c>
      <c r="J332" s="27">
        <v>723</v>
      </c>
      <c r="K332" s="25">
        <v>0.33</v>
      </c>
      <c r="L332" s="22" t="s">
        <v>30</v>
      </c>
      <c r="M332" s="23" t="s">
        <v>65</v>
      </c>
    </row>
    <row r="333" spans="1:13" x14ac:dyDescent="0.35">
      <c r="A333" s="22" t="s">
        <v>159</v>
      </c>
      <c r="B333" s="22" t="s">
        <v>1422</v>
      </c>
      <c r="C333" s="22" t="s">
        <v>12</v>
      </c>
      <c r="D333" s="22" t="s">
        <v>28</v>
      </c>
      <c r="E333" s="22" t="s">
        <v>14</v>
      </c>
      <c r="F333" s="22" t="s">
        <v>25</v>
      </c>
      <c r="G333" s="22" t="s">
        <v>21</v>
      </c>
      <c r="H333" s="22">
        <v>61</v>
      </c>
      <c r="I333" s="24">
        <v>38652</v>
      </c>
      <c r="J333" s="27">
        <v>960</v>
      </c>
      <c r="K333" s="25">
        <v>0.32</v>
      </c>
      <c r="L333" s="22" t="s">
        <v>17</v>
      </c>
      <c r="M333" s="23" t="s">
        <v>22</v>
      </c>
    </row>
    <row r="334" spans="1:13" x14ac:dyDescent="0.35">
      <c r="A334" s="22" t="s">
        <v>552</v>
      </c>
      <c r="B334" s="22" t="s">
        <v>1423</v>
      </c>
      <c r="C334" s="22" t="s">
        <v>50</v>
      </c>
      <c r="D334" s="22" t="s">
        <v>28</v>
      </c>
      <c r="E334" s="22" t="s">
        <v>1102</v>
      </c>
      <c r="F334" s="22" t="s">
        <v>25</v>
      </c>
      <c r="G334" s="22" t="s">
        <v>21</v>
      </c>
      <c r="H334" s="22">
        <v>32</v>
      </c>
      <c r="I334" s="24">
        <v>43107</v>
      </c>
      <c r="J334" s="27">
        <v>879</v>
      </c>
      <c r="K334" s="25">
        <v>0</v>
      </c>
      <c r="L334" s="22" t="s">
        <v>17</v>
      </c>
      <c r="M334" s="23" t="s">
        <v>40</v>
      </c>
    </row>
    <row r="335" spans="1:13" x14ac:dyDescent="0.35">
      <c r="A335" s="22" t="s">
        <v>553</v>
      </c>
      <c r="B335" s="22" t="s">
        <v>1424</v>
      </c>
      <c r="C335" s="22" t="s">
        <v>12</v>
      </c>
      <c r="D335" s="22" t="s">
        <v>20</v>
      </c>
      <c r="E335" s="22" t="s">
        <v>14</v>
      </c>
      <c r="F335" s="22" t="s">
        <v>25</v>
      </c>
      <c r="G335" s="22" t="s">
        <v>44</v>
      </c>
      <c r="H335" s="22">
        <v>28</v>
      </c>
      <c r="I335" s="24">
        <v>44044</v>
      </c>
      <c r="J335" s="27">
        <v>503</v>
      </c>
      <c r="K335" s="25">
        <v>0.38</v>
      </c>
      <c r="L335" s="22" t="s">
        <v>45</v>
      </c>
      <c r="M335" s="23" t="s">
        <v>66</v>
      </c>
    </row>
    <row r="336" spans="1:13" x14ac:dyDescent="0.35">
      <c r="A336" s="22" t="s">
        <v>554</v>
      </c>
      <c r="B336" s="22" t="s">
        <v>1425</v>
      </c>
      <c r="C336" s="22" t="s">
        <v>53</v>
      </c>
      <c r="D336" s="22" t="s">
        <v>24</v>
      </c>
      <c r="E336" s="22" t="s">
        <v>1102</v>
      </c>
      <c r="F336" s="22" t="s">
        <v>25</v>
      </c>
      <c r="G336" s="22" t="s">
        <v>16</v>
      </c>
      <c r="H336" s="22">
        <v>39</v>
      </c>
      <c r="I336" s="24">
        <v>40970</v>
      </c>
      <c r="J336" s="27">
        <v>824</v>
      </c>
      <c r="K336" s="25">
        <v>0.05</v>
      </c>
      <c r="L336" s="22" t="s">
        <v>17</v>
      </c>
      <c r="M336" s="23" t="s">
        <v>18</v>
      </c>
    </row>
    <row r="337" spans="1:13" x14ac:dyDescent="0.35">
      <c r="A337" s="22" t="s">
        <v>199</v>
      </c>
      <c r="B337" s="22" t="s">
        <v>1426</v>
      </c>
      <c r="C337" s="22" t="s">
        <v>38</v>
      </c>
      <c r="D337" s="22" t="s">
        <v>56</v>
      </c>
      <c r="E337" s="22" t="s">
        <v>29</v>
      </c>
      <c r="F337" s="22" t="s">
        <v>25</v>
      </c>
      <c r="G337" s="22" t="s">
        <v>44</v>
      </c>
      <c r="H337" s="22">
        <v>57</v>
      </c>
      <c r="I337" s="24">
        <v>37069</v>
      </c>
      <c r="J337" s="27">
        <v>739</v>
      </c>
      <c r="K337" s="25">
        <v>0</v>
      </c>
      <c r="L337" s="22" t="s">
        <v>45</v>
      </c>
      <c r="M337" s="23" t="s">
        <v>46</v>
      </c>
    </row>
    <row r="338" spans="1:13" x14ac:dyDescent="0.35">
      <c r="A338" s="22" t="s">
        <v>555</v>
      </c>
      <c r="B338" s="22" t="s">
        <v>1427</v>
      </c>
      <c r="C338" s="22" t="s">
        <v>12</v>
      </c>
      <c r="D338" s="22" t="s">
        <v>20</v>
      </c>
      <c r="E338" s="22" t="s">
        <v>14</v>
      </c>
      <c r="F338" s="22" t="s">
        <v>25</v>
      </c>
      <c r="G338" s="22" t="s">
        <v>21</v>
      </c>
      <c r="H338" s="22">
        <v>40</v>
      </c>
      <c r="I338" s="24">
        <v>42114</v>
      </c>
      <c r="J338" s="27">
        <v>724</v>
      </c>
      <c r="K338" s="25">
        <v>0.33</v>
      </c>
      <c r="L338" s="22" t="s">
        <v>17</v>
      </c>
      <c r="M338" s="23" t="s">
        <v>18</v>
      </c>
    </row>
    <row r="339" spans="1:13" x14ac:dyDescent="0.35">
      <c r="A339" s="22" t="s">
        <v>556</v>
      </c>
      <c r="B339" s="22" t="s">
        <v>1428</v>
      </c>
      <c r="C339" s="22" t="s">
        <v>12</v>
      </c>
      <c r="D339" s="22" t="s">
        <v>43</v>
      </c>
      <c r="E339" s="22" t="s">
        <v>33</v>
      </c>
      <c r="F339" s="22" t="s">
        <v>25</v>
      </c>
      <c r="G339" s="22" t="s">
        <v>21</v>
      </c>
      <c r="H339" s="22">
        <v>47</v>
      </c>
      <c r="I339" s="24">
        <v>41616</v>
      </c>
      <c r="J339" s="27">
        <v>958</v>
      </c>
      <c r="K339" s="25">
        <v>0.39</v>
      </c>
      <c r="L339" s="22" t="s">
        <v>30</v>
      </c>
      <c r="M339" s="23" t="s">
        <v>52</v>
      </c>
    </row>
    <row r="340" spans="1:13" x14ac:dyDescent="0.35">
      <c r="A340" s="22" t="s">
        <v>557</v>
      </c>
      <c r="B340" s="22" t="s">
        <v>1429</v>
      </c>
      <c r="C340" s="22" t="s">
        <v>23</v>
      </c>
      <c r="D340" s="22" t="s">
        <v>24</v>
      </c>
      <c r="E340" s="22" t="s">
        <v>33</v>
      </c>
      <c r="F340" s="22" t="s">
        <v>15</v>
      </c>
      <c r="G340" s="22" t="s">
        <v>44</v>
      </c>
      <c r="H340" s="22">
        <v>43</v>
      </c>
      <c r="I340" s="24">
        <v>40355</v>
      </c>
      <c r="J340" s="27">
        <v>922</v>
      </c>
      <c r="K340" s="25">
        <v>0</v>
      </c>
      <c r="L340" s="22" t="s">
        <v>45</v>
      </c>
      <c r="M340" s="23" t="s">
        <v>46</v>
      </c>
    </row>
    <row r="341" spans="1:13" x14ac:dyDescent="0.35">
      <c r="A341" s="22" t="s">
        <v>558</v>
      </c>
      <c r="B341" s="22" t="s">
        <v>1430</v>
      </c>
      <c r="C341" s="22" t="s">
        <v>1111</v>
      </c>
      <c r="D341" s="22" t="s">
        <v>13</v>
      </c>
      <c r="E341" s="22" t="s">
        <v>33</v>
      </c>
      <c r="F341" s="22" t="s">
        <v>15</v>
      </c>
      <c r="G341" s="22" t="s">
        <v>41</v>
      </c>
      <c r="H341" s="22">
        <v>33</v>
      </c>
      <c r="I341" s="24">
        <v>41869</v>
      </c>
      <c r="J341" s="27">
        <v>804</v>
      </c>
      <c r="K341" s="25">
        <v>0.12</v>
      </c>
      <c r="L341" s="22" t="s">
        <v>17</v>
      </c>
      <c r="M341" s="23" t="s">
        <v>40</v>
      </c>
    </row>
    <row r="342" spans="1:13" x14ac:dyDescent="0.35">
      <c r="A342" s="22" t="s">
        <v>559</v>
      </c>
      <c r="B342" s="22" t="s">
        <v>1431</v>
      </c>
      <c r="C342" s="22" t="s">
        <v>19</v>
      </c>
      <c r="D342" s="22" t="s">
        <v>20</v>
      </c>
      <c r="E342" s="22" t="s">
        <v>29</v>
      </c>
      <c r="F342" s="22" t="s">
        <v>25</v>
      </c>
      <c r="G342" s="22" t="s">
        <v>44</v>
      </c>
      <c r="H342" s="22">
        <v>31</v>
      </c>
      <c r="I342" s="24">
        <v>43479</v>
      </c>
      <c r="J342" s="27">
        <v>892</v>
      </c>
      <c r="K342" s="25">
        <v>0</v>
      </c>
      <c r="L342" s="22" t="s">
        <v>17</v>
      </c>
      <c r="M342" s="23" t="s">
        <v>18</v>
      </c>
    </row>
    <row r="343" spans="1:13" x14ac:dyDescent="0.35">
      <c r="A343" s="22" t="s">
        <v>560</v>
      </c>
      <c r="B343" s="22" t="s">
        <v>1432</v>
      </c>
      <c r="C343" s="22" t="s">
        <v>12</v>
      </c>
      <c r="D343" s="22" t="s">
        <v>24</v>
      </c>
      <c r="E343" s="22" t="s">
        <v>14</v>
      </c>
      <c r="F343" s="22" t="s">
        <v>15</v>
      </c>
      <c r="G343" s="22" t="s">
        <v>16</v>
      </c>
      <c r="H343" s="22">
        <v>47</v>
      </c>
      <c r="I343" s="24">
        <v>43138</v>
      </c>
      <c r="J343" s="27">
        <v>521</v>
      </c>
      <c r="K343" s="25">
        <v>0.34</v>
      </c>
      <c r="L343" s="22" t="s">
        <v>17</v>
      </c>
      <c r="M343" s="23" t="s">
        <v>26</v>
      </c>
    </row>
    <row r="344" spans="1:13" x14ac:dyDescent="0.35">
      <c r="A344" s="22" t="s">
        <v>561</v>
      </c>
      <c r="B344" s="22" t="s">
        <v>1433</v>
      </c>
      <c r="C344" s="22" t="s">
        <v>12</v>
      </c>
      <c r="D344" s="22" t="s">
        <v>28</v>
      </c>
      <c r="E344" s="22" t="s">
        <v>29</v>
      </c>
      <c r="F344" s="22" t="s">
        <v>15</v>
      </c>
      <c r="G344" s="22" t="s">
        <v>16</v>
      </c>
      <c r="H344" s="22">
        <v>60</v>
      </c>
      <c r="I344" s="24">
        <v>44327</v>
      </c>
      <c r="J344" s="27">
        <v>962</v>
      </c>
      <c r="K344" s="25">
        <v>0.4</v>
      </c>
      <c r="L344" s="22" t="s">
        <v>17</v>
      </c>
      <c r="M344" s="23" t="s">
        <v>18</v>
      </c>
    </row>
    <row r="345" spans="1:13" x14ac:dyDescent="0.35">
      <c r="A345" s="22" t="s">
        <v>562</v>
      </c>
      <c r="B345" s="22" t="s">
        <v>1434</v>
      </c>
      <c r="C345" s="22" t="s">
        <v>71</v>
      </c>
      <c r="D345" s="22" t="s">
        <v>24</v>
      </c>
      <c r="E345" s="22" t="s">
        <v>29</v>
      </c>
      <c r="F345" s="22" t="s">
        <v>15</v>
      </c>
      <c r="G345" s="22" t="s">
        <v>21</v>
      </c>
      <c r="H345" s="22">
        <v>50</v>
      </c>
      <c r="I345" s="24">
        <v>44901</v>
      </c>
      <c r="J345" s="27">
        <v>692</v>
      </c>
      <c r="K345" s="25">
        <v>0</v>
      </c>
      <c r="L345" s="22" t="s">
        <v>30</v>
      </c>
      <c r="M345" s="23" t="s">
        <v>61</v>
      </c>
    </row>
    <row r="346" spans="1:13" x14ac:dyDescent="0.35">
      <c r="A346" s="22" t="s">
        <v>563</v>
      </c>
      <c r="B346" s="22" t="s">
        <v>1435</v>
      </c>
      <c r="C346" s="22" t="s">
        <v>53</v>
      </c>
      <c r="D346" s="22" t="s">
        <v>43</v>
      </c>
      <c r="E346" s="22" t="s">
        <v>14</v>
      </c>
      <c r="F346" s="22" t="s">
        <v>25</v>
      </c>
      <c r="G346" s="22" t="s">
        <v>16</v>
      </c>
      <c r="H346" s="22">
        <v>41</v>
      </c>
      <c r="I346" s="24">
        <v>42718</v>
      </c>
      <c r="J346" s="27">
        <v>618</v>
      </c>
      <c r="K346" s="25">
        <v>0.08</v>
      </c>
      <c r="L346" s="22" t="s">
        <v>17</v>
      </c>
      <c r="M346" s="23" t="s">
        <v>54</v>
      </c>
    </row>
    <row r="347" spans="1:13" x14ac:dyDescent="0.35">
      <c r="A347" s="22" t="s">
        <v>564</v>
      </c>
      <c r="B347" s="22" t="s">
        <v>1436</v>
      </c>
      <c r="C347" s="22" t="s">
        <v>69</v>
      </c>
      <c r="D347" s="22" t="s">
        <v>28</v>
      </c>
      <c r="E347" s="22" t="s">
        <v>1102</v>
      </c>
      <c r="F347" s="22" t="s">
        <v>15</v>
      </c>
      <c r="G347" s="22" t="s">
        <v>44</v>
      </c>
      <c r="H347" s="22">
        <v>28</v>
      </c>
      <c r="I347" s="24">
        <v>44052</v>
      </c>
      <c r="J347" s="27">
        <v>638</v>
      </c>
      <c r="K347" s="25">
        <v>0</v>
      </c>
      <c r="L347" s="22" t="s">
        <v>17</v>
      </c>
      <c r="M347" s="23" t="s">
        <v>18</v>
      </c>
    </row>
    <row r="348" spans="1:13" x14ac:dyDescent="0.35">
      <c r="A348" s="22" t="s">
        <v>565</v>
      </c>
      <c r="B348" s="22" t="s">
        <v>1437</v>
      </c>
      <c r="C348" s="22" t="s">
        <v>47</v>
      </c>
      <c r="D348" s="22" t="s">
        <v>24</v>
      </c>
      <c r="E348" s="22" t="s">
        <v>33</v>
      </c>
      <c r="F348" s="22" t="s">
        <v>15</v>
      </c>
      <c r="G348" s="22" t="s">
        <v>16</v>
      </c>
      <c r="H348" s="22">
        <v>25</v>
      </c>
      <c r="I348" s="24">
        <v>44580</v>
      </c>
      <c r="J348" s="27">
        <v>545</v>
      </c>
      <c r="K348" s="25">
        <v>0</v>
      </c>
      <c r="L348" s="22" t="s">
        <v>17</v>
      </c>
      <c r="M348" s="23" t="s">
        <v>40</v>
      </c>
    </row>
    <row r="349" spans="1:13" x14ac:dyDescent="0.35">
      <c r="A349" s="22" t="s">
        <v>566</v>
      </c>
      <c r="B349" s="22" t="s">
        <v>1438</v>
      </c>
      <c r="C349" s="22" t="s">
        <v>57</v>
      </c>
      <c r="D349" s="22" t="s">
        <v>13</v>
      </c>
      <c r="E349" s="22" t="s">
        <v>1102</v>
      </c>
      <c r="F349" s="22" t="s">
        <v>25</v>
      </c>
      <c r="G349" s="22" t="s">
        <v>44</v>
      </c>
      <c r="H349" s="22">
        <v>45</v>
      </c>
      <c r="I349" s="24">
        <v>42229</v>
      </c>
      <c r="J349" s="27">
        <v>608</v>
      </c>
      <c r="K349" s="25">
        <v>0</v>
      </c>
      <c r="L349" s="22" t="s">
        <v>17</v>
      </c>
      <c r="M349" s="23" t="s">
        <v>40</v>
      </c>
    </row>
    <row r="350" spans="1:13" x14ac:dyDescent="0.35">
      <c r="A350" s="22" t="s">
        <v>567</v>
      </c>
      <c r="B350" s="22" t="s">
        <v>1439</v>
      </c>
      <c r="C350" s="22" t="s">
        <v>59</v>
      </c>
      <c r="D350" s="22" t="s">
        <v>24</v>
      </c>
      <c r="E350" s="22" t="s">
        <v>1102</v>
      </c>
      <c r="F350" s="22" t="s">
        <v>15</v>
      </c>
      <c r="G350" s="22" t="s">
        <v>21</v>
      </c>
      <c r="H350" s="22">
        <v>63</v>
      </c>
      <c r="I350" s="24">
        <v>44182</v>
      </c>
      <c r="J350" s="27">
        <v>586</v>
      </c>
      <c r="K350" s="25">
        <v>0</v>
      </c>
      <c r="L350" s="22" t="s">
        <v>30</v>
      </c>
      <c r="M350" s="23" t="s">
        <v>61</v>
      </c>
    </row>
    <row r="351" spans="1:13" x14ac:dyDescent="0.35">
      <c r="A351" s="22" t="s">
        <v>568</v>
      </c>
      <c r="B351" s="22" t="s">
        <v>1440</v>
      </c>
      <c r="C351" s="22" t="s">
        <v>38</v>
      </c>
      <c r="D351" s="22" t="s">
        <v>39</v>
      </c>
      <c r="E351" s="22" t="s">
        <v>14</v>
      </c>
      <c r="F351" s="22" t="s">
        <v>25</v>
      </c>
      <c r="G351" s="22" t="s">
        <v>44</v>
      </c>
      <c r="H351" s="22">
        <v>52</v>
      </c>
      <c r="I351" s="24">
        <v>37479</v>
      </c>
      <c r="J351" s="27">
        <v>848</v>
      </c>
      <c r="K351" s="25">
        <v>0</v>
      </c>
      <c r="L351" s="22" t="s">
        <v>17</v>
      </c>
      <c r="M351" s="23" t="s">
        <v>54</v>
      </c>
    </row>
    <row r="352" spans="1:13" x14ac:dyDescent="0.35">
      <c r="A352" s="22" t="s">
        <v>569</v>
      </c>
      <c r="B352" s="22" t="s">
        <v>1441</v>
      </c>
      <c r="C352" s="22" t="s">
        <v>55</v>
      </c>
      <c r="D352" s="22" t="s">
        <v>39</v>
      </c>
      <c r="E352" s="22" t="s">
        <v>33</v>
      </c>
      <c r="F352" s="22" t="s">
        <v>15</v>
      </c>
      <c r="G352" s="22" t="s">
        <v>21</v>
      </c>
      <c r="H352" s="22">
        <v>59</v>
      </c>
      <c r="I352" s="24">
        <v>34118</v>
      </c>
      <c r="J352" s="27">
        <v>799</v>
      </c>
      <c r="K352" s="25">
        <v>0</v>
      </c>
      <c r="L352" s="22" t="s">
        <v>30</v>
      </c>
      <c r="M352" s="23" t="s">
        <v>65</v>
      </c>
    </row>
    <row r="353" spans="1:13" x14ac:dyDescent="0.35">
      <c r="A353" s="22" t="s">
        <v>570</v>
      </c>
      <c r="B353" s="22" t="s">
        <v>1442</v>
      </c>
      <c r="C353" s="22" t="s">
        <v>12</v>
      </c>
      <c r="D353" s="22" t="s">
        <v>13</v>
      </c>
      <c r="E353" s="22" t="s">
        <v>33</v>
      </c>
      <c r="F353" s="22" t="s">
        <v>25</v>
      </c>
      <c r="G353" s="22" t="s">
        <v>16</v>
      </c>
      <c r="H353" s="22">
        <v>30</v>
      </c>
      <c r="I353" s="24">
        <v>43114</v>
      </c>
      <c r="J353" s="27">
        <v>728</v>
      </c>
      <c r="K353" s="25">
        <v>0.34</v>
      </c>
      <c r="L353" s="22" t="s">
        <v>17</v>
      </c>
      <c r="M353" s="23" t="s">
        <v>22</v>
      </c>
    </row>
    <row r="354" spans="1:13" x14ac:dyDescent="0.35">
      <c r="A354" s="22" t="s">
        <v>571</v>
      </c>
      <c r="B354" s="22" t="s">
        <v>1443</v>
      </c>
      <c r="C354" s="22" t="s">
        <v>83</v>
      </c>
      <c r="D354" s="22" t="s">
        <v>28</v>
      </c>
      <c r="E354" s="22" t="s">
        <v>14</v>
      </c>
      <c r="F354" s="22" t="s">
        <v>15</v>
      </c>
      <c r="G354" s="22" t="s">
        <v>16</v>
      </c>
      <c r="H354" s="22">
        <v>55</v>
      </c>
      <c r="I354" s="24">
        <v>40004</v>
      </c>
      <c r="J354" s="27">
        <v>912</v>
      </c>
      <c r="K354" s="25">
        <v>0</v>
      </c>
      <c r="L354" s="22" t="s">
        <v>17</v>
      </c>
      <c r="M354" s="23" t="s">
        <v>18</v>
      </c>
    </row>
    <row r="355" spans="1:13" x14ac:dyDescent="0.35">
      <c r="A355" s="22" t="s">
        <v>572</v>
      </c>
      <c r="B355" s="22" t="s">
        <v>1444</v>
      </c>
      <c r="C355" s="22" t="s">
        <v>1111</v>
      </c>
      <c r="D355" s="22" t="s">
        <v>56</v>
      </c>
      <c r="E355" s="22" t="s">
        <v>1102</v>
      </c>
      <c r="F355" s="22" t="s">
        <v>25</v>
      </c>
      <c r="G355" s="22" t="s">
        <v>21</v>
      </c>
      <c r="H355" s="22">
        <v>65</v>
      </c>
      <c r="I355" s="24">
        <v>39926</v>
      </c>
      <c r="J355" s="27">
        <v>931</v>
      </c>
      <c r="K355" s="25">
        <v>0.12</v>
      </c>
      <c r="L355" s="22" t="s">
        <v>17</v>
      </c>
      <c r="M355" s="23" t="s">
        <v>54</v>
      </c>
    </row>
    <row r="356" spans="1:13" x14ac:dyDescent="0.35">
      <c r="A356" s="22" t="s">
        <v>573</v>
      </c>
      <c r="B356" s="22" t="s">
        <v>1445</v>
      </c>
      <c r="C356" s="22" t="s">
        <v>19</v>
      </c>
      <c r="D356" s="22" t="s">
        <v>20</v>
      </c>
      <c r="E356" s="22" t="s">
        <v>29</v>
      </c>
      <c r="F356" s="22" t="s">
        <v>15</v>
      </c>
      <c r="G356" s="22" t="s">
        <v>16</v>
      </c>
      <c r="H356" s="22">
        <v>34</v>
      </c>
      <c r="I356" s="24">
        <v>41809</v>
      </c>
      <c r="J356" s="27">
        <v>743</v>
      </c>
      <c r="K356" s="25">
        <v>0</v>
      </c>
      <c r="L356" s="22" t="s">
        <v>17</v>
      </c>
      <c r="M356" s="23" t="s">
        <v>35</v>
      </c>
    </row>
    <row r="357" spans="1:13" x14ac:dyDescent="0.35">
      <c r="A357" s="22" t="s">
        <v>574</v>
      </c>
      <c r="B357" s="22" t="s">
        <v>1446</v>
      </c>
      <c r="C357" s="22" t="s">
        <v>1111</v>
      </c>
      <c r="D357" s="22" t="s">
        <v>20</v>
      </c>
      <c r="E357" s="22" t="s">
        <v>33</v>
      </c>
      <c r="F357" s="22" t="s">
        <v>15</v>
      </c>
      <c r="G357" s="22" t="s">
        <v>21</v>
      </c>
      <c r="H357" s="22">
        <v>51</v>
      </c>
      <c r="I357" s="24">
        <v>38824</v>
      </c>
      <c r="J357" s="27">
        <v>847</v>
      </c>
      <c r="K357" s="25">
        <v>0.11</v>
      </c>
      <c r="L357" s="22" t="s">
        <v>17</v>
      </c>
      <c r="M357" s="23" t="s">
        <v>22</v>
      </c>
    </row>
    <row r="358" spans="1:13" x14ac:dyDescent="0.35">
      <c r="A358" s="22" t="s">
        <v>575</v>
      </c>
      <c r="B358" s="22" t="s">
        <v>1447</v>
      </c>
      <c r="C358" s="22" t="s">
        <v>63</v>
      </c>
      <c r="D358" s="22" t="s">
        <v>20</v>
      </c>
      <c r="E358" s="22" t="s">
        <v>33</v>
      </c>
      <c r="F358" s="22" t="s">
        <v>15</v>
      </c>
      <c r="G358" s="22" t="s">
        <v>21</v>
      </c>
      <c r="H358" s="22">
        <v>52</v>
      </c>
      <c r="I358" s="24">
        <v>43667</v>
      </c>
      <c r="J358" s="27">
        <v>805</v>
      </c>
      <c r="K358" s="25">
        <v>0</v>
      </c>
      <c r="L358" s="22" t="s">
        <v>30</v>
      </c>
      <c r="M358" s="23" t="s">
        <v>61</v>
      </c>
    </row>
    <row r="359" spans="1:13" x14ac:dyDescent="0.35">
      <c r="A359" s="22" t="s">
        <v>576</v>
      </c>
      <c r="B359" s="22" t="s">
        <v>1448</v>
      </c>
      <c r="C359" s="22" t="s">
        <v>74</v>
      </c>
      <c r="D359" s="22" t="s">
        <v>43</v>
      </c>
      <c r="E359" s="22" t="s">
        <v>1102</v>
      </c>
      <c r="F359" s="22" t="s">
        <v>15</v>
      </c>
      <c r="G359" s="22" t="s">
        <v>44</v>
      </c>
      <c r="H359" s="22">
        <v>44</v>
      </c>
      <c r="I359" s="24">
        <v>43927</v>
      </c>
      <c r="J359" s="27">
        <v>899</v>
      </c>
      <c r="K359" s="25">
        <v>0</v>
      </c>
      <c r="L359" s="22" t="s">
        <v>17</v>
      </c>
      <c r="M359" s="23" t="s">
        <v>26</v>
      </c>
    </row>
    <row r="360" spans="1:13" x14ac:dyDescent="0.35">
      <c r="A360" s="22" t="s">
        <v>577</v>
      </c>
      <c r="B360" s="22" t="s">
        <v>1449</v>
      </c>
      <c r="C360" s="22" t="s">
        <v>12</v>
      </c>
      <c r="D360" s="22" t="s">
        <v>20</v>
      </c>
      <c r="E360" s="22" t="s">
        <v>29</v>
      </c>
      <c r="F360" s="22" t="s">
        <v>15</v>
      </c>
      <c r="G360" s="22" t="s">
        <v>44</v>
      </c>
      <c r="H360" s="22">
        <v>44</v>
      </c>
      <c r="I360" s="24">
        <v>38150</v>
      </c>
      <c r="J360" s="27">
        <v>572</v>
      </c>
      <c r="K360" s="25">
        <v>0.35</v>
      </c>
      <c r="L360" s="22" t="s">
        <v>17</v>
      </c>
      <c r="M360" s="23" t="s">
        <v>40</v>
      </c>
    </row>
    <row r="361" spans="1:13" x14ac:dyDescent="0.35">
      <c r="A361" s="22" t="s">
        <v>578</v>
      </c>
      <c r="B361" s="22" t="s">
        <v>1450</v>
      </c>
      <c r="C361" s="22" t="s">
        <v>60</v>
      </c>
      <c r="D361" s="22" t="s">
        <v>24</v>
      </c>
      <c r="E361" s="22" t="s">
        <v>1102</v>
      </c>
      <c r="F361" s="22" t="s">
        <v>25</v>
      </c>
      <c r="G361" s="22" t="s">
        <v>44</v>
      </c>
      <c r="H361" s="22">
        <v>40</v>
      </c>
      <c r="I361" s="24">
        <v>38822</v>
      </c>
      <c r="J361" s="27">
        <v>891</v>
      </c>
      <c r="K361" s="25">
        <v>0</v>
      </c>
      <c r="L361" s="22" t="s">
        <v>17</v>
      </c>
      <c r="M361" s="23" t="s">
        <v>22</v>
      </c>
    </row>
    <row r="362" spans="1:13" x14ac:dyDescent="0.35">
      <c r="A362" s="22" t="s">
        <v>579</v>
      </c>
      <c r="B362" s="22" t="s">
        <v>1451</v>
      </c>
      <c r="C362" s="22" t="s">
        <v>53</v>
      </c>
      <c r="D362" s="22" t="s">
        <v>20</v>
      </c>
      <c r="E362" s="22" t="s">
        <v>33</v>
      </c>
      <c r="F362" s="22" t="s">
        <v>25</v>
      </c>
      <c r="G362" s="22" t="s">
        <v>21</v>
      </c>
      <c r="H362" s="22">
        <v>25</v>
      </c>
      <c r="I362" s="24">
        <v>44662</v>
      </c>
      <c r="J362" s="27">
        <v>974</v>
      </c>
      <c r="K362" s="25">
        <v>7.0000000000000007E-2</v>
      </c>
      <c r="L362" s="22" t="s">
        <v>17</v>
      </c>
      <c r="M362" s="23" t="s">
        <v>54</v>
      </c>
    </row>
    <row r="363" spans="1:13" x14ac:dyDescent="0.35">
      <c r="A363" s="22" t="s">
        <v>135</v>
      </c>
      <c r="B363" s="22" t="s">
        <v>1452</v>
      </c>
      <c r="C363" s="22" t="s">
        <v>67</v>
      </c>
      <c r="D363" s="22" t="s">
        <v>24</v>
      </c>
      <c r="E363" s="22" t="s">
        <v>14</v>
      </c>
      <c r="F363" s="22" t="s">
        <v>15</v>
      </c>
      <c r="G363" s="22" t="s">
        <v>44</v>
      </c>
      <c r="H363" s="22">
        <v>32</v>
      </c>
      <c r="I363" s="24">
        <v>43114</v>
      </c>
      <c r="J363" s="27">
        <v>519</v>
      </c>
      <c r="K363" s="25">
        <v>0</v>
      </c>
      <c r="L363" s="22" t="s">
        <v>17</v>
      </c>
      <c r="M363" s="23" t="s">
        <v>54</v>
      </c>
    </row>
    <row r="364" spans="1:13" x14ac:dyDescent="0.35">
      <c r="A364" s="22" t="s">
        <v>580</v>
      </c>
      <c r="B364" s="22" t="s">
        <v>1453</v>
      </c>
      <c r="C364" s="22" t="s">
        <v>38</v>
      </c>
      <c r="D364" s="22" t="s">
        <v>39</v>
      </c>
      <c r="E364" s="22" t="s">
        <v>1102</v>
      </c>
      <c r="F364" s="22" t="s">
        <v>15</v>
      </c>
      <c r="G364" s="22" t="s">
        <v>44</v>
      </c>
      <c r="H364" s="22">
        <v>45</v>
      </c>
      <c r="I364" s="24">
        <v>41299</v>
      </c>
      <c r="J364" s="27">
        <v>854</v>
      </c>
      <c r="K364" s="25">
        <v>0</v>
      </c>
      <c r="L364" s="22" t="s">
        <v>45</v>
      </c>
      <c r="M364" s="23" t="s">
        <v>1134</v>
      </c>
    </row>
    <row r="365" spans="1:13" x14ac:dyDescent="0.35">
      <c r="A365" s="22" t="s">
        <v>581</v>
      </c>
      <c r="B365" s="22" t="s">
        <v>1454</v>
      </c>
      <c r="C365" s="22" t="s">
        <v>48</v>
      </c>
      <c r="D365" s="22" t="s">
        <v>24</v>
      </c>
      <c r="E365" s="22" t="s">
        <v>29</v>
      </c>
      <c r="F365" s="22" t="s">
        <v>15</v>
      </c>
      <c r="G365" s="22" t="s">
        <v>16</v>
      </c>
      <c r="H365" s="22">
        <v>56</v>
      </c>
      <c r="I365" s="24">
        <v>44446</v>
      </c>
      <c r="J365" s="27">
        <v>974</v>
      </c>
      <c r="K365" s="25">
        <v>0.06</v>
      </c>
      <c r="L365" s="22" t="s">
        <v>17</v>
      </c>
      <c r="M365" s="23" t="s">
        <v>18</v>
      </c>
    </row>
    <row r="366" spans="1:13" x14ac:dyDescent="0.35">
      <c r="A366" s="22" t="s">
        <v>582</v>
      </c>
      <c r="B366" s="22" t="s">
        <v>1455</v>
      </c>
      <c r="C366" s="22" t="s">
        <v>70</v>
      </c>
      <c r="D366" s="22" t="s">
        <v>28</v>
      </c>
      <c r="E366" s="22" t="s">
        <v>14</v>
      </c>
      <c r="F366" s="22" t="s">
        <v>15</v>
      </c>
      <c r="G366" s="22" t="s">
        <v>44</v>
      </c>
      <c r="H366" s="22">
        <v>52</v>
      </c>
      <c r="I366" s="24">
        <v>37188</v>
      </c>
      <c r="J366" s="27">
        <v>749</v>
      </c>
      <c r="K366" s="25">
        <v>0</v>
      </c>
      <c r="L366" s="22" t="s">
        <v>45</v>
      </c>
      <c r="M366" s="23" t="s">
        <v>1134</v>
      </c>
    </row>
    <row r="367" spans="1:13" x14ac:dyDescent="0.35">
      <c r="A367" s="22" t="s">
        <v>583</v>
      </c>
      <c r="B367" s="22" t="s">
        <v>1456</v>
      </c>
      <c r="C367" s="22" t="s">
        <v>53</v>
      </c>
      <c r="D367" s="22" t="s">
        <v>24</v>
      </c>
      <c r="E367" s="22" t="s">
        <v>33</v>
      </c>
      <c r="F367" s="22" t="s">
        <v>25</v>
      </c>
      <c r="G367" s="22" t="s">
        <v>21</v>
      </c>
      <c r="H367" s="22">
        <v>49</v>
      </c>
      <c r="I367" s="24">
        <v>40324</v>
      </c>
      <c r="J367" s="27">
        <v>939</v>
      </c>
      <c r="K367" s="25">
        <v>0.09</v>
      </c>
      <c r="L367" s="22" t="s">
        <v>17</v>
      </c>
      <c r="M367" s="23" t="s">
        <v>54</v>
      </c>
    </row>
    <row r="368" spans="1:13" x14ac:dyDescent="0.35">
      <c r="A368" s="22" t="s">
        <v>584</v>
      </c>
      <c r="B368" s="22" t="s">
        <v>1457</v>
      </c>
      <c r="C368" s="22" t="s">
        <v>55</v>
      </c>
      <c r="D368" s="22" t="s">
        <v>13</v>
      </c>
      <c r="E368" s="22" t="s">
        <v>33</v>
      </c>
      <c r="F368" s="22" t="s">
        <v>15</v>
      </c>
      <c r="G368" s="22" t="s">
        <v>21</v>
      </c>
      <c r="H368" s="22">
        <v>46</v>
      </c>
      <c r="I368" s="24">
        <v>40050</v>
      </c>
      <c r="J368" s="27">
        <v>904</v>
      </c>
      <c r="K368" s="25">
        <v>0</v>
      </c>
      <c r="L368" s="22" t="s">
        <v>17</v>
      </c>
      <c r="M368" s="23" t="s">
        <v>26</v>
      </c>
    </row>
    <row r="369" spans="1:13" x14ac:dyDescent="0.35">
      <c r="A369" s="22" t="s">
        <v>585</v>
      </c>
      <c r="B369" s="22" t="s">
        <v>1458</v>
      </c>
      <c r="C369" s="22" t="s">
        <v>1111</v>
      </c>
      <c r="D369" s="22" t="s">
        <v>43</v>
      </c>
      <c r="E369" s="22" t="s">
        <v>14</v>
      </c>
      <c r="F369" s="22" t="s">
        <v>15</v>
      </c>
      <c r="G369" s="22" t="s">
        <v>21</v>
      </c>
      <c r="H369" s="22">
        <v>39</v>
      </c>
      <c r="I369" s="24">
        <v>40961</v>
      </c>
      <c r="J369" s="27">
        <v>539</v>
      </c>
      <c r="K369" s="25">
        <v>0.14000000000000001</v>
      </c>
      <c r="L369" s="22" t="s">
        <v>30</v>
      </c>
      <c r="M369" s="23" t="s">
        <v>52</v>
      </c>
    </row>
    <row r="370" spans="1:13" x14ac:dyDescent="0.35">
      <c r="A370" s="22" t="s">
        <v>586</v>
      </c>
      <c r="B370" s="22" t="s">
        <v>1459</v>
      </c>
      <c r="C370" s="22" t="s">
        <v>38</v>
      </c>
      <c r="D370" s="22" t="s">
        <v>43</v>
      </c>
      <c r="E370" s="22" t="s">
        <v>33</v>
      </c>
      <c r="F370" s="22" t="s">
        <v>15</v>
      </c>
      <c r="G370" s="22" t="s">
        <v>44</v>
      </c>
      <c r="H370" s="22">
        <v>55</v>
      </c>
      <c r="I370" s="24">
        <v>35883</v>
      </c>
      <c r="J370" s="27">
        <v>898</v>
      </c>
      <c r="K370" s="25">
        <v>0</v>
      </c>
      <c r="L370" s="22" t="s">
        <v>17</v>
      </c>
      <c r="M370" s="23" t="s">
        <v>18</v>
      </c>
    </row>
    <row r="371" spans="1:13" x14ac:dyDescent="0.35">
      <c r="A371" s="22" t="s">
        <v>587</v>
      </c>
      <c r="B371" s="22" t="s">
        <v>1460</v>
      </c>
      <c r="C371" s="22" t="s">
        <v>77</v>
      </c>
      <c r="D371" s="22" t="s">
        <v>24</v>
      </c>
      <c r="E371" s="22" t="s">
        <v>33</v>
      </c>
      <c r="F371" s="22" t="s">
        <v>25</v>
      </c>
      <c r="G371" s="22" t="s">
        <v>21</v>
      </c>
      <c r="H371" s="22">
        <v>34</v>
      </c>
      <c r="I371" s="24">
        <v>41167</v>
      </c>
      <c r="J371" s="27">
        <v>762</v>
      </c>
      <c r="K371" s="25">
        <v>0</v>
      </c>
      <c r="L371" s="22" t="s">
        <v>17</v>
      </c>
      <c r="M371" s="23" t="s">
        <v>40</v>
      </c>
    </row>
    <row r="372" spans="1:13" x14ac:dyDescent="0.35">
      <c r="A372" s="22" t="s">
        <v>588</v>
      </c>
      <c r="B372" s="22" t="s">
        <v>1461</v>
      </c>
      <c r="C372" s="22" t="s">
        <v>57</v>
      </c>
      <c r="D372" s="22" t="s">
        <v>43</v>
      </c>
      <c r="E372" s="22" t="s">
        <v>14</v>
      </c>
      <c r="F372" s="22" t="s">
        <v>15</v>
      </c>
      <c r="G372" s="22" t="s">
        <v>41</v>
      </c>
      <c r="H372" s="22">
        <v>56</v>
      </c>
      <c r="I372" s="24">
        <v>41079</v>
      </c>
      <c r="J372" s="27">
        <v>601</v>
      </c>
      <c r="K372" s="25">
        <v>0</v>
      </c>
      <c r="L372" s="22" t="s">
        <v>17</v>
      </c>
      <c r="M372" s="23" t="s">
        <v>22</v>
      </c>
    </row>
    <row r="373" spans="1:13" x14ac:dyDescent="0.35">
      <c r="A373" s="22" t="s">
        <v>589</v>
      </c>
      <c r="B373" s="22" t="s">
        <v>1462</v>
      </c>
      <c r="C373" s="22" t="s">
        <v>55</v>
      </c>
      <c r="D373" s="22" t="s">
        <v>39</v>
      </c>
      <c r="E373" s="22" t="s">
        <v>14</v>
      </c>
      <c r="F373" s="22" t="s">
        <v>25</v>
      </c>
      <c r="G373" s="22" t="s">
        <v>44</v>
      </c>
      <c r="H373" s="22">
        <v>56</v>
      </c>
      <c r="I373" s="24">
        <v>41180</v>
      </c>
      <c r="J373" s="27">
        <v>809</v>
      </c>
      <c r="K373" s="25">
        <v>0</v>
      </c>
      <c r="L373" s="22" t="s">
        <v>17</v>
      </c>
      <c r="M373" s="23" t="s">
        <v>54</v>
      </c>
    </row>
    <row r="374" spans="1:13" x14ac:dyDescent="0.35">
      <c r="A374" s="22" t="s">
        <v>590</v>
      </c>
      <c r="B374" s="22" t="s">
        <v>1463</v>
      </c>
      <c r="C374" s="22" t="s">
        <v>50</v>
      </c>
      <c r="D374" s="22" t="s">
        <v>28</v>
      </c>
      <c r="E374" s="22" t="s">
        <v>14</v>
      </c>
      <c r="F374" s="22" t="s">
        <v>25</v>
      </c>
      <c r="G374" s="22" t="s">
        <v>21</v>
      </c>
      <c r="H374" s="22">
        <v>62</v>
      </c>
      <c r="I374" s="24">
        <v>42845</v>
      </c>
      <c r="J374" s="27">
        <v>752</v>
      </c>
      <c r="K374" s="25">
        <v>0</v>
      </c>
      <c r="L374" s="22" t="s">
        <v>17</v>
      </c>
      <c r="M374" s="23" t="s">
        <v>35</v>
      </c>
    </row>
    <row r="375" spans="1:13" x14ac:dyDescent="0.35">
      <c r="A375" s="22" t="s">
        <v>101</v>
      </c>
      <c r="B375" s="22" t="s">
        <v>1464</v>
      </c>
      <c r="C375" s="22" t="s">
        <v>12</v>
      </c>
      <c r="D375" s="22" t="s">
        <v>39</v>
      </c>
      <c r="E375" s="22" t="s">
        <v>1102</v>
      </c>
      <c r="F375" s="22" t="s">
        <v>15</v>
      </c>
      <c r="G375" s="22" t="s">
        <v>44</v>
      </c>
      <c r="H375" s="22">
        <v>60</v>
      </c>
      <c r="I375" s="24">
        <v>35788</v>
      </c>
      <c r="J375" s="27">
        <v>765</v>
      </c>
      <c r="K375" s="25">
        <v>0.38</v>
      </c>
      <c r="L375" s="22" t="s">
        <v>17</v>
      </c>
      <c r="M375" s="23" t="s">
        <v>22</v>
      </c>
    </row>
    <row r="376" spans="1:13" x14ac:dyDescent="0.35">
      <c r="A376" s="22" t="s">
        <v>591</v>
      </c>
      <c r="B376" s="22" t="s">
        <v>1465</v>
      </c>
      <c r="C376" s="22" t="s">
        <v>73</v>
      </c>
      <c r="D376" s="22" t="s">
        <v>24</v>
      </c>
      <c r="E376" s="22" t="s">
        <v>33</v>
      </c>
      <c r="F376" s="22" t="s">
        <v>25</v>
      </c>
      <c r="G376" s="22" t="s">
        <v>16</v>
      </c>
      <c r="H376" s="22">
        <v>42</v>
      </c>
      <c r="I376" s="24">
        <v>40072</v>
      </c>
      <c r="J376" s="27">
        <v>911</v>
      </c>
      <c r="K376" s="25">
        <v>0</v>
      </c>
      <c r="L376" s="22" t="s">
        <v>17</v>
      </c>
      <c r="M376" s="23" t="s">
        <v>35</v>
      </c>
    </row>
    <row r="377" spans="1:13" x14ac:dyDescent="0.35">
      <c r="A377" s="22" t="s">
        <v>592</v>
      </c>
      <c r="B377" s="22" t="s">
        <v>1466</v>
      </c>
      <c r="C377" s="22" t="s">
        <v>73</v>
      </c>
      <c r="D377" s="22" t="s">
        <v>24</v>
      </c>
      <c r="E377" s="22" t="s">
        <v>33</v>
      </c>
      <c r="F377" s="22" t="s">
        <v>25</v>
      </c>
      <c r="G377" s="22" t="s">
        <v>44</v>
      </c>
      <c r="H377" s="22">
        <v>27</v>
      </c>
      <c r="I377" s="24">
        <v>44096</v>
      </c>
      <c r="J377" s="27">
        <v>782</v>
      </c>
      <c r="K377" s="25">
        <v>0</v>
      </c>
      <c r="L377" s="22" t="s">
        <v>17</v>
      </c>
      <c r="M377" s="23" t="s">
        <v>26</v>
      </c>
    </row>
    <row r="378" spans="1:13" x14ac:dyDescent="0.35">
      <c r="A378" s="22" t="s">
        <v>119</v>
      </c>
      <c r="B378" s="22" t="s">
        <v>1467</v>
      </c>
      <c r="C378" s="22" t="s">
        <v>50</v>
      </c>
      <c r="D378" s="22" t="s">
        <v>28</v>
      </c>
      <c r="E378" s="22" t="s">
        <v>29</v>
      </c>
      <c r="F378" s="22" t="s">
        <v>15</v>
      </c>
      <c r="G378" s="22" t="s">
        <v>21</v>
      </c>
      <c r="H378" s="22">
        <v>37</v>
      </c>
      <c r="I378" s="24">
        <v>43892</v>
      </c>
      <c r="J378" s="27">
        <v>781</v>
      </c>
      <c r="K378" s="25">
        <v>0</v>
      </c>
      <c r="L378" s="22" t="s">
        <v>30</v>
      </c>
      <c r="M378" s="23" t="s">
        <v>52</v>
      </c>
    </row>
    <row r="379" spans="1:13" x14ac:dyDescent="0.35">
      <c r="A379" s="22" t="s">
        <v>593</v>
      </c>
      <c r="B379" s="22" t="s">
        <v>1468</v>
      </c>
      <c r="C379" s="22" t="s">
        <v>36</v>
      </c>
      <c r="D379" s="22" t="s">
        <v>24</v>
      </c>
      <c r="E379" s="22" t="s">
        <v>33</v>
      </c>
      <c r="F379" s="22" t="s">
        <v>25</v>
      </c>
      <c r="G379" s="22" t="s">
        <v>44</v>
      </c>
      <c r="H379" s="22">
        <v>29</v>
      </c>
      <c r="I379" s="24">
        <v>44570</v>
      </c>
      <c r="J379" s="27">
        <v>743</v>
      </c>
      <c r="K379" s="25">
        <v>0.15</v>
      </c>
      <c r="L379" s="22" t="s">
        <v>17</v>
      </c>
      <c r="M379" s="23" t="s">
        <v>54</v>
      </c>
    </row>
    <row r="380" spans="1:13" x14ac:dyDescent="0.35">
      <c r="A380" s="22" t="s">
        <v>594</v>
      </c>
      <c r="B380" s="22" t="s">
        <v>1469</v>
      </c>
      <c r="C380" s="22" t="s">
        <v>1111</v>
      </c>
      <c r="D380" s="22" t="s">
        <v>56</v>
      </c>
      <c r="E380" s="22" t="s">
        <v>14</v>
      </c>
      <c r="F380" s="22" t="s">
        <v>25</v>
      </c>
      <c r="G380" s="22" t="s">
        <v>21</v>
      </c>
      <c r="H380" s="22">
        <v>32</v>
      </c>
      <c r="I380" s="24">
        <v>41988</v>
      </c>
      <c r="J380" s="27">
        <v>559</v>
      </c>
      <c r="K380" s="25">
        <v>0.12</v>
      </c>
      <c r="L380" s="22" t="s">
        <v>30</v>
      </c>
      <c r="M380" s="23" t="s">
        <v>52</v>
      </c>
    </row>
    <row r="381" spans="1:13" x14ac:dyDescent="0.35">
      <c r="A381" s="22" t="s">
        <v>595</v>
      </c>
      <c r="B381" s="22" t="s">
        <v>1470</v>
      </c>
      <c r="C381" s="22" t="s">
        <v>36</v>
      </c>
      <c r="D381" s="22" t="s">
        <v>13</v>
      </c>
      <c r="E381" s="22" t="s">
        <v>14</v>
      </c>
      <c r="F381" s="22" t="s">
        <v>25</v>
      </c>
      <c r="G381" s="22" t="s">
        <v>21</v>
      </c>
      <c r="H381" s="22">
        <v>33</v>
      </c>
      <c r="I381" s="24">
        <v>41525</v>
      </c>
      <c r="J381" s="27">
        <v>521</v>
      </c>
      <c r="K381" s="25">
        <v>0.15</v>
      </c>
      <c r="L381" s="22" t="s">
        <v>17</v>
      </c>
      <c r="M381" s="23" t="s">
        <v>18</v>
      </c>
    </row>
    <row r="382" spans="1:13" x14ac:dyDescent="0.35">
      <c r="A382" s="22" t="s">
        <v>596</v>
      </c>
      <c r="B382" s="22" t="s">
        <v>1471</v>
      </c>
      <c r="C382" s="22" t="s">
        <v>69</v>
      </c>
      <c r="D382" s="22" t="s">
        <v>28</v>
      </c>
      <c r="E382" s="22" t="s">
        <v>1102</v>
      </c>
      <c r="F382" s="22" t="s">
        <v>15</v>
      </c>
      <c r="G382" s="22" t="s">
        <v>44</v>
      </c>
      <c r="H382" s="22">
        <v>42</v>
      </c>
      <c r="I382" s="24">
        <v>38802</v>
      </c>
      <c r="J382" s="27">
        <v>750</v>
      </c>
      <c r="K382" s="25">
        <v>0</v>
      </c>
      <c r="L382" s="22" t="s">
        <v>45</v>
      </c>
      <c r="M382" s="23" t="s">
        <v>66</v>
      </c>
    </row>
    <row r="383" spans="1:13" x14ac:dyDescent="0.35">
      <c r="A383" s="22" t="s">
        <v>597</v>
      </c>
      <c r="B383" s="22" t="s">
        <v>1472</v>
      </c>
      <c r="C383" s="22" t="s">
        <v>57</v>
      </c>
      <c r="D383" s="22" t="s">
        <v>13</v>
      </c>
      <c r="E383" s="22" t="s">
        <v>1102</v>
      </c>
      <c r="F383" s="22" t="s">
        <v>25</v>
      </c>
      <c r="G383" s="22" t="s">
        <v>21</v>
      </c>
      <c r="H383" s="22">
        <v>60</v>
      </c>
      <c r="I383" s="24">
        <v>35452</v>
      </c>
      <c r="J383" s="27">
        <v>970</v>
      </c>
      <c r="K383" s="25">
        <v>0</v>
      </c>
      <c r="L383" s="22" t="s">
        <v>17</v>
      </c>
      <c r="M383" s="23" t="s">
        <v>26</v>
      </c>
    </row>
    <row r="384" spans="1:13" x14ac:dyDescent="0.35">
      <c r="A384" s="22" t="s">
        <v>598</v>
      </c>
      <c r="B384" s="22" t="s">
        <v>1473</v>
      </c>
      <c r="C384" s="22" t="s">
        <v>12</v>
      </c>
      <c r="D384" s="22" t="s">
        <v>13</v>
      </c>
      <c r="E384" s="22" t="s">
        <v>14</v>
      </c>
      <c r="F384" s="22" t="s">
        <v>15</v>
      </c>
      <c r="G384" s="22" t="s">
        <v>21</v>
      </c>
      <c r="H384" s="22">
        <v>51</v>
      </c>
      <c r="I384" s="24">
        <v>39908</v>
      </c>
      <c r="J384" s="27">
        <v>642</v>
      </c>
      <c r="K384" s="25">
        <v>0.33</v>
      </c>
      <c r="L384" s="22" t="s">
        <v>17</v>
      </c>
      <c r="M384" s="23" t="s">
        <v>54</v>
      </c>
    </row>
    <row r="385" spans="1:13" x14ac:dyDescent="0.35">
      <c r="A385" s="22" t="s">
        <v>599</v>
      </c>
      <c r="B385" s="22" t="s">
        <v>1474</v>
      </c>
      <c r="C385" s="22" t="s">
        <v>68</v>
      </c>
      <c r="D385" s="22" t="s">
        <v>20</v>
      </c>
      <c r="E385" s="22" t="s">
        <v>33</v>
      </c>
      <c r="F385" s="22" t="s">
        <v>15</v>
      </c>
      <c r="G385" s="22" t="s">
        <v>21</v>
      </c>
      <c r="H385" s="22">
        <v>50</v>
      </c>
      <c r="I385" s="24">
        <v>43977</v>
      </c>
      <c r="J385" s="27">
        <v>861</v>
      </c>
      <c r="K385" s="25">
        <v>0</v>
      </c>
      <c r="L385" s="22" t="s">
        <v>30</v>
      </c>
      <c r="M385" s="23" t="s">
        <v>65</v>
      </c>
    </row>
    <row r="386" spans="1:13" x14ac:dyDescent="0.35">
      <c r="A386" s="22" t="s">
        <v>600</v>
      </c>
      <c r="B386" s="22" t="s">
        <v>1475</v>
      </c>
      <c r="C386" s="22" t="s">
        <v>12</v>
      </c>
      <c r="D386" s="22" t="s">
        <v>13</v>
      </c>
      <c r="E386" s="22" t="s">
        <v>1102</v>
      </c>
      <c r="F386" s="22" t="s">
        <v>25</v>
      </c>
      <c r="G386" s="22" t="s">
        <v>44</v>
      </c>
      <c r="H386" s="22">
        <v>50</v>
      </c>
      <c r="I386" s="24">
        <v>40158</v>
      </c>
      <c r="J386" s="27">
        <v>825</v>
      </c>
      <c r="K386" s="25">
        <v>0.38</v>
      </c>
      <c r="L386" s="22" t="s">
        <v>17</v>
      </c>
      <c r="M386" s="23" t="s">
        <v>54</v>
      </c>
    </row>
    <row r="387" spans="1:13" x14ac:dyDescent="0.35">
      <c r="A387" s="22" t="s">
        <v>136</v>
      </c>
      <c r="B387" s="22" t="s">
        <v>1476</v>
      </c>
      <c r="C387" s="22" t="s">
        <v>55</v>
      </c>
      <c r="D387" s="22" t="s">
        <v>43</v>
      </c>
      <c r="E387" s="22" t="s">
        <v>1102</v>
      </c>
      <c r="F387" s="22" t="s">
        <v>25</v>
      </c>
      <c r="G387" s="22" t="s">
        <v>44</v>
      </c>
      <c r="H387" s="22">
        <v>26</v>
      </c>
      <c r="I387" s="24">
        <v>44728</v>
      </c>
      <c r="J387" s="27">
        <v>914</v>
      </c>
      <c r="K387" s="25">
        <v>0</v>
      </c>
      <c r="L387" s="22" t="s">
        <v>45</v>
      </c>
      <c r="M387" s="23" t="s">
        <v>1134</v>
      </c>
    </row>
    <row r="388" spans="1:13" x14ac:dyDescent="0.35">
      <c r="A388" s="22" t="s">
        <v>601</v>
      </c>
      <c r="B388" s="22" t="s">
        <v>1477</v>
      </c>
      <c r="C388" s="22" t="s">
        <v>59</v>
      </c>
      <c r="D388" s="22" t="s">
        <v>24</v>
      </c>
      <c r="E388" s="22" t="s">
        <v>29</v>
      </c>
      <c r="F388" s="22" t="s">
        <v>25</v>
      </c>
      <c r="G388" s="22" t="s">
        <v>21</v>
      </c>
      <c r="H388" s="22">
        <v>30</v>
      </c>
      <c r="I388" s="24">
        <v>44851</v>
      </c>
      <c r="J388" s="27">
        <v>851</v>
      </c>
      <c r="K388" s="25">
        <v>0</v>
      </c>
      <c r="L388" s="22" t="s">
        <v>17</v>
      </c>
      <c r="M388" s="23" t="s">
        <v>35</v>
      </c>
    </row>
    <row r="389" spans="1:13" x14ac:dyDescent="0.35">
      <c r="A389" s="22" t="s">
        <v>602</v>
      </c>
      <c r="B389" s="22" t="s">
        <v>1478</v>
      </c>
      <c r="C389" s="22" t="s">
        <v>38</v>
      </c>
      <c r="D389" s="22" t="s">
        <v>43</v>
      </c>
      <c r="E389" s="22" t="s">
        <v>33</v>
      </c>
      <c r="F389" s="22" t="s">
        <v>15</v>
      </c>
      <c r="G389" s="22" t="s">
        <v>21</v>
      </c>
      <c r="H389" s="22">
        <v>35</v>
      </c>
      <c r="I389" s="24">
        <v>44497</v>
      </c>
      <c r="J389" s="27">
        <v>853</v>
      </c>
      <c r="K389" s="25">
        <v>0</v>
      </c>
      <c r="L389" s="22" t="s">
        <v>17</v>
      </c>
      <c r="M389" s="23" t="s">
        <v>40</v>
      </c>
    </row>
    <row r="390" spans="1:13" x14ac:dyDescent="0.35">
      <c r="A390" s="22" t="s">
        <v>603</v>
      </c>
      <c r="B390" s="22" t="s">
        <v>1479</v>
      </c>
      <c r="C390" s="22" t="s">
        <v>72</v>
      </c>
      <c r="D390" s="22" t="s">
        <v>24</v>
      </c>
      <c r="E390" s="22" t="s">
        <v>1102</v>
      </c>
      <c r="F390" s="22" t="s">
        <v>25</v>
      </c>
      <c r="G390" s="22" t="s">
        <v>16</v>
      </c>
      <c r="H390" s="22">
        <v>44</v>
      </c>
      <c r="I390" s="24">
        <v>44240</v>
      </c>
      <c r="J390" s="27">
        <v>789</v>
      </c>
      <c r="K390" s="25">
        <v>0</v>
      </c>
      <c r="L390" s="22" t="s">
        <v>17</v>
      </c>
      <c r="M390" s="23" t="s">
        <v>22</v>
      </c>
    </row>
    <row r="391" spans="1:13" x14ac:dyDescent="0.35">
      <c r="A391" s="22" t="s">
        <v>246</v>
      </c>
      <c r="B391" s="22" t="s">
        <v>1480</v>
      </c>
      <c r="C391" s="22" t="s">
        <v>55</v>
      </c>
      <c r="D391" s="22" t="s">
        <v>39</v>
      </c>
      <c r="E391" s="22" t="s">
        <v>1102</v>
      </c>
      <c r="F391" s="22" t="s">
        <v>15</v>
      </c>
      <c r="G391" s="22" t="s">
        <v>41</v>
      </c>
      <c r="H391" s="22">
        <v>26</v>
      </c>
      <c r="I391" s="24">
        <v>43979</v>
      </c>
      <c r="J391" s="27">
        <v>973</v>
      </c>
      <c r="K391" s="25">
        <v>0</v>
      </c>
      <c r="L391" s="22" t="s">
        <v>17</v>
      </c>
      <c r="M391" s="23" t="s">
        <v>26</v>
      </c>
    </row>
    <row r="392" spans="1:13" x14ac:dyDescent="0.35">
      <c r="A392" s="22" t="s">
        <v>604</v>
      </c>
      <c r="B392" s="22" t="s">
        <v>1481</v>
      </c>
      <c r="C392" s="22" t="s">
        <v>71</v>
      </c>
      <c r="D392" s="22" t="s">
        <v>24</v>
      </c>
      <c r="E392" s="22" t="s">
        <v>14</v>
      </c>
      <c r="F392" s="22" t="s">
        <v>15</v>
      </c>
      <c r="G392" s="22" t="s">
        <v>44</v>
      </c>
      <c r="H392" s="22">
        <v>44</v>
      </c>
      <c r="I392" s="24">
        <v>41551</v>
      </c>
      <c r="J392" s="27">
        <v>934</v>
      </c>
      <c r="K392" s="25">
        <v>0</v>
      </c>
      <c r="L392" s="22" t="s">
        <v>45</v>
      </c>
      <c r="M392" s="23" t="s">
        <v>1134</v>
      </c>
    </row>
    <row r="393" spans="1:13" x14ac:dyDescent="0.35">
      <c r="A393" s="22" t="s">
        <v>605</v>
      </c>
      <c r="B393" s="22" t="s">
        <v>1482</v>
      </c>
      <c r="C393" s="22" t="s">
        <v>48</v>
      </c>
      <c r="D393" s="22" t="s">
        <v>24</v>
      </c>
      <c r="E393" s="22" t="s">
        <v>29</v>
      </c>
      <c r="F393" s="22" t="s">
        <v>15</v>
      </c>
      <c r="G393" s="22" t="s">
        <v>16</v>
      </c>
      <c r="H393" s="22">
        <v>61</v>
      </c>
      <c r="I393" s="24">
        <v>40214</v>
      </c>
      <c r="J393" s="27">
        <v>658</v>
      </c>
      <c r="K393" s="25">
        <v>0.09</v>
      </c>
      <c r="L393" s="22" t="s">
        <v>17</v>
      </c>
      <c r="M393" s="23" t="s">
        <v>54</v>
      </c>
    </row>
    <row r="394" spans="1:13" x14ac:dyDescent="0.35">
      <c r="A394" s="22" t="s">
        <v>606</v>
      </c>
      <c r="B394" s="22" t="s">
        <v>1483</v>
      </c>
      <c r="C394" s="22" t="s">
        <v>55</v>
      </c>
      <c r="D394" s="22" t="s">
        <v>56</v>
      </c>
      <c r="E394" s="22" t="s">
        <v>29</v>
      </c>
      <c r="F394" s="22" t="s">
        <v>25</v>
      </c>
      <c r="G394" s="22" t="s">
        <v>21</v>
      </c>
      <c r="H394" s="22">
        <v>50</v>
      </c>
      <c r="I394" s="24">
        <v>37408</v>
      </c>
      <c r="J394" s="27">
        <v>803</v>
      </c>
      <c r="K394" s="25">
        <v>0</v>
      </c>
      <c r="L394" s="22" t="s">
        <v>17</v>
      </c>
      <c r="M394" s="23" t="s">
        <v>54</v>
      </c>
    </row>
    <row r="395" spans="1:13" x14ac:dyDescent="0.35">
      <c r="A395" s="22" t="s">
        <v>607</v>
      </c>
      <c r="B395" s="22" t="s">
        <v>1484</v>
      </c>
      <c r="C395" s="22" t="s">
        <v>19</v>
      </c>
      <c r="D395" s="22" t="s">
        <v>20</v>
      </c>
      <c r="E395" s="22" t="s">
        <v>29</v>
      </c>
      <c r="F395" s="22" t="s">
        <v>25</v>
      </c>
      <c r="G395" s="22" t="s">
        <v>44</v>
      </c>
      <c r="H395" s="22">
        <v>61</v>
      </c>
      <c r="I395" s="24">
        <v>40569</v>
      </c>
      <c r="J395" s="27">
        <v>837</v>
      </c>
      <c r="K395" s="25">
        <v>0</v>
      </c>
      <c r="L395" s="22" t="s">
        <v>17</v>
      </c>
      <c r="M395" s="23" t="s">
        <v>22</v>
      </c>
    </row>
    <row r="396" spans="1:13" x14ac:dyDescent="0.35">
      <c r="A396" s="22" t="s">
        <v>608</v>
      </c>
      <c r="B396" s="22" t="s">
        <v>1485</v>
      </c>
      <c r="C396" s="22" t="s">
        <v>36</v>
      </c>
      <c r="D396" s="22" t="s">
        <v>39</v>
      </c>
      <c r="E396" s="22" t="s">
        <v>1102</v>
      </c>
      <c r="F396" s="22" t="s">
        <v>15</v>
      </c>
      <c r="G396" s="22" t="s">
        <v>16</v>
      </c>
      <c r="H396" s="22">
        <v>29</v>
      </c>
      <c r="I396" s="24">
        <v>44203</v>
      </c>
      <c r="J396" s="27">
        <v>521</v>
      </c>
      <c r="K396" s="25">
        <v>0.21</v>
      </c>
      <c r="L396" s="22" t="s">
        <v>17</v>
      </c>
      <c r="M396" s="23" t="s">
        <v>26</v>
      </c>
    </row>
    <row r="397" spans="1:13" x14ac:dyDescent="0.35">
      <c r="A397" s="22" t="s">
        <v>609</v>
      </c>
      <c r="B397" s="22" t="s">
        <v>1486</v>
      </c>
      <c r="C397" s="22" t="s">
        <v>1111</v>
      </c>
      <c r="D397" s="22" t="s">
        <v>13</v>
      </c>
      <c r="E397" s="22" t="s">
        <v>29</v>
      </c>
      <c r="F397" s="22" t="s">
        <v>25</v>
      </c>
      <c r="G397" s="22" t="s">
        <v>44</v>
      </c>
      <c r="H397" s="22">
        <v>42</v>
      </c>
      <c r="I397" s="24">
        <v>38712</v>
      </c>
      <c r="J397" s="27">
        <v>734</v>
      </c>
      <c r="K397" s="25">
        <v>0.12</v>
      </c>
      <c r="L397" s="22" t="s">
        <v>45</v>
      </c>
      <c r="M397" s="23" t="s">
        <v>66</v>
      </c>
    </row>
    <row r="398" spans="1:13" x14ac:dyDescent="0.35">
      <c r="A398" s="22" t="s">
        <v>610</v>
      </c>
      <c r="B398" s="22" t="s">
        <v>1487</v>
      </c>
      <c r="C398" s="22" t="s">
        <v>1111</v>
      </c>
      <c r="D398" s="22" t="s">
        <v>13</v>
      </c>
      <c r="E398" s="22" t="s">
        <v>1102</v>
      </c>
      <c r="F398" s="22" t="s">
        <v>15</v>
      </c>
      <c r="G398" s="22" t="s">
        <v>41</v>
      </c>
      <c r="H398" s="22">
        <v>51</v>
      </c>
      <c r="I398" s="24">
        <v>41458</v>
      </c>
      <c r="J398" s="27">
        <v>855</v>
      </c>
      <c r="K398" s="25">
        <v>0.1</v>
      </c>
      <c r="L398" s="22" t="s">
        <v>17</v>
      </c>
      <c r="M398" s="23" t="s">
        <v>40</v>
      </c>
    </row>
    <row r="399" spans="1:13" x14ac:dyDescent="0.35">
      <c r="A399" s="22" t="s">
        <v>611</v>
      </c>
      <c r="B399" s="22" t="s">
        <v>1488</v>
      </c>
      <c r="C399" s="22" t="s">
        <v>50</v>
      </c>
      <c r="D399" s="22" t="s">
        <v>28</v>
      </c>
      <c r="E399" s="22" t="s">
        <v>14</v>
      </c>
      <c r="F399" s="22" t="s">
        <v>15</v>
      </c>
      <c r="G399" s="22" t="s">
        <v>44</v>
      </c>
      <c r="H399" s="22">
        <v>27</v>
      </c>
      <c r="I399" s="24">
        <v>43801</v>
      </c>
      <c r="J399" s="27">
        <v>689</v>
      </c>
      <c r="K399" s="25">
        <v>0</v>
      </c>
      <c r="L399" s="22" t="s">
        <v>45</v>
      </c>
      <c r="M399" s="23" t="s">
        <v>66</v>
      </c>
    </row>
    <row r="400" spans="1:13" x14ac:dyDescent="0.35">
      <c r="A400" s="22" t="s">
        <v>612</v>
      </c>
      <c r="B400" s="22" t="s">
        <v>1489</v>
      </c>
      <c r="C400" s="22" t="s">
        <v>70</v>
      </c>
      <c r="D400" s="22" t="s">
        <v>28</v>
      </c>
      <c r="E400" s="22" t="s">
        <v>29</v>
      </c>
      <c r="F400" s="22" t="s">
        <v>25</v>
      </c>
      <c r="G400" s="22" t="s">
        <v>16</v>
      </c>
      <c r="H400" s="22">
        <v>52</v>
      </c>
      <c r="I400" s="24">
        <v>44375</v>
      </c>
      <c r="J400" s="27">
        <v>903</v>
      </c>
      <c r="K400" s="25">
        <v>0</v>
      </c>
      <c r="L400" s="22" t="s">
        <v>17</v>
      </c>
      <c r="M400" s="23" t="s">
        <v>40</v>
      </c>
    </row>
    <row r="401" spans="1:13" x14ac:dyDescent="0.35">
      <c r="A401" s="22" t="s">
        <v>613</v>
      </c>
      <c r="B401" s="22" t="s">
        <v>1490</v>
      </c>
      <c r="C401" s="22" t="s">
        <v>70</v>
      </c>
      <c r="D401" s="22" t="s">
        <v>28</v>
      </c>
      <c r="E401" s="22" t="s">
        <v>14</v>
      </c>
      <c r="F401" s="22" t="s">
        <v>25</v>
      </c>
      <c r="G401" s="22" t="s">
        <v>21</v>
      </c>
      <c r="H401" s="22">
        <v>58</v>
      </c>
      <c r="I401" s="24">
        <v>40110</v>
      </c>
      <c r="J401" s="27">
        <v>755</v>
      </c>
      <c r="K401" s="25">
        <v>0</v>
      </c>
      <c r="L401" s="22" t="s">
        <v>17</v>
      </c>
      <c r="M401" s="23" t="s">
        <v>22</v>
      </c>
    </row>
    <row r="402" spans="1:13" x14ac:dyDescent="0.35">
      <c r="A402" s="22" t="s">
        <v>614</v>
      </c>
      <c r="B402" s="22" t="s">
        <v>1491</v>
      </c>
      <c r="C402" s="22" t="s">
        <v>36</v>
      </c>
      <c r="D402" s="22" t="s">
        <v>43</v>
      </c>
      <c r="E402" s="22" t="s">
        <v>14</v>
      </c>
      <c r="F402" s="22" t="s">
        <v>15</v>
      </c>
      <c r="G402" s="22" t="s">
        <v>44</v>
      </c>
      <c r="H402" s="22">
        <v>45</v>
      </c>
      <c r="I402" s="24">
        <v>37615</v>
      </c>
      <c r="J402" s="27">
        <v>695</v>
      </c>
      <c r="K402" s="25">
        <v>0.18</v>
      </c>
      <c r="L402" s="22" t="s">
        <v>45</v>
      </c>
      <c r="M402" s="23" t="s">
        <v>46</v>
      </c>
    </row>
    <row r="403" spans="1:13" x14ac:dyDescent="0.35">
      <c r="A403" s="22" t="s">
        <v>615</v>
      </c>
      <c r="B403" s="22" t="s">
        <v>1492</v>
      </c>
      <c r="C403" s="22" t="s">
        <v>53</v>
      </c>
      <c r="D403" s="22" t="s">
        <v>20</v>
      </c>
      <c r="E403" s="22" t="s">
        <v>1102</v>
      </c>
      <c r="F403" s="22" t="s">
        <v>25</v>
      </c>
      <c r="G403" s="22" t="s">
        <v>41</v>
      </c>
      <c r="H403" s="22">
        <v>28</v>
      </c>
      <c r="I403" s="24">
        <v>43828</v>
      </c>
      <c r="J403" s="27">
        <v>624</v>
      </c>
      <c r="K403" s="25">
        <v>0.09</v>
      </c>
      <c r="L403" s="22" t="s">
        <v>17</v>
      </c>
      <c r="M403" s="23" t="s">
        <v>18</v>
      </c>
    </row>
    <row r="404" spans="1:13" x14ac:dyDescent="0.35">
      <c r="A404" s="22" t="s">
        <v>616</v>
      </c>
      <c r="B404" s="22" t="s">
        <v>1493</v>
      </c>
      <c r="C404" s="22" t="s">
        <v>12</v>
      </c>
      <c r="D404" s="22" t="s">
        <v>56</v>
      </c>
      <c r="E404" s="22" t="s">
        <v>33</v>
      </c>
      <c r="F404" s="22" t="s">
        <v>25</v>
      </c>
      <c r="G404" s="22" t="s">
        <v>16</v>
      </c>
      <c r="H404" s="22">
        <v>56</v>
      </c>
      <c r="I404" s="24">
        <v>42449</v>
      </c>
      <c r="J404" s="27">
        <v>985</v>
      </c>
      <c r="K404" s="25">
        <v>0.3</v>
      </c>
      <c r="L404" s="22" t="s">
        <v>17</v>
      </c>
      <c r="M404" s="23" t="s">
        <v>18</v>
      </c>
    </row>
    <row r="405" spans="1:13" x14ac:dyDescent="0.35">
      <c r="A405" s="22" t="s">
        <v>617</v>
      </c>
      <c r="B405" s="22" t="s">
        <v>1494</v>
      </c>
      <c r="C405" s="22" t="s">
        <v>36</v>
      </c>
      <c r="D405" s="22" t="s">
        <v>20</v>
      </c>
      <c r="E405" s="22" t="s">
        <v>1102</v>
      </c>
      <c r="F405" s="22" t="s">
        <v>25</v>
      </c>
      <c r="G405" s="22" t="s">
        <v>16</v>
      </c>
      <c r="H405" s="22">
        <v>32</v>
      </c>
      <c r="I405" s="24">
        <v>43661</v>
      </c>
      <c r="J405" s="27">
        <v>974</v>
      </c>
      <c r="K405" s="25">
        <v>0.16</v>
      </c>
      <c r="L405" s="22" t="s">
        <v>17</v>
      </c>
      <c r="M405" s="23" t="s">
        <v>40</v>
      </c>
    </row>
    <row r="406" spans="1:13" x14ac:dyDescent="0.35">
      <c r="A406" s="22" t="s">
        <v>618</v>
      </c>
      <c r="B406" s="22" t="s">
        <v>1495</v>
      </c>
      <c r="C406" s="22" t="s">
        <v>68</v>
      </c>
      <c r="D406" s="22" t="s">
        <v>20</v>
      </c>
      <c r="E406" s="22" t="s">
        <v>33</v>
      </c>
      <c r="F406" s="22" t="s">
        <v>15</v>
      </c>
      <c r="G406" s="22" t="s">
        <v>44</v>
      </c>
      <c r="H406" s="22">
        <v>58</v>
      </c>
      <c r="I406" s="24">
        <v>34100</v>
      </c>
      <c r="J406" s="27">
        <v>724</v>
      </c>
      <c r="K406" s="25">
        <v>0</v>
      </c>
      <c r="L406" s="22" t="s">
        <v>17</v>
      </c>
      <c r="M406" s="23" t="s">
        <v>26</v>
      </c>
    </row>
    <row r="407" spans="1:13" x14ac:dyDescent="0.35">
      <c r="A407" s="22" t="s">
        <v>619</v>
      </c>
      <c r="B407" s="22" t="s">
        <v>1496</v>
      </c>
      <c r="C407" s="22" t="s">
        <v>53</v>
      </c>
      <c r="D407" s="22" t="s">
        <v>20</v>
      </c>
      <c r="E407" s="22" t="s">
        <v>14</v>
      </c>
      <c r="F407" s="22" t="s">
        <v>15</v>
      </c>
      <c r="G407" s="22" t="s">
        <v>16</v>
      </c>
      <c r="H407" s="22">
        <v>39</v>
      </c>
      <c r="I407" s="24">
        <v>41377</v>
      </c>
      <c r="J407" s="27">
        <v>839</v>
      </c>
      <c r="K407" s="25">
        <v>0.05</v>
      </c>
      <c r="L407" s="22" t="s">
        <v>17</v>
      </c>
      <c r="M407" s="23" t="s">
        <v>54</v>
      </c>
    </row>
    <row r="408" spans="1:13" x14ac:dyDescent="0.35">
      <c r="A408" s="22" t="s">
        <v>620</v>
      </c>
      <c r="B408" s="22" t="s">
        <v>1497</v>
      </c>
      <c r="C408" s="22" t="s">
        <v>57</v>
      </c>
      <c r="D408" s="22" t="s">
        <v>13</v>
      </c>
      <c r="E408" s="22" t="s">
        <v>14</v>
      </c>
      <c r="F408" s="22" t="s">
        <v>15</v>
      </c>
      <c r="G408" s="22" t="s">
        <v>44</v>
      </c>
      <c r="H408" s="22">
        <v>46</v>
      </c>
      <c r="I408" s="24">
        <v>38398</v>
      </c>
      <c r="J408" s="27">
        <v>857</v>
      </c>
      <c r="K408" s="25">
        <v>0</v>
      </c>
      <c r="L408" s="22" t="s">
        <v>45</v>
      </c>
      <c r="M408" s="23" t="s">
        <v>46</v>
      </c>
    </row>
    <row r="409" spans="1:13" x14ac:dyDescent="0.35">
      <c r="A409" s="22" t="s">
        <v>621</v>
      </c>
      <c r="B409" s="22" t="s">
        <v>224</v>
      </c>
      <c r="C409" s="22" t="s">
        <v>57</v>
      </c>
      <c r="D409" s="22" t="s">
        <v>39</v>
      </c>
      <c r="E409" s="22" t="s">
        <v>1102</v>
      </c>
      <c r="F409" s="22" t="s">
        <v>15</v>
      </c>
      <c r="G409" s="22" t="s">
        <v>21</v>
      </c>
      <c r="H409" s="22">
        <v>26</v>
      </c>
      <c r="I409" s="24">
        <v>44163</v>
      </c>
      <c r="J409" s="27">
        <v>752</v>
      </c>
      <c r="K409" s="25">
        <v>0</v>
      </c>
      <c r="L409" s="22" t="s">
        <v>17</v>
      </c>
      <c r="M409" s="23" t="s">
        <v>35</v>
      </c>
    </row>
    <row r="410" spans="1:13" x14ac:dyDescent="0.35">
      <c r="A410" s="22" t="s">
        <v>622</v>
      </c>
      <c r="B410" s="22" t="s">
        <v>1498</v>
      </c>
      <c r="C410" s="22" t="s">
        <v>83</v>
      </c>
      <c r="D410" s="22" t="s">
        <v>28</v>
      </c>
      <c r="E410" s="22" t="s">
        <v>33</v>
      </c>
      <c r="F410" s="22" t="s">
        <v>15</v>
      </c>
      <c r="G410" s="22" t="s">
        <v>21</v>
      </c>
      <c r="H410" s="22">
        <v>36</v>
      </c>
      <c r="I410" s="24">
        <v>43723</v>
      </c>
      <c r="J410" s="27">
        <v>991</v>
      </c>
      <c r="K410" s="25">
        <v>0</v>
      </c>
      <c r="L410" s="22" t="s">
        <v>30</v>
      </c>
      <c r="M410" s="23" t="s">
        <v>61</v>
      </c>
    </row>
    <row r="411" spans="1:13" x14ac:dyDescent="0.35">
      <c r="A411" s="22" t="s">
        <v>623</v>
      </c>
      <c r="B411" s="22" t="s">
        <v>1499</v>
      </c>
      <c r="C411" s="22" t="s">
        <v>34</v>
      </c>
      <c r="D411" s="22" t="s">
        <v>24</v>
      </c>
      <c r="E411" s="22" t="s">
        <v>29</v>
      </c>
      <c r="F411" s="22" t="s">
        <v>25</v>
      </c>
      <c r="G411" s="22" t="s">
        <v>21</v>
      </c>
      <c r="H411" s="22">
        <v>43</v>
      </c>
      <c r="I411" s="24">
        <v>43736</v>
      </c>
      <c r="J411" s="27">
        <v>667</v>
      </c>
      <c r="K411" s="25">
        <v>0</v>
      </c>
      <c r="L411" s="22" t="s">
        <v>17</v>
      </c>
      <c r="M411" s="23" t="s">
        <v>22</v>
      </c>
    </row>
    <row r="412" spans="1:13" x14ac:dyDescent="0.35">
      <c r="A412" s="22" t="s">
        <v>624</v>
      </c>
      <c r="B412" s="22" t="s">
        <v>1500</v>
      </c>
      <c r="C412" s="22" t="s">
        <v>36</v>
      </c>
      <c r="D412" s="22" t="s">
        <v>20</v>
      </c>
      <c r="E412" s="22" t="s">
        <v>29</v>
      </c>
      <c r="F412" s="22" t="s">
        <v>15</v>
      </c>
      <c r="G412" s="22" t="s">
        <v>21</v>
      </c>
      <c r="H412" s="22">
        <v>45</v>
      </c>
      <c r="I412" s="24">
        <v>39535</v>
      </c>
      <c r="J412" s="27">
        <v>687</v>
      </c>
      <c r="K412" s="25">
        <v>0.25</v>
      </c>
      <c r="L412" s="22" t="s">
        <v>30</v>
      </c>
      <c r="M412" s="23" t="s">
        <v>31</v>
      </c>
    </row>
    <row r="413" spans="1:13" x14ac:dyDescent="0.35">
      <c r="A413" s="22" t="s">
        <v>625</v>
      </c>
      <c r="B413" s="22" t="s">
        <v>1501</v>
      </c>
      <c r="C413" s="22" t="s">
        <v>62</v>
      </c>
      <c r="D413" s="22" t="s">
        <v>24</v>
      </c>
      <c r="E413" s="22" t="s">
        <v>29</v>
      </c>
      <c r="F413" s="22" t="s">
        <v>15</v>
      </c>
      <c r="G413" s="22" t="s">
        <v>21</v>
      </c>
      <c r="H413" s="22">
        <v>65</v>
      </c>
      <c r="I413" s="24">
        <v>37466</v>
      </c>
      <c r="J413" s="27">
        <v>904</v>
      </c>
      <c r="K413" s="25">
        <v>0</v>
      </c>
      <c r="L413" s="22" t="s">
        <v>30</v>
      </c>
      <c r="M413" s="23" t="s">
        <v>52</v>
      </c>
    </row>
    <row r="414" spans="1:13" x14ac:dyDescent="0.35">
      <c r="A414" s="22" t="s">
        <v>626</v>
      </c>
      <c r="B414" s="22" t="s">
        <v>1502</v>
      </c>
      <c r="C414" s="22" t="s">
        <v>23</v>
      </c>
      <c r="D414" s="22" t="s">
        <v>24</v>
      </c>
      <c r="E414" s="22" t="s">
        <v>33</v>
      </c>
      <c r="F414" s="22" t="s">
        <v>25</v>
      </c>
      <c r="G414" s="22" t="s">
        <v>16</v>
      </c>
      <c r="H414" s="22">
        <v>34</v>
      </c>
      <c r="I414" s="24">
        <v>44344</v>
      </c>
      <c r="J414" s="27">
        <v>970</v>
      </c>
      <c r="K414" s="25">
        <v>0</v>
      </c>
      <c r="L414" s="22" t="s">
        <v>17</v>
      </c>
      <c r="M414" s="23" t="s">
        <v>22</v>
      </c>
    </row>
    <row r="415" spans="1:13" x14ac:dyDescent="0.35">
      <c r="A415" s="22" t="s">
        <v>107</v>
      </c>
      <c r="B415" s="22" t="s">
        <v>1503</v>
      </c>
      <c r="C415" s="22" t="s">
        <v>57</v>
      </c>
      <c r="D415" s="22" t="s">
        <v>43</v>
      </c>
      <c r="E415" s="22" t="s">
        <v>33</v>
      </c>
      <c r="F415" s="22" t="s">
        <v>25</v>
      </c>
      <c r="G415" s="22" t="s">
        <v>16</v>
      </c>
      <c r="H415" s="22">
        <v>52</v>
      </c>
      <c r="I415" s="24">
        <v>37347</v>
      </c>
      <c r="J415" s="27">
        <v>850</v>
      </c>
      <c r="K415" s="25">
        <v>0</v>
      </c>
      <c r="L415" s="22" t="s">
        <v>17</v>
      </c>
      <c r="M415" s="23" t="s">
        <v>54</v>
      </c>
    </row>
    <row r="416" spans="1:13" x14ac:dyDescent="0.35">
      <c r="A416" s="22" t="s">
        <v>627</v>
      </c>
      <c r="B416" s="22" t="s">
        <v>1504</v>
      </c>
      <c r="C416" s="22" t="s">
        <v>1111</v>
      </c>
      <c r="D416" s="22" t="s">
        <v>39</v>
      </c>
      <c r="E416" s="22" t="s">
        <v>29</v>
      </c>
      <c r="F416" s="22" t="s">
        <v>15</v>
      </c>
      <c r="G416" s="22" t="s">
        <v>44</v>
      </c>
      <c r="H416" s="22">
        <v>39</v>
      </c>
      <c r="I416" s="24">
        <v>41317</v>
      </c>
      <c r="J416" s="27">
        <v>967</v>
      </c>
      <c r="K416" s="25">
        <v>0.13</v>
      </c>
      <c r="L416" s="22" t="s">
        <v>45</v>
      </c>
      <c r="M416" s="23" t="s">
        <v>46</v>
      </c>
    </row>
    <row r="417" spans="1:13" x14ac:dyDescent="0.35">
      <c r="A417" s="22" t="s">
        <v>192</v>
      </c>
      <c r="B417" s="22" t="s">
        <v>1505</v>
      </c>
      <c r="C417" s="22" t="s">
        <v>55</v>
      </c>
      <c r="D417" s="22" t="s">
        <v>56</v>
      </c>
      <c r="E417" s="22" t="s">
        <v>29</v>
      </c>
      <c r="F417" s="22" t="s">
        <v>15</v>
      </c>
      <c r="G417" s="22" t="s">
        <v>21</v>
      </c>
      <c r="H417" s="22">
        <v>57</v>
      </c>
      <c r="I417" s="24">
        <v>34102</v>
      </c>
      <c r="J417" s="27">
        <v>911</v>
      </c>
      <c r="K417" s="25">
        <v>0</v>
      </c>
      <c r="L417" s="22" t="s">
        <v>17</v>
      </c>
      <c r="M417" s="23" t="s">
        <v>22</v>
      </c>
    </row>
    <row r="418" spans="1:13" x14ac:dyDescent="0.35">
      <c r="A418" s="22" t="s">
        <v>628</v>
      </c>
      <c r="B418" s="22" t="s">
        <v>1506</v>
      </c>
      <c r="C418" s="22" t="s">
        <v>1111</v>
      </c>
      <c r="D418" s="22" t="s">
        <v>39</v>
      </c>
      <c r="E418" s="22" t="s">
        <v>1102</v>
      </c>
      <c r="F418" s="22" t="s">
        <v>25</v>
      </c>
      <c r="G418" s="22" t="s">
        <v>44</v>
      </c>
      <c r="H418" s="22">
        <v>63</v>
      </c>
      <c r="I418" s="24">
        <v>35781</v>
      </c>
      <c r="J418" s="27">
        <v>641</v>
      </c>
      <c r="K418" s="25">
        <v>0.1</v>
      </c>
      <c r="L418" s="22" t="s">
        <v>45</v>
      </c>
      <c r="M418" s="23" t="s">
        <v>66</v>
      </c>
    </row>
    <row r="419" spans="1:13" x14ac:dyDescent="0.35">
      <c r="A419" s="22" t="s">
        <v>629</v>
      </c>
      <c r="B419" s="22" t="s">
        <v>1507</v>
      </c>
      <c r="C419" s="22" t="s">
        <v>1111</v>
      </c>
      <c r="D419" s="22" t="s">
        <v>39</v>
      </c>
      <c r="E419" s="22" t="s">
        <v>14</v>
      </c>
      <c r="F419" s="22" t="s">
        <v>15</v>
      </c>
      <c r="G419" s="22" t="s">
        <v>21</v>
      </c>
      <c r="H419" s="22">
        <v>32</v>
      </c>
      <c r="I419" s="24">
        <v>42727</v>
      </c>
      <c r="J419" s="27">
        <v>629</v>
      </c>
      <c r="K419" s="25">
        <v>0.13</v>
      </c>
      <c r="L419" s="22" t="s">
        <v>17</v>
      </c>
      <c r="M419" s="23" t="s">
        <v>40</v>
      </c>
    </row>
    <row r="420" spans="1:13" x14ac:dyDescent="0.35">
      <c r="A420" s="22" t="s">
        <v>93</v>
      </c>
      <c r="B420" s="22" t="s">
        <v>1508</v>
      </c>
      <c r="C420" s="22" t="s">
        <v>74</v>
      </c>
      <c r="D420" s="22" t="s">
        <v>43</v>
      </c>
      <c r="E420" s="22" t="s">
        <v>14</v>
      </c>
      <c r="F420" s="22" t="s">
        <v>15</v>
      </c>
      <c r="G420" s="22" t="s">
        <v>21</v>
      </c>
      <c r="H420" s="22">
        <v>51</v>
      </c>
      <c r="I420" s="24">
        <v>43378</v>
      </c>
      <c r="J420" s="27">
        <v>585</v>
      </c>
      <c r="K420" s="25">
        <v>0</v>
      </c>
      <c r="L420" s="22" t="s">
        <v>30</v>
      </c>
      <c r="M420" s="23" t="s">
        <v>31</v>
      </c>
    </row>
    <row r="421" spans="1:13" x14ac:dyDescent="0.35">
      <c r="A421" s="22" t="s">
        <v>162</v>
      </c>
      <c r="B421" s="22" t="s">
        <v>1509</v>
      </c>
      <c r="C421" s="22" t="s">
        <v>57</v>
      </c>
      <c r="D421" s="22" t="s">
        <v>56</v>
      </c>
      <c r="E421" s="22" t="s">
        <v>14</v>
      </c>
      <c r="F421" s="22" t="s">
        <v>25</v>
      </c>
      <c r="G421" s="22" t="s">
        <v>41</v>
      </c>
      <c r="H421" s="22">
        <v>38</v>
      </c>
      <c r="I421" s="24">
        <v>43082</v>
      </c>
      <c r="J421" s="27">
        <v>907</v>
      </c>
      <c r="K421" s="25">
        <v>0</v>
      </c>
      <c r="L421" s="22" t="s">
        <v>17</v>
      </c>
      <c r="M421" s="23" t="s">
        <v>35</v>
      </c>
    </row>
    <row r="422" spans="1:13" x14ac:dyDescent="0.35">
      <c r="A422" s="22" t="s">
        <v>630</v>
      </c>
      <c r="B422" s="22" t="s">
        <v>1510</v>
      </c>
      <c r="C422" s="22" t="s">
        <v>36</v>
      </c>
      <c r="D422" s="22" t="s">
        <v>13</v>
      </c>
      <c r="E422" s="22" t="s">
        <v>14</v>
      </c>
      <c r="F422" s="22" t="s">
        <v>25</v>
      </c>
      <c r="G422" s="22" t="s">
        <v>21</v>
      </c>
      <c r="H422" s="22">
        <v>53</v>
      </c>
      <c r="I422" s="24">
        <v>43207</v>
      </c>
      <c r="J422" s="27">
        <v>930</v>
      </c>
      <c r="K422" s="25">
        <v>0.26</v>
      </c>
      <c r="L422" s="22" t="s">
        <v>30</v>
      </c>
      <c r="M422" s="23" t="s">
        <v>65</v>
      </c>
    </row>
    <row r="423" spans="1:13" x14ac:dyDescent="0.35">
      <c r="A423" s="22" t="s">
        <v>631</v>
      </c>
      <c r="B423" s="22" t="s">
        <v>1511</v>
      </c>
      <c r="C423" s="22" t="s">
        <v>83</v>
      </c>
      <c r="D423" s="22" t="s">
        <v>28</v>
      </c>
      <c r="E423" s="22" t="s">
        <v>1102</v>
      </c>
      <c r="F423" s="22" t="s">
        <v>15</v>
      </c>
      <c r="G423" s="22" t="s">
        <v>44</v>
      </c>
      <c r="H423" s="22">
        <v>59</v>
      </c>
      <c r="I423" s="24">
        <v>34175</v>
      </c>
      <c r="J423" s="27">
        <v>619</v>
      </c>
      <c r="K423" s="25">
        <v>0</v>
      </c>
      <c r="L423" s="22" t="s">
        <v>17</v>
      </c>
      <c r="M423" s="23" t="s">
        <v>35</v>
      </c>
    </row>
    <row r="424" spans="1:13" x14ac:dyDescent="0.35">
      <c r="A424" s="22" t="s">
        <v>632</v>
      </c>
      <c r="B424" s="22" t="s">
        <v>1512</v>
      </c>
      <c r="C424" s="22" t="s">
        <v>83</v>
      </c>
      <c r="D424" s="22" t="s">
        <v>28</v>
      </c>
      <c r="E424" s="22" t="s">
        <v>1102</v>
      </c>
      <c r="F424" s="22" t="s">
        <v>25</v>
      </c>
      <c r="G424" s="22" t="s">
        <v>16</v>
      </c>
      <c r="H424" s="22">
        <v>57</v>
      </c>
      <c r="I424" s="24">
        <v>36252</v>
      </c>
      <c r="J424" s="27">
        <v>609</v>
      </c>
      <c r="K424" s="25">
        <v>0</v>
      </c>
      <c r="L424" s="22" t="s">
        <v>17</v>
      </c>
      <c r="M424" s="23" t="s">
        <v>40</v>
      </c>
    </row>
    <row r="425" spans="1:13" x14ac:dyDescent="0.35">
      <c r="A425" s="22" t="s">
        <v>633</v>
      </c>
      <c r="B425" s="22" t="s">
        <v>1513</v>
      </c>
      <c r="C425" s="22" t="s">
        <v>38</v>
      </c>
      <c r="D425" s="22" t="s">
        <v>56</v>
      </c>
      <c r="E425" s="22" t="s">
        <v>29</v>
      </c>
      <c r="F425" s="22" t="s">
        <v>25</v>
      </c>
      <c r="G425" s="22" t="s">
        <v>16</v>
      </c>
      <c r="H425" s="22">
        <v>41</v>
      </c>
      <c r="I425" s="24">
        <v>43745</v>
      </c>
      <c r="J425" s="27">
        <v>996</v>
      </c>
      <c r="K425" s="25">
        <v>0</v>
      </c>
      <c r="L425" s="22" t="s">
        <v>17</v>
      </c>
      <c r="M425" s="23" t="s">
        <v>22</v>
      </c>
    </row>
    <row r="426" spans="1:13" x14ac:dyDescent="0.35">
      <c r="A426" s="22" t="s">
        <v>634</v>
      </c>
      <c r="B426" s="22" t="s">
        <v>1514</v>
      </c>
      <c r="C426" s="22" t="s">
        <v>51</v>
      </c>
      <c r="D426" s="22" t="s">
        <v>28</v>
      </c>
      <c r="E426" s="22" t="s">
        <v>14</v>
      </c>
      <c r="F426" s="22" t="s">
        <v>15</v>
      </c>
      <c r="G426" s="22" t="s">
        <v>16</v>
      </c>
      <c r="H426" s="22">
        <v>33</v>
      </c>
      <c r="I426" s="24">
        <v>44145</v>
      </c>
      <c r="J426" s="27">
        <v>541</v>
      </c>
      <c r="K426" s="25">
        <v>0</v>
      </c>
      <c r="L426" s="22" t="s">
        <v>17</v>
      </c>
      <c r="M426" s="23" t="s">
        <v>35</v>
      </c>
    </row>
    <row r="427" spans="1:13" x14ac:dyDescent="0.35">
      <c r="A427" s="22" t="s">
        <v>249</v>
      </c>
      <c r="B427" s="22" t="s">
        <v>1515</v>
      </c>
      <c r="C427" s="22" t="s">
        <v>72</v>
      </c>
      <c r="D427" s="22" t="s">
        <v>24</v>
      </c>
      <c r="E427" s="22" t="s">
        <v>14</v>
      </c>
      <c r="F427" s="22" t="s">
        <v>25</v>
      </c>
      <c r="G427" s="22" t="s">
        <v>41</v>
      </c>
      <c r="H427" s="22">
        <v>35</v>
      </c>
      <c r="I427" s="24">
        <v>41507</v>
      </c>
      <c r="J427" s="27">
        <v>510</v>
      </c>
      <c r="K427" s="25">
        <v>0</v>
      </c>
      <c r="L427" s="22" t="s">
        <v>17</v>
      </c>
      <c r="M427" s="23" t="s">
        <v>18</v>
      </c>
    </row>
    <row r="428" spans="1:13" x14ac:dyDescent="0.35">
      <c r="A428" s="22" t="s">
        <v>255</v>
      </c>
      <c r="B428" s="22" t="s">
        <v>1516</v>
      </c>
      <c r="C428" s="22" t="s">
        <v>51</v>
      </c>
      <c r="D428" s="22" t="s">
        <v>28</v>
      </c>
      <c r="E428" s="22" t="s">
        <v>14</v>
      </c>
      <c r="F428" s="22" t="s">
        <v>25</v>
      </c>
      <c r="G428" s="22" t="s">
        <v>21</v>
      </c>
      <c r="H428" s="22">
        <v>36</v>
      </c>
      <c r="I428" s="24">
        <v>43801</v>
      </c>
      <c r="J428" s="27">
        <v>576</v>
      </c>
      <c r="K428" s="25">
        <v>0</v>
      </c>
      <c r="L428" s="22" t="s">
        <v>17</v>
      </c>
      <c r="M428" s="23" t="s">
        <v>54</v>
      </c>
    </row>
    <row r="429" spans="1:13" x14ac:dyDescent="0.35">
      <c r="A429" s="22" t="s">
        <v>635</v>
      </c>
      <c r="B429" s="22" t="s">
        <v>1517</v>
      </c>
      <c r="C429" s="22" t="s">
        <v>32</v>
      </c>
      <c r="D429" s="22" t="s">
        <v>24</v>
      </c>
      <c r="E429" s="22" t="s">
        <v>14</v>
      </c>
      <c r="F429" s="22" t="s">
        <v>25</v>
      </c>
      <c r="G429" s="22" t="s">
        <v>16</v>
      </c>
      <c r="H429" s="22">
        <v>54</v>
      </c>
      <c r="I429" s="24">
        <v>39248</v>
      </c>
      <c r="J429" s="27">
        <v>630</v>
      </c>
      <c r="K429" s="25">
        <v>0</v>
      </c>
      <c r="L429" s="22" t="s">
        <v>17</v>
      </c>
      <c r="M429" s="23" t="s">
        <v>26</v>
      </c>
    </row>
    <row r="430" spans="1:13" x14ac:dyDescent="0.35">
      <c r="A430" s="22" t="s">
        <v>636</v>
      </c>
      <c r="B430" s="22" t="s">
        <v>1518</v>
      </c>
      <c r="C430" s="22" t="s">
        <v>53</v>
      </c>
      <c r="D430" s="22" t="s">
        <v>24</v>
      </c>
      <c r="E430" s="22" t="s">
        <v>14</v>
      </c>
      <c r="F430" s="22" t="s">
        <v>15</v>
      </c>
      <c r="G430" s="22" t="s">
        <v>21</v>
      </c>
      <c r="H430" s="22">
        <v>55</v>
      </c>
      <c r="I430" s="24">
        <v>39107</v>
      </c>
      <c r="J430" s="27">
        <v>622</v>
      </c>
      <c r="K430" s="25">
        <v>0.08</v>
      </c>
      <c r="L430" s="22" t="s">
        <v>17</v>
      </c>
      <c r="M430" s="23" t="s">
        <v>22</v>
      </c>
    </row>
    <row r="431" spans="1:13" x14ac:dyDescent="0.35">
      <c r="A431" s="22" t="s">
        <v>637</v>
      </c>
      <c r="B431" s="22" t="s">
        <v>1519</v>
      </c>
      <c r="C431" s="22" t="s">
        <v>76</v>
      </c>
      <c r="D431" s="22" t="s">
        <v>28</v>
      </c>
      <c r="E431" s="22" t="s">
        <v>1102</v>
      </c>
      <c r="F431" s="22" t="s">
        <v>25</v>
      </c>
      <c r="G431" s="22" t="s">
        <v>21</v>
      </c>
      <c r="H431" s="22">
        <v>38</v>
      </c>
      <c r="I431" s="24">
        <v>39685</v>
      </c>
      <c r="J431" s="27">
        <v>564</v>
      </c>
      <c r="K431" s="25">
        <v>0.15</v>
      </c>
      <c r="L431" s="22" t="s">
        <v>17</v>
      </c>
      <c r="M431" s="23" t="s">
        <v>26</v>
      </c>
    </row>
    <row r="432" spans="1:13" x14ac:dyDescent="0.35">
      <c r="A432" s="22" t="s">
        <v>638</v>
      </c>
      <c r="B432" s="22" t="s">
        <v>1520</v>
      </c>
      <c r="C432" s="22" t="s">
        <v>50</v>
      </c>
      <c r="D432" s="22" t="s">
        <v>28</v>
      </c>
      <c r="E432" s="22" t="s">
        <v>14</v>
      </c>
      <c r="F432" s="22" t="s">
        <v>25</v>
      </c>
      <c r="G432" s="22" t="s">
        <v>44</v>
      </c>
      <c r="H432" s="22">
        <v>45</v>
      </c>
      <c r="I432" s="24">
        <v>42788</v>
      </c>
      <c r="J432" s="27">
        <v>679</v>
      </c>
      <c r="K432" s="25">
        <v>0</v>
      </c>
      <c r="L432" s="22" t="s">
        <v>45</v>
      </c>
      <c r="M432" s="23" t="s">
        <v>66</v>
      </c>
    </row>
    <row r="433" spans="1:13" x14ac:dyDescent="0.35">
      <c r="A433" s="22" t="s">
        <v>639</v>
      </c>
      <c r="B433" s="22" t="s">
        <v>1521</v>
      </c>
      <c r="C433" s="22" t="s">
        <v>12</v>
      </c>
      <c r="D433" s="22" t="s">
        <v>28</v>
      </c>
      <c r="E433" s="22" t="s">
        <v>33</v>
      </c>
      <c r="F433" s="22" t="s">
        <v>15</v>
      </c>
      <c r="G433" s="22" t="s">
        <v>16</v>
      </c>
      <c r="H433" s="22">
        <v>53</v>
      </c>
      <c r="I433" s="24">
        <v>39314</v>
      </c>
      <c r="J433" s="27">
        <v>632</v>
      </c>
      <c r="K433" s="25">
        <v>0.33</v>
      </c>
      <c r="L433" s="22" t="s">
        <v>17</v>
      </c>
      <c r="M433" s="23" t="s">
        <v>22</v>
      </c>
    </row>
    <row r="434" spans="1:13" x14ac:dyDescent="0.35">
      <c r="A434" s="22" t="s">
        <v>640</v>
      </c>
      <c r="B434" s="22" t="s">
        <v>1522</v>
      </c>
      <c r="C434" s="22" t="s">
        <v>53</v>
      </c>
      <c r="D434" s="22" t="s">
        <v>43</v>
      </c>
      <c r="E434" s="22" t="s">
        <v>1102</v>
      </c>
      <c r="F434" s="22" t="s">
        <v>25</v>
      </c>
      <c r="G434" s="22" t="s">
        <v>21</v>
      </c>
      <c r="H434" s="22">
        <v>45</v>
      </c>
      <c r="I434" s="24">
        <v>42878</v>
      </c>
      <c r="J434" s="27">
        <v>683</v>
      </c>
      <c r="K434" s="25">
        <v>0.06</v>
      </c>
      <c r="L434" s="22" t="s">
        <v>30</v>
      </c>
      <c r="M434" s="23" t="s">
        <v>31</v>
      </c>
    </row>
    <row r="435" spans="1:13" x14ac:dyDescent="0.35">
      <c r="A435" s="22" t="s">
        <v>641</v>
      </c>
      <c r="B435" s="22" t="s">
        <v>1523</v>
      </c>
      <c r="C435" s="22" t="s">
        <v>47</v>
      </c>
      <c r="D435" s="22" t="s">
        <v>24</v>
      </c>
      <c r="E435" s="22" t="s">
        <v>1102</v>
      </c>
      <c r="F435" s="22" t="s">
        <v>25</v>
      </c>
      <c r="G435" s="22" t="s">
        <v>44</v>
      </c>
      <c r="H435" s="22">
        <v>65</v>
      </c>
      <c r="I435" s="24">
        <v>42580</v>
      </c>
      <c r="J435" s="27">
        <v>959</v>
      </c>
      <c r="K435" s="25">
        <v>0</v>
      </c>
      <c r="L435" s="22" t="s">
        <v>45</v>
      </c>
      <c r="M435" s="23" t="s">
        <v>1134</v>
      </c>
    </row>
    <row r="436" spans="1:13" x14ac:dyDescent="0.35">
      <c r="A436" s="22" t="s">
        <v>642</v>
      </c>
      <c r="B436" s="22" t="s">
        <v>1524</v>
      </c>
      <c r="C436" s="22" t="s">
        <v>19</v>
      </c>
      <c r="D436" s="22" t="s">
        <v>20</v>
      </c>
      <c r="E436" s="22" t="s">
        <v>14</v>
      </c>
      <c r="F436" s="22" t="s">
        <v>25</v>
      </c>
      <c r="G436" s="22" t="s">
        <v>44</v>
      </c>
      <c r="H436" s="22">
        <v>62</v>
      </c>
      <c r="I436" s="24">
        <v>43433</v>
      </c>
      <c r="J436" s="27">
        <v>820</v>
      </c>
      <c r="K436" s="25">
        <v>0</v>
      </c>
      <c r="L436" s="22" t="s">
        <v>45</v>
      </c>
      <c r="M436" s="23" t="s">
        <v>66</v>
      </c>
    </row>
    <row r="437" spans="1:13" x14ac:dyDescent="0.35">
      <c r="A437" s="22" t="s">
        <v>643</v>
      </c>
      <c r="B437" s="22" t="s">
        <v>1525</v>
      </c>
      <c r="C437" s="22" t="s">
        <v>83</v>
      </c>
      <c r="D437" s="22" t="s">
        <v>28</v>
      </c>
      <c r="E437" s="22" t="s">
        <v>33</v>
      </c>
      <c r="F437" s="22" t="s">
        <v>25</v>
      </c>
      <c r="G437" s="22" t="s">
        <v>21</v>
      </c>
      <c r="H437" s="22">
        <v>59</v>
      </c>
      <c r="I437" s="24">
        <v>38023</v>
      </c>
      <c r="J437" s="27">
        <v>898</v>
      </c>
      <c r="K437" s="25">
        <v>0</v>
      </c>
      <c r="L437" s="22" t="s">
        <v>30</v>
      </c>
      <c r="M437" s="23" t="s">
        <v>61</v>
      </c>
    </row>
    <row r="438" spans="1:13" x14ac:dyDescent="0.35">
      <c r="A438" s="22" t="s">
        <v>644</v>
      </c>
      <c r="B438" s="22" t="s">
        <v>1526</v>
      </c>
      <c r="C438" s="22" t="s">
        <v>34</v>
      </c>
      <c r="D438" s="22" t="s">
        <v>24</v>
      </c>
      <c r="E438" s="22" t="s">
        <v>33</v>
      </c>
      <c r="F438" s="22" t="s">
        <v>15</v>
      </c>
      <c r="G438" s="22" t="s">
        <v>16</v>
      </c>
      <c r="H438" s="22">
        <v>42</v>
      </c>
      <c r="I438" s="24">
        <v>44024</v>
      </c>
      <c r="J438" s="27">
        <v>527</v>
      </c>
      <c r="K438" s="25">
        <v>0</v>
      </c>
      <c r="L438" s="22" t="s">
        <v>17</v>
      </c>
      <c r="M438" s="23" t="s">
        <v>22</v>
      </c>
    </row>
    <row r="439" spans="1:13" x14ac:dyDescent="0.35">
      <c r="A439" s="22" t="s">
        <v>645</v>
      </c>
      <c r="B439" s="22" t="s">
        <v>1527</v>
      </c>
      <c r="C439" s="22" t="s">
        <v>34</v>
      </c>
      <c r="D439" s="22" t="s">
        <v>24</v>
      </c>
      <c r="E439" s="22" t="s">
        <v>14</v>
      </c>
      <c r="F439" s="22" t="s">
        <v>15</v>
      </c>
      <c r="G439" s="22" t="s">
        <v>21</v>
      </c>
      <c r="H439" s="22">
        <v>33</v>
      </c>
      <c r="I439" s="24">
        <v>42081</v>
      </c>
      <c r="J439" s="27">
        <v>931</v>
      </c>
      <c r="K439" s="25">
        <v>0</v>
      </c>
      <c r="L439" s="22" t="s">
        <v>30</v>
      </c>
      <c r="M439" s="23" t="s">
        <v>65</v>
      </c>
    </row>
    <row r="440" spans="1:13" x14ac:dyDescent="0.35">
      <c r="A440" s="22" t="s">
        <v>242</v>
      </c>
      <c r="B440" s="22" t="s">
        <v>1528</v>
      </c>
      <c r="C440" s="22" t="s">
        <v>57</v>
      </c>
      <c r="D440" s="22" t="s">
        <v>56</v>
      </c>
      <c r="E440" s="22" t="s">
        <v>29</v>
      </c>
      <c r="F440" s="22" t="s">
        <v>25</v>
      </c>
      <c r="G440" s="22" t="s">
        <v>21</v>
      </c>
      <c r="H440" s="22">
        <v>29</v>
      </c>
      <c r="I440" s="24">
        <v>43337</v>
      </c>
      <c r="J440" s="27">
        <v>603</v>
      </c>
      <c r="K440" s="25">
        <v>0</v>
      </c>
      <c r="L440" s="22" t="s">
        <v>17</v>
      </c>
      <c r="M440" s="23" t="s">
        <v>18</v>
      </c>
    </row>
    <row r="441" spans="1:13" x14ac:dyDescent="0.35">
      <c r="A441" s="22" t="s">
        <v>646</v>
      </c>
      <c r="B441" s="22" t="s">
        <v>1529</v>
      </c>
      <c r="C441" s="22" t="s">
        <v>59</v>
      </c>
      <c r="D441" s="22" t="s">
        <v>24</v>
      </c>
      <c r="E441" s="22" t="s">
        <v>29</v>
      </c>
      <c r="F441" s="22" t="s">
        <v>25</v>
      </c>
      <c r="G441" s="22" t="s">
        <v>44</v>
      </c>
      <c r="H441" s="22">
        <v>33</v>
      </c>
      <c r="I441" s="24">
        <v>44736</v>
      </c>
      <c r="J441" s="27">
        <v>840</v>
      </c>
      <c r="K441" s="25">
        <v>0</v>
      </c>
      <c r="L441" s="22" t="s">
        <v>45</v>
      </c>
      <c r="M441" s="23" t="s">
        <v>1134</v>
      </c>
    </row>
    <row r="442" spans="1:13" x14ac:dyDescent="0.35">
      <c r="A442" s="22" t="s">
        <v>647</v>
      </c>
      <c r="B442" s="22" t="s">
        <v>1530</v>
      </c>
      <c r="C442" s="22" t="s">
        <v>36</v>
      </c>
      <c r="D442" s="22" t="s">
        <v>43</v>
      </c>
      <c r="E442" s="22" t="s">
        <v>33</v>
      </c>
      <c r="F442" s="22" t="s">
        <v>15</v>
      </c>
      <c r="G442" s="22" t="s">
        <v>21</v>
      </c>
      <c r="H442" s="22">
        <v>36</v>
      </c>
      <c r="I442" s="24">
        <v>42138</v>
      </c>
      <c r="J442" s="27">
        <v>567</v>
      </c>
      <c r="K442" s="25">
        <v>0.19</v>
      </c>
      <c r="L442" s="22" t="s">
        <v>17</v>
      </c>
      <c r="M442" s="23" t="s">
        <v>26</v>
      </c>
    </row>
    <row r="443" spans="1:13" x14ac:dyDescent="0.35">
      <c r="A443" s="22" t="s">
        <v>648</v>
      </c>
      <c r="B443" s="22" t="s">
        <v>1531</v>
      </c>
      <c r="C443" s="22" t="s">
        <v>59</v>
      </c>
      <c r="D443" s="22" t="s">
        <v>24</v>
      </c>
      <c r="E443" s="22" t="s">
        <v>14</v>
      </c>
      <c r="F443" s="22" t="s">
        <v>25</v>
      </c>
      <c r="G443" s="22" t="s">
        <v>21</v>
      </c>
      <c r="H443" s="22">
        <v>43</v>
      </c>
      <c r="I443" s="24">
        <v>43917</v>
      </c>
      <c r="J443" s="27">
        <v>602</v>
      </c>
      <c r="K443" s="25">
        <v>0</v>
      </c>
      <c r="L443" s="22" t="s">
        <v>17</v>
      </c>
      <c r="M443" s="23" t="s">
        <v>26</v>
      </c>
    </row>
    <row r="444" spans="1:13" x14ac:dyDescent="0.35">
      <c r="A444" s="22" t="s">
        <v>649</v>
      </c>
      <c r="B444" s="22" t="s">
        <v>1532</v>
      </c>
      <c r="C444" s="22" t="s">
        <v>19</v>
      </c>
      <c r="D444" s="22" t="s">
        <v>20</v>
      </c>
      <c r="E444" s="22" t="s">
        <v>14</v>
      </c>
      <c r="F444" s="22" t="s">
        <v>15</v>
      </c>
      <c r="G444" s="22" t="s">
        <v>21</v>
      </c>
      <c r="H444" s="22">
        <v>51</v>
      </c>
      <c r="I444" s="24">
        <v>40601</v>
      </c>
      <c r="J444" s="27">
        <v>665</v>
      </c>
      <c r="K444" s="25">
        <v>0</v>
      </c>
      <c r="L444" s="22" t="s">
        <v>17</v>
      </c>
      <c r="M444" s="23" t="s">
        <v>22</v>
      </c>
    </row>
    <row r="445" spans="1:13" x14ac:dyDescent="0.35">
      <c r="A445" s="22" t="s">
        <v>650</v>
      </c>
      <c r="B445" s="22" t="s">
        <v>1533</v>
      </c>
      <c r="C445" s="22" t="s">
        <v>58</v>
      </c>
      <c r="D445" s="22" t="s">
        <v>28</v>
      </c>
      <c r="E445" s="22" t="s">
        <v>29</v>
      </c>
      <c r="F445" s="22" t="s">
        <v>25</v>
      </c>
      <c r="G445" s="22" t="s">
        <v>21</v>
      </c>
      <c r="H445" s="22">
        <v>27</v>
      </c>
      <c r="I445" s="24">
        <v>44217</v>
      </c>
      <c r="J445" s="27">
        <v>918</v>
      </c>
      <c r="K445" s="25">
        <v>0</v>
      </c>
      <c r="L445" s="22" t="s">
        <v>17</v>
      </c>
      <c r="M445" s="23" t="s">
        <v>18</v>
      </c>
    </row>
    <row r="446" spans="1:13" x14ac:dyDescent="0.35">
      <c r="A446" s="22" t="s">
        <v>651</v>
      </c>
      <c r="B446" s="22" t="s">
        <v>1534</v>
      </c>
      <c r="C446" s="22" t="s">
        <v>34</v>
      </c>
      <c r="D446" s="22" t="s">
        <v>24</v>
      </c>
      <c r="E446" s="22" t="s">
        <v>14</v>
      </c>
      <c r="F446" s="22" t="s">
        <v>15</v>
      </c>
      <c r="G446" s="22" t="s">
        <v>16</v>
      </c>
      <c r="H446" s="22">
        <v>55</v>
      </c>
      <c r="I446" s="24">
        <v>40870</v>
      </c>
      <c r="J446" s="27">
        <v>523</v>
      </c>
      <c r="K446" s="25">
        <v>0</v>
      </c>
      <c r="L446" s="22" t="s">
        <v>17</v>
      </c>
      <c r="M446" s="23" t="s">
        <v>35</v>
      </c>
    </row>
    <row r="447" spans="1:13" x14ac:dyDescent="0.35">
      <c r="A447" s="22" t="s">
        <v>652</v>
      </c>
      <c r="B447" s="22" t="s">
        <v>1535</v>
      </c>
      <c r="C447" s="22" t="s">
        <v>27</v>
      </c>
      <c r="D447" s="22" t="s">
        <v>28</v>
      </c>
      <c r="E447" s="22" t="s">
        <v>1102</v>
      </c>
      <c r="F447" s="22" t="s">
        <v>15</v>
      </c>
      <c r="G447" s="22" t="s">
        <v>44</v>
      </c>
      <c r="H447" s="22">
        <v>62</v>
      </c>
      <c r="I447" s="24">
        <v>40043</v>
      </c>
      <c r="J447" s="27">
        <v>834</v>
      </c>
      <c r="K447" s="25">
        <v>0</v>
      </c>
      <c r="L447" s="22" t="s">
        <v>17</v>
      </c>
      <c r="M447" s="23" t="s">
        <v>22</v>
      </c>
    </row>
    <row r="448" spans="1:13" x14ac:dyDescent="0.35">
      <c r="A448" s="22" t="s">
        <v>653</v>
      </c>
      <c r="B448" s="22" t="s">
        <v>1536</v>
      </c>
      <c r="C448" s="22" t="s">
        <v>53</v>
      </c>
      <c r="D448" s="22" t="s">
        <v>20</v>
      </c>
      <c r="E448" s="22" t="s">
        <v>1102</v>
      </c>
      <c r="F448" s="22" t="s">
        <v>15</v>
      </c>
      <c r="G448" s="22" t="s">
        <v>21</v>
      </c>
      <c r="H448" s="22">
        <v>46</v>
      </c>
      <c r="I448" s="24">
        <v>38210</v>
      </c>
      <c r="J448" s="27">
        <v>903</v>
      </c>
      <c r="K448" s="25">
        <v>0.1</v>
      </c>
      <c r="L448" s="22" t="s">
        <v>17</v>
      </c>
      <c r="M448" s="23" t="s">
        <v>22</v>
      </c>
    </row>
    <row r="449" spans="1:13" x14ac:dyDescent="0.35">
      <c r="A449" s="22" t="s">
        <v>654</v>
      </c>
      <c r="B449" s="22" t="s">
        <v>1537</v>
      </c>
      <c r="C449" s="22" t="s">
        <v>57</v>
      </c>
      <c r="D449" s="22" t="s">
        <v>56</v>
      </c>
      <c r="E449" s="22" t="s">
        <v>14</v>
      </c>
      <c r="F449" s="22" t="s">
        <v>15</v>
      </c>
      <c r="G449" s="22" t="s">
        <v>41</v>
      </c>
      <c r="H449" s="22">
        <v>47</v>
      </c>
      <c r="I449" s="24">
        <v>40125</v>
      </c>
      <c r="J449" s="27">
        <v>902</v>
      </c>
      <c r="K449" s="25">
        <v>0</v>
      </c>
      <c r="L449" s="22" t="s">
        <v>17</v>
      </c>
      <c r="M449" s="23" t="s">
        <v>26</v>
      </c>
    </row>
    <row r="450" spans="1:13" x14ac:dyDescent="0.35">
      <c r="A450" s="22" t="s">
        <v>655</v>
      </c>
      <c r="B450" s="22" t="s">
        <v>1538</v>
      </c>
      <c r="C450" s="22" t="s">
        <v>48</v>
      </c>
      <c r="D450" s="22" t="s">
        <v>24</v>
      </c>
      <c r="E450" s="22" t="s">
        <v>14</v>
      </c>
      <c r="F450" s="22" t="s">
        <v>15</v>
      </c>
      <c r="G450" s="22" t="s">
        <v>44</v>
      </c>
      <c r="H450" s="22">
        <v>57</v>
      </c>
      <c r="I450" s="24">
        <v>36707</v>
      </c>
      <c r="J450" s="27">
        <v>895</v>
      </c>
      <c r="K450" s="25">
        <v>0.06</v>
      </c>
      <c r="L450" s="22" t="s">
        <v>17</v>
      </c>
      <c r="M450" s="23" t="s">
        <v>22</v>
      </c>
    </row>
    <row r="451" spans="1:13" x14ac:dyDescent="0.35">
      <c r="A451" s="22" t="s">
        <v>656</v>
      </c>
      <c r="B451" s="22" t="s">
        <v>1539</v>
      </c>
      <c r="C451" s="22" t="s">
        <v>72</v>
      </c>
      <c r="D451" s="22" t="s">
        <v>24</v>
      </c>
      <c r="E451" s="22" t="s">
        <v>29</v>
      </c>
      <c r="F451" s="22" t="s">
        <v>15</v>
      </c>
      <c r="G451" s="22" t="s">
        <v>21</v>
      </c>
      <c r="H451" s="22">
        <v>49</v>
      </c>
      <c r="I451" s="24">
        <v>43565</v>
      </c>
      <c r="J451" s="27">
        <v>789</v>
      </c>
      <c r="K451" s="25">
        <v>0</v>
      </c>
      <c r="L451" s="22" t="s">
        <v>30</v>
      </c>
      <c r="M451" s="23" t="s">
        <v>52</v>
      </c>
    </row>
    <row r="452" spans="1:13" x14ac:dyDescent="0.35">
      <c r="A452" s="22" t="s">
        <v>657</v>
      </c>
      <c r="B452" s="22" t="s">
        <v>1540</v>
      </c>
      <c r="C452" s="22" t="s">
        <v>83</v>
      </c>
      <c r="D452" s="22" t="s">
        <v>28</v>
      </c>
      <c r="E452" s="22" t="s">
        <v>33</v>
      </c>
      <c r="F452" s="22" t="s">
        <v>15</v>
      </c>
      <c r="G452" s="22" t="s">
        <v>21</v>
      </c>
      <c r="H452" s="22">
        <v>42</v>
      </c>
      <c r="I452" s="24">
        <v>44628</v>
      </c>
      <c r="J452" s="27">
        <v>961</v>
      </c>
      <c r="K452" s="25">
        <v>0</v>
      </c>
      <c r="L452" s="22" t="s">
        <v>17</v>
      </c>
      <c r="M452" s="23" t="s">
        <v>22</v>
      </c>
    </row>
    <row r="453" spans="1:13" x14ac:dyDescent="0.35">
      <c r="A453" s="22" t="s">
        <v>262</v>
      </c>
      <c r="B453" s="22" t="s">
        <v>1541</v>
      </c>
      <c r="C453" s="22" t="s">
        <v>73</v>
      </c>
      <c r="D453" s="22" t="s">
        <v>24</v>
      </c>
      <c r="E453" s="22" t="s">
        <v>1102</v>
      </c>
      <c r="F453" s="22" t="s">
        <v>15</v>
      </c>
      <c r="G453" s="22" t="s">
        <v>21</v>
      </c>
      <c r="H453" s="22">
        <v>55</v>
      </c>
      <c r="I453" s="24">
        <v>44902</v>
      </c>
      <c r="J453" s="27">
        <v>997</v>
      </c>
      <c r="K453" s="25">
        <v>0</v>
      </c>
      <c r="L453" s="22" t="s">
        <v>17</v>
      </c>
      <c r="M453" s="23" t="s">
        <v>26</v>
      </c>
    </row>
    <row r="454" spans="1:13" x14ac:dyDescent="0.35">
      <c r="A454" s="22" t="s">
        <v>658</v>
      </c>
      <c r="B454" s="22" t="s">
        <v>1542</v>
      </c>
      <c r="C454" s="22" t="s">
        <v>53</v>
      </c>
      <c r="D454" s="22" t="s">
        <v>13</v>
      </c>
      <c r="E454" s="22" t="s">
        <v>1102</v>
      </c>
      <c r="F454" s="22" t="s">
        <v>15</v>
      </c>
      <c r="G454" s="22" t="s">
        <v>21</v>
      </c>
      <c r="H454" s="22">
        <v>46</v>
      </c>
      <c r="I454" s="24">
        <v>38956</v>
      </c>
      <c r="J454" s="27">
        <v>794</v>
      </c>
      <c r="K454" s="25">
        <v>0.05</v>
      </c>
      <c r="L454" s="22" t="s">
        <v>30</v>
      </c>
      <c r="M454" s="23" t="s">
        <v>31</v>
      </c>
    </row>
    <row r="455" spans="1:13" x14ac:dyDescent="0.35">
      <c r="A455" s="22" t="s">
        <v>659</v>
      </c>
      <c r="B455" s="22" t="s">
        <v>1543</v>
      </c>
      <c r="C455" s="22" t="s">
        <v>77</v>
      </c>
      <c r="D455" s="22" t="s">
        <v>24</v>
      </c>
      <c r="E455" s="22" t="s">
        <v>29</v>
      </c>
      <c r="F455" s="22" t="s">
        <v>25</v>
      </c>
      <c r="G455" s="22" t="s">
        <v>21</v>
      </c>
      <c r="H455" s="22">
        <v>45</v>
      </c>
      <c r="I455" s="24">
        <v>38093</v>
      </c>
      <c r="J455" s="27">
        <v>682</v>
      </c>
      <c r="K455" s="25">
        <v>0</v>
      </c>
      <c r="L455" s="22" t="s">
        <v>30</v>
      </c>
      <c r="M455" s="23" t="s">
        <v>52</v>
      </c>
    </row>
    <row r="456" spans="1:13" x14ac:dyDescent="0.35">
      <c r="A456" s="22" t="s">
        <v>660</v>
      </c>
      <c r="B456" s="22" t="s">
        <v>1544</v>
      </c>
      <c r="C456" s="22" t="s">
        <v>63</v>
      </c>
      <c r="D456" s="22" t="s">
        <v>20</v>
      </c>
      <c r="E456" s="22" t="s">
        <v>33</v>
      </c>
      <c r="F456" s="22" t="s">
        <v>25</v>
      </c>
      <c r="G456" s="22" t="s">
        <v>16</v>
      </c>
      <c r="H456" s="22">
        <v>53</v>
      </c>
      <c r="I456" s="24">
        <v>40996</v>
      </c>
      <c r="J456" s="27">
        <v>620</v>
      </c>
      <c r="K456" s="25">
        <v>0</v>
      </c>
      <c r="L456" s="22" t="s">
        <v>17</v>
      </c>
      <c r="M456" s="23" t="s">
        <v>22</v>
      </c>
    </row>
    <row r="457" spans="1:13" x14ac:dyDescent="0.35">
      <c r="A457" s="22" t="s">
        <v>661</v>
      </c>
      <c r="B457" s="22" t="s">
        <v>1545</v>
      </c>
      <c r="C457" s="22" t="s">
        <v>57</v>
      </c>
      <c r="D457" s="22" t="s">
        <v>43</v>
      </c>
      <c r="E457" s="22" t="s">
        <v>14</v>
      </c>
      <c r="F457" s="22" t="s">
        <v>15</v>
      </c>
      <c r="G457" s="22" t="s">
        <v>16</v>
      </c>
      <c r="H457" s="22">
        <v>46</v>
      </c>
      <c r="I457" s="24">
        <v>38977</v>
      </c>
      <c r="J457" s="27">
        <v>797</v>
      </c>
      <c r="K457" s="25">
        <v>0</v>
      </c>
      <c r="L457" s="22" t="s">
        <v>17</v>
      </c>
      <c r="M457" s="23" t="s">
        <v>40</v>
      </c>
    </row>
    <row r="458" spans="1:13" x14ac:dyDescent="0.35">
      <c r="A458" s="22" t="s">
        <v>662</v>
      </c>
      <c r="B458" s="22" t="s">
        <v>1546</v>
      </c>
      <c r="C458" s="22" t="s">
        <v>57</v>
      </c>
      <c r="D458" s="22" t="s">
        <v>13</v>
      </c>
      <c r="E458" s="22" t="s">
        <v>14</v>
      </c>
      <c r="F458" s="22" t="s">
        <v>15</v>
      </c>
      <c r="G458" s="22" t="s">
        <v>44</v>
      </c>
      <c r="H458" s="22">
        <v>48</v>
      </c>
      <c r="I458" s="24">
        <v>42022</v>
      </c>
      <c r="J458" s="27">
        <v>659</v>
      </c>
      <c r="K458" s="25">
        <v>0</v>
      </c>
      <c r="L458" s="22" t="s">
        <v>17</v>
      </c>
      <c r="M458" s="23" t="s">
        <v>26</v>
      </c>
    </row>
    <row r="459" spans="1:13" x14ac:dyDescent="0.35">
      <c r="A459" s="22" t="s">
        <v>663</v>
      </c>
      <c r="B459" s="22" t="s">
        <v>1547</v>
      </c>
      <c r="C459" s="22" t="s">
        <v>53</v>
      </c>
      <c r="D459" s="22" t="s">
        <v>39</v>
      </c>
      <c r="E459" s="22" t="s">
        <v>29</v>
      </c>
      <c r="F459" s="22" t="s">
        <v>15</v>
      </c>
      <c r="G459" s="22" t="s">
        <v>21</v>
      </c>
      <c r="H459" s="22">
        <v>33</v>
      </c>
      <c r="I459" s="24">
        <v>41963</v>
      </c>
      <c r="J459" s="27">
        <v>700</v>
      </c>
      <c r="K459" s="25">
        <v>0.05</v>
      </c>
      <c r="L459" s="22" t="s">
        <v>30</v>
      </c>
      <c r="M459" s="23" t="s">
        <v>31</v>
      </c>
    </row>
    <row r="460" spans="1:13" x14ac:dyDescent="0.35">
      <c r="A460" s="22" t="s">
        <v>664</v>
      </c>
      <c r="B460" s="22" t="s">
        <v>1548</v>
      </c>
      <c r="C460" s="22" t="s">
        <v>12</v>
      </c>
      <c r="D460" s="22" t="s">
        <v>56</v>
      </c>
      <c r="E460" s="22" t="s">
        <v>14</v>
      </c>
      <c r="F460" s="22" t="s">
        <v>15</v>
      </c>
      <c r="G460" s="22" t="s">
        <v>16</v>
      </c>
      <c r="H460" s="22">
        <v>56</v>
      </c>
      <c r="I460" s="24">
        <v>39659</v>
      </c>
      <c r="J460" s="27">
        <v>606</v>
      </c>
      <c r="K460" s="25">
        <v>0.39</v>
      </c>
      <c r="L460" s="22" t="s">
        <v>17</v>
      </c>
      <c r="M460" s="23" t="s">
        <v>40</v>
      </c>
    </row>
    <row r="461" spans="1:13" x14ac:dyDescent="0.35">
      <c r="A461" s="22" t="s">
        <v>665</v>
      </c>
      <c r="B461" s="22" t="s">
        <v>1549</v>
      </c>
      <c r="C461" s="22" t="s">
        <v>77</v>
      </c>
      <c r="D461" s="22" t="s">
        <v>24</v>
      </c>
      <c r="E461" s="22" t="s">
        <v>33</v>
      </c>
      <c r="F461" s="22" t="s">
        <v>15</v>
      </c>
      <c r="G461" s="22" t="s">
        <v>44</v>
      </c>
      <c r="H461" s="22">
        <v>59</v>
      </c>
      <c r="I461" s="24">
        <v>39413</v>
      </c>
      <c r="J461" s="27">
        <v>951</v>
      </c>
      <c r="K461" s="25">
        <v>0</v>
      </c>
      <c r="L461" s="22" t="s">
        <v>17</v>
      </c>
      <c r="M461" s="23" t="s">
        <v>54</v>
      </c>
    </row>
    <row r="462" spans="1:13" x14ac:dyDescent="0.35">
      <c r="A462" s="22" t="s">
        <v>666</v>
      </c>
      <c r="B462" s="22" t="s">
        <v>1550</v>
      </c>
      <c r="C462" s="22" t="s">
        <v>55</v>
      </c>
      <c r="D462" s="22" t="s">
        <v>13</v>
      </c>
      <c r="E462" s="22" t="s">
        <v>33</v>
      </c>
      <c r="F462" s="22" t="s">
        <v>25</v>
      </c>
      <c r="G462" s="22" t="s">
        <v>44</v>
      </c>
      <c r="H462" s="22">
        <v>55</v>
      </c>
      <c r="I462" s="24">
        <v>41229</v>
      </c>
      <c r="J462" s="27">
        <v>519</v>
      </c>
      <c r="K462" s="25">
        <v>0</v>
      </c>
      <c r="L462" s="22" t="s">
        <v>45</v>
      </c>
      <c r="M462" s="23" t="s">
        <v>66</v>
      </c>
    </row>
    <row r="463" spans="1:13" x14ac:dyDescent="0.35">
      <c r="A463" s="22" t="s">
        <v>667</v>
      </c>
      <c r="B463" s="22" t="s">
        <v>1551</v>
      </c>
      <c r="C463" s="22" t="s">
        <v>12</v>
      </c>
      <c r="D463" s="22" t="s">
        <v>39</v>
      </c>
      <c r="E463" s="22" t="s">
        <v>14</v>
      </c>
      <c r="F463" s="22" t="s">
        <v>15</v>
      </c>
      <c r="G463" s="22" t="s">
        <v>21</v>
      </c>
      <c r="H463" s="22">
        <v>46</v>
      </c>
      <c r="I463" s="24">
        <v>43308</v>
      </c>
      <c r="J463" s="27">
        <v>923</v>
      </c>
      <c r="K463" s="25">
        <v>0.3</v>
      </c>
      <c r="L463" s="22" t="s">
        <v>17</v>
      </c>
      <c r="M463" s="23" t="s">
        <v>18</v>
      </c>
    </row>
    <row r="464" spans="1:13" x14ac:dyDescent="0.35">
      <c r="A464" s="22" t="s">
        <v>152</v>
      </c>
      <c r="B464" s="22" t="s">
        <v>1552</v>
      </c>
      <c r="C464" s="22" t="s">
        <v>57</v>
      </c>
      <c r="D464" s="22" t="s">
        <v>39</v>
      </c>
      <c r="E464" s="22" t="s">
        <v>1102</v>
      </c>
      <c r="F464" s="22" t="s">
        <v>15</v>
      </c>
      <c r="G464" s="22" t="s">
        <v>21</v>
      </c>
      <c r="H464" s="22">
        <v>50</v>
      </c>
      <c r="I464" s="24">
        <v>36666</v>
      </c>
      <c r="J464" s="27">
        <v>618</v>
      </c>
      <c r="K464" s="25">
        <v>0</v>
      </c>
      <c r="L464" s="22" t="s">
        <v>17</v>
      </c>
      <c r="M464" s="23" t="s">
        <v>54</v>
      </c>
    </row>
    <row r="465" spans="1:13" x14ac:dyDescent="0.35">
      <c r="A465" s="22" t="s">
        <v>668</v>
      </c>
      <c r="B465" s="22" t="s">
        <v>1553</v>
      </c>
      <c r="C465" s="22" t="s">
        <v>57</v>
      </c>
      <c r="D465" s="22" t="s">
        <v>43</v>
      </c>
      <c r="E465" s="22" t="s">
        <v>29</v>
      </c>
      <c r="F465" s="22" t="s">
        <v>15</v>
      </c>
      <c r="G465" s="22" t="s">
        <v>21</v>
      </c>
      <c r="H465" s="22">
        <v>29</v>
      </c>
      <c r="I465" s="24">
        <v>42939</v>
      </c>
      <c r="J465" s="27">
        <v>619</v>
      </c>
      <c r="K465" s="25">
        <v>0</v>
      </c>
      <c r="L465" s="22" t="s">
        <v>30</v>
      </c>
      <c r="M465" s="23" t="s">
        <v>61</v>
      </c>
    </row>
    <row r="466" spans="1:13" x14ac:dyDescent="0.35">
      <c r="A466" s="22" t="s">
        <v>669</v>
      </c>
      <c r="B466" s="22" t="s">
        <v>1554</v>
      </c>
      <c r="C466" s="22" t="s">
        <v>34</v>
      </c>
      <c r="D466" s="22" t="s">
        <v>24</v>
      </c>
      <c r="E466" s="22" t="s">
        <v>33</v>
      </c>
      <c r="F466" s="22" t="s">
        <v>25</v>
      </c>
      <c r="G466" s="22" t="s">
        <v>21</v>
      </c>
      <c r="H466" s="22">
        <v>57</v>
      </c>
      <c r="I466" s="24">
        <v>38286</v>
      </c>
      <c r="J466" s="27">
        <v>875</v>
      </c>
      <c r="K466" s="25">
        <v>0</v>
      </c>
      <c r="L466" s="22" t="s">
        <v>30</v>
      </c>
      <c r="M466" s="23" t="s">
        <v>65</v>
      </c>
    </row>
    <row r="467" spans="1:13" x14ac:dyDescent="0.35">
      <c r="A467" s="22" t="s">
        <v>670</v>
      </c>
      <c r="B467" s="22" t="s">
        <v>1555</v>
      </c>
      <c r="C467" s="22" t="s">
        <v>12</v>
      </c>
      <c r="D467" s="22" t="s">
        <v>13</v>
      </c>
      <c r="E467" s="22" t="s">
        <v>14</v>
      </c>
      <c r="F467" s="22" t="s">
        <v>15</v>
      </c>
      <c r="G467" s="22" t="s">
        <v>16</v>
      </c>
      <c r="H467" s="22">
        <v>39</v>
      </c>
      <c r="I467" s="24">
        <v>40784</v>
      </c>
      <c r="J467" s="27">
        <v>878</v>
      </c>
      <c r="K467" s="25">
        <v>0.38</v>
      </c>
      <c r="L467" s="22" t="s">
        <v>17</v>
      </c>
      <c r="M467" s="23" t="s">
        <v>26</v>
      </c>
    </row>
    <row r="468" spans="1:13" x14ac:dyDescent="0.35">
      <c r="A468" s="22" t="s">
        <v>115</v>
      </c>
      <c r="B468" s="22" t="s">
        <v>1556</v>
      </c>
      <c r="C468" s="22" t="s">
        <v>23</v>
      </c>
      <c r="D468" s="22" t="s">
        <v>24</v>
      </c>
      <c r="E468" s="22" t="s">
        <v>29</v>
      </c>
      <c r="F468" s="22" t="s">
        <v>25</v>
      </c>
      <c r="G468" s="22" t="s">
        <v>41</v>
      </c>
      <c r="H468" s="22">
        <v>40</v>
      </c>
      <c r="I468" s="24">
        <v>44739</v>
      </c>
      <c r="J468" s="27">
        <v>735</v>
      </c>
      <c r="K468" s="25">
        <v>0</v>
      </c>
      <c r="L468" s="22" t="s">
        <v>17</v>
      </c>
      <c r="M468" s="23" t="s">
        <v>35</v>
      </c>
    </row>
    <row r="469" spans="1:13" x14ac:dyDescent="0.35">
      <c r="A469" s="22" t="s">
        <v>671</v>
      </c>
      <c r="B469" s="22" t="s">
        <v>1557</v>
      </c>
      <c r="C469" s="22" t="s">
        <v>12</v>
      </c>
      <c r="D469" s="22" t="s">
        <v>20</v>
      </c>
      <c r="E469" s="22" t="s">
        <v>1102</v>
      </c>
      <c r="F469" s="22" t="s">
        <v>25</v>
      </c>
      <c r="G469" s="22" t="s">
        <v>44</v>
      </c>
      <c r="H469" s="22">
        <v>33</v>
      </c>
      <c r="I469" s="24">
        <v>43229</v>
      </c>
      <c r="J469" s="27">
        <v>643</v>
      </c>
      <c r="K469" s="25">
        <v>0.35</v>
      </c>
      <c r="L469" s="22" t="s">
        <v>17</v>
      </c>
      <c r="M469" s="23" t="s">
        <v>18</v>
      </c>
    </row>
    <row r="470" spans="1:13" x14ac:dyDescent="0.35">
      <c r="A470" s="22" t="s">
        <v>672</v>
      </c>
      <c r="B470" s="22" t="s">
        <v>1558</v>
      </c>
      <c r="C470" s="22" t="s">
        <v>57</v>
      </c>
      <c r="D470" s="22" t="s">
        <v>43</v>
      </c>
      <c r="E470" s="22" t="s">
        <v>1102</v>
      </c>
      <c r="F470" s="22" t="s">
        <v>15</v>
      </c>
      <c r="G470" s="22" t="s">
        <v>44</v>
      </c>
      <c r="H470" s="22">
        <v>49</v>
      </c>
      <c r="I470" s="24">
        <v>44124</v>
      </c>
      <c r="J470" s="27">
        <v>754</v>
      </c>
      <c r="K470" s="25">
        <v>0</v>
      </c>
      <c r="L470" s="22" t="s">
        <v>45</v>
      </c>
      <c r="M470" s="23" t="s">
        <v>46</v>
      </c>
    </row>
    <row r="471" spans="1:13" x14ac:dyDescent="0.35">
      <c r="A471" s="22" t="s">
        <v>673</v>
      </c>
      <c r="B471" s="22" t="s">
        <v>1559</v>
      </c>
      <c r="C471" s="22" t="s">
        <v>57</v>
      </c>
      <c r="D471" s="22" t="s">
        <v>43</v>
      </c>
      <c r="E471" s="22" t="s">
        <v>14</v>
      </c>
      <c r="F471" s="22" t="s">
        <v>25</v>
      </c>
      <c r="G471" s="22" t="s">
        <v>21</v>
      </c>
      <c r="H471" s="22">
        <v>54</v>
      </c>
      <c r="I471" s="24">
        <v>35833</v>
      </c>
      <c r="J471" s="27">
        <v>608</v>
      </c>
      <c r="K471" s="25">
        <v>0</v>
      </c>
      <c r="L471" s="22" t="s">
        <v>17</v>
      </c>
      <c r="M471" s="23" t="s">
        <v>26</v>
      </c>
    </row>
    <row r="472" spans="1:13" x14ac:dyDescent="0.35">
      <c r="A472" s="22" t="s">
        <v>674</v>
      </c>
      <c r="B472" s="22" t="s">
        <v>1560</v>
      </c>
      <c r="C472" s="22" t="s">
        <v>1111</v>
      </c>
      <c r="D472" s="22" t="s">
        <v>24</v>
      </c>
      <c r="E472" s="22" t="s">
        <v>29</v>
      </c>
      <c r="F472" s="22" t="s">
        <v>25</v>
      </c>
      <c r="G472" s="22" t="s">
        <v>21</v>
      </c>
      <c r="H472" s="22">
        <v>51</v>
      </c>
      <c r="I472" s="24">
        <v>38804</v>
      </c>
      <c r="J472" s="27">
        <v>630</v>
      </c>
      <c r="K472" s="25">
        <v>0.12</v>
      </c>
      <c r="L472" s="22" t="s">
        <v>30</v>
      </c>
      <c r="M472" s="23" t="s">
        <v>31</v>
      </c>
    </row>
    <row r="473" spans="1:13" x14ac:dyDescent="0.35">
      <c r="A473" s="22" t="s">
        <v>127</v>
      </c>
      <c r="B473" s="22" t="s">
        <v>1561</v>
      </c>
      <c r="C473" s="22" t="s">
        <v>57</v>
      </c>
      <c r="D473" s="22" t="s">
        <v>39</v>
      </c>
      <c r="E473" s="22" t="s">
        <v>14</v>
      </c>
      <c r="F473" s="22" t="s">
        <v>15</v>
      </c>
      <c r="G473" s="22" t="s">
        <v>16</v>
      </c>
      <c r="H473" s="22">
        <v>33</v>
      </c>
      <c r="I473" s="24">
        <v>43031</v>
      </c>
      <c r="J473" s="27">
        <v>607</v>
      </c>
      <c r="K473" s="25">
        <v>0</v>
      </c>
      <c r="L473" s="22" t="s">
        <v>17</v>
      </c>
      <c r="M473" s="23" t="s">
        <v>35</v>
      </c>
    </row>
    <row r="474" spans="1:13" x14ac:dyDescent="0.35">
      <c r="A474" s="22" t="s">
        <v>675</v>
      </c>
      <c r="B474" s="22" t="s">
        <v>1562</v>
      </c>
      <c r="C474" s="22" t="s">
        <v>36</v>
      </c>
      <c r="D474" s="22" t="s">
        <v>24</v>
      </c>
      <c r="E474" s="22" t="s">
        <v>14</v>
      </c>
      <c r="F474" s="22" t="s">
        <v>25</v>
      </c>
      <c r="G474" s="22" t="s">
        <v>16</v>
      </c>
      <c r="H474" s="22">
        <v>34</v>
      </c>
      <c r="I474" s="24">
        <v>42837</v>
      </c>
      <c r="J474" s="27">
        <v>763</v>
      </c>
      <c r="K474" s="25">
        <v>0.3</v>
      </c>
      <c r="L474" s="22" t="s">
        <v>17</v>
      </c>
      <c r="M474" s="23" t="s">
        <v>40</v>
      </c>
    </row>
    <row r="475" spans="1:13" x14ac:dyDescent="0.35">
      <c r="A475" s="22" t="s">
        <v>676</v>
      </c>
      <c r="B475" s="22" t="s">
        <v>1563</v>
      </c>
      <c r="C475" s="22" t="s">
        <v>1111</v>
      </c>
      <c r="D475" s="22" t="s">
        <v>43</v>
      </c>
      <c r="E475" s="22" t="s">
        <v>29</v>
      </c>
      <c r="F475" s="22" t="s">
        <v>15</v>
      </c>
      <c r="G475" s="22" t="s">
        <v>44</v>
      </c>
      <c r="H475" s="22">
        <v>28</v>
      </c>
      <c r="I475" s="24">
        <v>43817</v>
      </c>
      <c r="J475" s="27">
        <v>879</v>
      </c>
      <c r="K475" s="25">
        <v>0.14000000000000001</v>
      </c>
      <c r="L475" s="22" t="s">
        <v>45</v>
      </c>
      <c r="M475" s="23" t="s">
        <v>1134</v>
      </c>
    </row>
    <row r="476" spans="1:13" x14ac:dyDescent="0.35">
      <c r="A476" s="22" t="s">
        <v>677</v>
      </c>
      <c r="B476" s="22" t="s">
        <v>1564</v>
      </c>
      <c r="C476" s="22" t="s">
        <v>12</v>
      </c>
      <c r="D476" s="22" t="s">
        <v>39</v>
      </c>
      <c r="E476" s="22" t="s">
        <v>14</v>
      </c>
      <c r="F476" s="22" t="s">
        <v>15</v>
      </c>
      <c r="G476" s="22" t="s">
        <v>44</v>
      </c>
      <c r="H476" s="22">
        <v>34</v>
      </c>
      <c r="I476" s="24">
        <v>42932</v>
      </c>
      <c r="J476" s="27">
        <v>746</v>
      </c>
      <c r="K476" s="25">
        <v>0.38</v>
      </c>
      <c r="L476" s="22" t="s">
        <v>17</v>
      </c>
      <c r="M476" s="23" t="s">
        <v>40</v>
      </c>
    </row>
    <row r="477" spans="1:13" x14ac:dyDescent="0.35">
      <c r="A477" s="22" t="s">
        <v>214</v>
      </c>
      <c r="B477" s="22" t="s">
        <v>1565</v>
      </c>
      <c r="C477" s="22" t="s">
        <v>48</v>
      </c>
      <c r="D477" s="22" t="s">
        <v>24</v>
      </c>
      <c r="E477" s="22" t="s">
        <v>1102</v>
      </c>
      <c r="F477" s="22" t="s">
        <v>15</v>
      </c>
      <c r="G477" s="22" t="s">
        <v>44</v>
      </c>
      <c r="H477" s="22">
        <v>39</v>
      </c>
      <c r="I477" s="24">
        <v>44686</v>
      </c>
      <c r="J477" s="27">
        <v>993</v>
      </c>
      <c r="K477" s="25">
        <v>0.05</v>
      </c>
      <c r="L477" s="22" t="s">
        <v>45</v>
      </c>
      <c r="M477" s="23" t="s">
        <v>1134</v>
      </c>
    </row>
    <row r="478" spans="1:13" x14ac:dyDescent="0.35">
      <c r="A478" s="22" t="s">
        <v>221</v>
      </c>
      <c r="B478" s="22" t="s">
        <v>1566</v>
      </c>
      <c r="C478" s="22" t="s">
        <v>53</v>
      </c>
      <c r="D478" s="22" t="s">
        <v>20</v>
      </c>
      <c r="E478" s="22" t="s">
        <v>1102</v>
      </c>
      <c r="F478" s="22" t="s">
        <v>25</v>
      </c>
      <c r="G478" s="22" t="s">
        <v>21</v>
      </c>
      <c r="H478" s="22">
        <v>63</v>
      </c>
      <c r="I478" s="24">
        <v>38190</v>
      </c>
      <c r="J478" s="27">
        <v>918</v>
      </c>
      <c r="K478" s="25">
        <v>0.05</v>
      </c>
      <c r="L478" s="22" t="s">
        <v>30</v>
      </c>
      <c r="M478" s="23" t="s">
        <v>52</v>
      </c>
    </row>
    <row r="479" spans="1:13" x14ac:dyDescent="0.35">
      <c r="A479" s="22" t="s">
        <v>678</v>
      </c>
      <c r="B479" s="22" t="s">
        <v>1567</v>
      </c>
      <c r="C479" s="22" t="s">
        <v>12</v>
      </c>
      <c r="D479" s="22" t="s">
        <v>56</v>
      </c>
      <c r="E479" s="22" t="s">
        <v>33</v>
      </c>
      <c r="F479" s="22" t="s">
        <v>15</v>
      </c>
      <c r="G479" s="22" t="s">
        <v>21</v>
      </c>
      <c r="H479" s="22">
        <v>35</v>
      </c>
      <c r="I479" s="24">
        <v>44048</v>
      </c>
      <c r="J479" s="27">
        <v>638</v>
      </c>
      <c r="K479" s="25">
        <v>0.37</v>
      </c>
      <c r="L479" s="22" t="s">
        <v>17</v>
      </c>
      <c r="M479" s="23" t="s">
        <v>18</v>
      </c>
    </row>
    <row r="480" spans="1:13" x14ac:dyDescent="0.35">
      <c r="A480" s="22" t="s">
        <v>679</v>
      </c>
      <c r="B480" s="22" t="s">
        <v>1568</v>
      </c>
      <c r="C480" s="22" t="s">
        <v>1111</v>
      </c>
      <c r="D480" s="22" t="s">
        <v>24</v>
      </c>
      <c r="E480" s="22" t="s">
        <v>1102</v>
      </c>
      <c r="F480" s="22" t="s">
        <v>25</v>
      </c>
      <c r="G480" s="22" t="s">
        <v>16</v>
      </c>
      <c r="H480" s="22">
        <v>44</v>
      </c>
      <c r="I480" s="24">
        <v>43693</v>
      </c>
      <c r="J480" s="27">
        <v>886</v>
      </c>
      <c r="K480" s="25">
        <v>0.11</v>
      </c>
      <c r="L480" s="22" t="s">
        <v>17</v>
      </c>
      <c r="M480" s="23" t="s">
        <v>18</v>
      </c>
    </row>
    <row r="481" spans="1:13" x14ac:dyDescent="0.35">
      <c r="A481" s="22" t="s">
        <v>680</v>
      </c>
      <c r="B481" s="22" t="s">
        <v>1569</v>
      </c>
      <c r="C481" s="22" t="s">
        <v>57</v>
      </c>
      <c r="D481" s="22" t="s">
        <v>43</v>
      </c>
      <c r="E481" s="22" t="s">
        <v>14</v>
      </c>
      <c r="F481" s="22" t="s">
        <v>15</v>
      </c>
      <c r="G481" s="22" t="s">
        <v>21</v>
      </c>
      <c r="H481" s="22">
        <v>37</v>
      </c>
      <c r="I481" s="24">
        <v>42802</v>
      </c>
      <c r="J481" s="27">
        <v>677</v>
      </c>
      <c r="K481" s="25">
        <v>0</v>
      </c>
      <c r="L481" s="22" t="s">
        <v>30</v>
      </c>
      <c r="M481" s="23" t="s">
        <v>52</v>
      </c>
    </row>
    <row r="482" spans="1:13" x14ac:dyDescent="0.35">
      <c r="A482" s="22" t="s">
        <v>681</v>
      </c>
      <c r="B482" s="22" t="s">
        <v>1570</v>
      </c>
      <c r="C482" s="22" t="s">
        <v>12</v>
      </c>
      <c r="D482" s="22" t="s">
        <v>56</v>
      </c>
      <c r="E482" s="22" t="s">
        <v>14</v>
      </c>
      <c r="F482" s="22" t="s">
        <v>15</v>
      </c>
      <c r="G482" s="22" t="s">
        <v>21</v>
      </c>
      <c r="H482" s="22">
        <v>45</v>
      </c>
      <c r="I482" s="24">
        <v>37457</v>
      </c>
      <c r="J482" s="27">
        <v>519</v>
      </c>
      <c r="K482" s="25">
        <v>0.3</v>
      </c>
      <c r="L482" s="22" t="s">
        <v>17</v>
      </c>
      <c r="M482" s="23" t="s">
        <v>26</v>
      </c>
    </row>
    <row r="483" spans="1:13" x14ac:dyDescent="0.35">
      <c r="A483" s="22" t="s">
        <v>682</v>
      </c>
      <c r="B483" s="22" t="s">
        <v>1571</v>
      </c>
      <c r="C483" s="22" t="s">
        <v>12</v>
      </c>
      <c r="D483" s="22" t="s">
        <v>13</v>
      </c>
      <c r="E483" s="22" t="s">
        <v>33</v>
      </c>
      <c r="F483" s="22" t="s">
        <v>15</v>
      </c>
      <c r="G483" s="22" t="s">
        <v>44</v>
      </c>
      <c r="H483" s="22">
        <v>65</v>
      </c>
      <c r="I483" s="24">
        <v>37610</v>
      </c>
      <c r="J483" s="27">
        <v>617</v>
      </c>
      <c r="K483" s="25">
        <v>0.39</v>
      </c>
      <c r="L483" s="22" t="s">
        <v>45</v>
      </c>
      <c r="M483" s="23" t="s">
        <v>46</v>
      </c>
    </row>
    <row r="484" spans="1:13" x14ac:dyDescent="0.35">
      <c r="A484" s="22" t="s">
        <v>683</v>
      </c>
      <c r="B484" s="22" t="s">
        <v>1572</v>
      </c>
      <c r="C484" s="22" t="s">
        <v>1111</v>
      </c>
      <c r="D484" s="22" t="s">
        <v>20</v>
      </c>
      <c r="E484" s="22" t="s">
        <v>14</v>
      </c>
      <c r="F484" s="22" t="s">
        <v>25</v>
      </c>
      <c r="G484" s="22" t="s">
        <v>41</v>
      </c>
      <c r="H484" s="22">
        <v>65</v>
      </c>
      <c r="I484" s="24">
        <v>39391</v>
      </c>
      <c r="J484" s="27">
        <v>862</v>
      </c>
      <c r="K484" s="25">
        <v>0.14000000000000001</v>
      </c>
      <c r="L484" s="22" t="s">
        <v>17</v>
      </c>
      <c r="M484" s="23" t="s">
        <v>35</v>
      </c>
    </row>
    <row r="485" spans="1:13" x14ac:dyDescent="0.35">
      <c r="A485" s="22" t="s">
        <v>684</v>
      </c>
      <c r="B485" s="22" t="s">
        <v>1573</v>
      </c>
      <c r="C485" s="22" t="s">
        <v>50</v>
      </c>
      <c r="D485" s="22" t="s">
        <v>28</v>
      </c>
      <c r="E485" s="22" t="s">
        <v>14</v>
      </c>
      <c r="F485" s="22" t="s">
        <v>15</v>
      </c>
      <c r="G485" s="22" t="s">
        <v>44</v>
      </c>
      <c r="H485" s="22">
        <v>63</v>
      </c>
      <c r="I485" s="24">
        <v>37305</v>
      </c>
      <c r="J485" s="27">
        <v>658</v>
      </c>
      <c r="K485" s="25">
        <v>0</v>
      </c>
      <c r="L485" s="22" t="s">
        <v>17</v>
      </c>
      <c r="M485" s="23" t="s">
        <v>18</v>
      </c>
    </row>
    <row r="486" spans="1:13" x14ac:dyDescent="0.35">
      <c r="A486" s="22" t="s">
        <v>685</v>
      </c>
      <c r="B486" s="22" t="s">
        <v>1574</v>
      </c>
      <c r="C486" s="22" t="s">
        <v>36</v>
      </c>
      <c r="D486" s="22" t="s">
        <v>13</v>
      </c>
      <c r="E486" s="22" t="s">
        <v>33</v>
      </c>
      <c r="F486" s="22" t="s">
        <v>15</v>
      </c>
      <c r="G486" s="22" t="s">
        <v>21</v>
      </c>
      <c r="H486" s="22">
        <v>55</v>
      </c>
      <c r="I486" s="24">
        <v>34646</v>
      </c>
      <c r="J486" s="27">
        <v>865</v>
      </c>
      <c r="K486" s="25">
        <v>0.28000000000000003</v>
      </c>
      <c r="L486" s="22" t="s">
        <v>30</v>
      </c>
      <c r="M486" s="23" t="s">
        <v>61</v>
      </c>
    </row>
    <row r="487" spans="1:13" x14ac:dyDescent="0.35">
      <c r="A487" s="22" t="s">
        <v>686</v>
      </c>
      <c r="B487" s="22" t="s">
        <v>1575</v>
      </c>
      <c r="C487" s="22" t="s">
        <v>57</v>
      </c>
      <c r="D487" s="22" t="s">
        <v>56</v>
      </c>
      <c r="E487" s="22" t="s">
        <v>29</v>
      </c>
      <c r="F487" s="22" t="s">
        <v>15</v>
      </c>
      <c r="G487" s="22" t="s">
        <v>21</v>
      </c>
      <c r="H487" s="22">
        <v>58</v>
      </c>
      <c r="I487" s="24">
        <v>41626</v>
      </c>
      <c r="J487" s="27">
        <v>647</v>
      </c>
      <c r="K487" s="25">
        <v>0</v>
      </c>
      <c r="L487" s="22" t="s">
        <v>17</v>
      </c>
      <c r="M487" s="23" t="s">
        <v>22</v>
      </c>
    </row>
    <row r="488" spans="1:13" x14ac:dyDescent="0.35">
      <c r="A488" s="22" t="s">
        <v>687</v>
      </c>
      <c r="B488" s="22" t="s">
        <v>1576</v>
      </c>
      <c r="C488" s="22" t="s">
        <v>36</v>
      </c>
      <c r="D488" s="22" t="s">
        <v>13</v>
      </c>
      <c r="E488" s="22" t="s">
        <v>29</v>
      </c>
      <c r="F488" s="22" t="s">
        <v>15</v>
      </c>
      <c r="G488" s="22" t="s">
        <v>21</v>
      </c>
      <c r="H488" s="22">
        <v>31</v>
      </c>
      <c r="I488" s="24">
        <v>44578</v>
      </c>
      <c r="J488" s="27">
        <v>722</v>
      </c>
      <c r="K488" s="25">
        <v>0.27</v>
      </c>
      <c r="L488" s="22" t="s">
        <v>17</v>
      </c>
      <c r="M488" s="23" t="s">
        <v>22</v>
      </c>
    </row>
    <row r="489" spans="1:13" x14ac:dyDescent="0.35">
      <c r="A489" s="22" t="s">
        <v>98</v>
      </c>
      <c r="B489" s="22" t="s">
        <v>1577</v>
      </c>
      <c r="C489" s="22" t="s">
        <v>72</v>
      </c>
      <c r="D489" s="22" t="s">
        <v>24</v>
      </c>
      <c r="E489" s="22" t="s">
        <v>1102</v>
      </c>
      <c r="F489" s="22" t="s">
        <v>15</v>
      </c>
      <c r="G489" s="22" t="s">
        <v>21</v>
      </c>
      <c r="H489" s="22">
        <v>28</v>
      </c>
      <c r="I489" s="24">
        <v>43874</v>
      </c>
      <c r="J489" s="27">
        <v>954</v>
      </c>
      <c r="K489" s="25">
        <v>0</v>
      </c>
      <c r="L489" s="22" t="s">
        <v>30</v>
      </c>
      <c r="M489" s="23" t="s">
        <v>61</v>
      </c>
    </row>
    <row r="490" spans="1:13" x14ac:dyDescent="0.35">
      <c r="A490" s="22" t="s">
        <v>688</v>
      </c>
      <c r="B490" s="22" t="s">
        <v>1578</v>
      </c>
      <c r="C490" s="22" t="s">
        <v>68</v>
      </c>
      <c r="D490" s="22" t="s">
        <v>20</v>
      </c>
      <c r="E490" s="22" t="s">
        <v>33</v>
      </c>
      <c r="F490" s="22" t="s">
        <v>15</v>
      </c>
      <c r="G490" s="22" t="s">
        <v>44</v>
      </c>
      <c r="H490" s="22">
        <v>50</v>
      </c>
      <c r="I490" s="24">
        <v>39670</v>
      </c>
      <c r="J490" s="27">
        <v>795</v>
      </c>
      <c r="K490" s="25">
        <v>0</v>
      </c>
      <c r="L490" s="22" t="s">
        <v>17</v>
      </c>
      <c r="M490" s="23" t="s">
        <v>22</v>
      </c>
    </row>
    <row r="491" spans="1:13" x14ac:dyDescent="0.35">
      <c r="A491" s="22" t="s">
        <v>689</v>
      </c>
      <c r="B491" s="22" t="s">
        <v>1579</v>
      </c>
      <c r="C491" s="22" t="s">
        <v>36</v>
      </c>
      <c r="D491" s="22" t="s">
        <v>43</v>
      </c>
      <c r="E491" s="22" t="s">
        <v>14</v>
      </c>
      <c r="F491" s="22" t="s">
        <v>15</v>
      </c>
      <c r="G491" s="22" t="s">
        <v>44</v>
      </c>
      <c r="H491" s="22">
        <v>61</v>
      </c>
      <c r="I491" s="24">
        <v>41377</v>
      </c>
      <c r="J491" s="27">
        <v>831</v>
      </c>
      <c r="K491" s="25">
        <v>0.21</v>
      </c>
      <c r="L491" s="22" t="s">
        <v>45</v>
      </c>
      <c r="M491" s="23" t="s">
        <v>1134</v>
      </c>
    </row>
    <row r="492" spans="1:13" x14ac:dyDescent="0.35">
      <c r="A492" s="22" t="s">
        <v>222</v>
      </c>
      <c r="B492" s="22" t="s">
        <v>1580</v>
      </c>
      <c r="C492" s="22" t="s">
        <v>23</v>
      </c>
      <c r="D492" s="22" t="s">
        <v>24</v>
      </c>
      <c r="E492" s="22" t="s">
        <v>1102</v>
      </c>
      <c r="F492" s="22" t="s">
        <v>25</v>
      </c>
      <c r="G492" s="22" t="s">
        <v>16</v>
      </c>
      <c r="H492" s="22">
        <v>53</v>
      </c>
      <c r="I492" s="24">
        <v>35490</v>
      </c>
      <c r="J492" s="27">
        <v>939</v>
      </c>
      <c r="K492" s="25">
        <v>0</v>
      </c>
      <c r="L492" s="22" t="s">
        <v>17</v>
      </c>
      <c r="M492" s="23" t="s">
        <v>54</v>
      </c>
    </row>
    <row r="493" spans="1:13" x14ac:dyDescent="0.35">
      <c r="A493" s="22" t="s">
        <v>690</v>
      </c>
      <c r="B493" s="22" t="s">
        <v>1581</v>
      </c>
      <c r="C493" s="22" t="s">
        <v>57</v>
      </c>
      <c r="D493" s="22" t="s">
        <v>43</v>
      </c>
      <c r="E493" s="22" t="s">
        <v>14</v>
      </c>
      <c r="F493" s="22" t="s">
        <v>15</v>
      </c>
      <c r="G493" s="22" t="s">
        <v>21</v>
      </c>
      <c r="H493" s="22">
        <v>51</v>
      </c>
      <c r="I493" s="24">
        <v>35997</v>
      </c>
      <c r="J493" s="27">
        <v>871</v>
      </c>
      <c r="K493" s="25">
        <v>0</v>
      </c>
      <c r="L493" s="22" t="s">
        <v>30</v>
      </c>
      <c r="M493" s="23" t="s">
        <v>61</v>
      </c>
    </row>
    <row r="494" spans="1:13" x14ac:dyDescent="0.35">
      <c r="A494" s="22" t="s">
        <v>691</v>
      </c>
      <c r="B494" s="22" t="s">
        <v>1582</v>
      </c>
      <c r="C494" s="22" t="s">
        <v>57</v>
      </c>
      <c r="D494" s="22" t="s">
        <v>13</v>
      </c>
      <c r="E494" s="22" t="s">
        <v>1102</v>
      </c>
      <c r="F494" s="22" t="s">
        <v>15</v>
      </c>
      <c r="G494" s="22" t="s">
        <v>44</v>
      </c>
      <c r="H494" s="22">
        <v>56</v>
      </c>
      <c r="I494" s="24">
        <v>43844</v>
      </c>
      <c r="J494" s="27">
        <v>780</v>
      </c>
      <c r="K494" s="25">
        <v>0</v>
      </c>
      <c r="L494" s="22" t="s">
        <v>45</v>
      </c>
      <c r="M494" s="23" t="s">
        <v>1134</v>
      </c>
    </row>
    <row r="495" spans="1:13" x14ac:dyDescent="0.35">
      <c r="A495" s="22" t="s">
        <v>692</v>
      </c>
      <c r="B495" s="22" t="s">
        <v>1583</v>
      </c>
      <c r="C495" s="22" t="s">
        <v>36</v>
      </c>
      <c r="D495" s="22" t="s">
        <v>24</v>
      </c>
      <c r="E495" s="22" t="s">
        <v>14</v>
      </c>
      <c r="F495" s="22" t="s">
        <v>25</v>
      </c>
      <c r="G495" s="22" t="s">
        <v>44</v>
      </c>
      <c r="H495" s="22">
        <v>38</v>
      </c>
      <c r="I495" s="24">
        <v>43382</v>
      </c>
      <c r="J495" s="27">
        <v>796</v>
      </c>
      <c r="K495" s="25">
        <v>0.3</v>
      </c>
      <c r="L495" s="22" t="s">
        <v>17</v>
      </c>
      <c r="M495" s="23" t="s">
        <v>18</v>
      </c>
    </row>
    <row r="496" spans="1:13" x14ac:dyDescent="0.35">
      <c r="A496" s="22" t="s">
        <v>693</v>
      </c>
      <c r="B496" s="22" t="s">
        <v>1584</v>
      </c>
      <c r="C496" s="22" t="s">
        <v>53</v>
      </c>
      <c r="D496" s="22" t="s">
        <v>24</v>
      </c>
      <c r="E496" s="22" t="s">
        <v>29</v>
      </c>
      <c r="F496" s="22" t="s">
        <v>15</v>
      </c>
      <c r="G496" s="22" t="s">
        <v>16</v>
      </c>
      <c r="H496" s="22">
        <v>41</v>
      </c>
      <c r="I496" s="24">
        <v>39550</v>
      </c>
      <c r="J496" s="27">
        <v>829</v>
      </c>
      <c r="K496" s="25">
        <v>0.05</v>
      </c>
      <c r="L496" s="22" t="s">
        <v>17</v>
      </c>
      <c r="M496" s="23" t="s">
        <v>40</v>
      </c>
    </row>
    <row r="497" spans="1:13" x14ac:dyDescent="0.35">
      <c r="A497" s="22" t="s">
        <v>694</v>
      </c>
      <c r="B497" s="22" t="s">
        <v>1585</v>
      </c>
      <c r="C497" s="22" t="s">
        <v>38</v>
      </c>
      <c r="D497" s="22" t="s">
        <v>43</v>
      </c>
      <c r="E497" s="22" t="s">
        <v>1102</v>
      </c>
      <c r="F497" s="22" t="s">
        <v>15</v>
      </c>
      <c r="G497" s="22" t="s">
        <v>21</v>
      </c>
      <c r="H497" s="22">
        <v>61</v>
      </c>
      <c r="I497" s="24">
        <v>35562</v>
      </c>
      <c r="J497" s="27">
        <v>869</v>
      </c>
      <c r="K497" s="25">
        <v>0</v>
      </c>
      <c r="L497" s="22" t="s">
        <v>30</v>
      </c>
      <c r="M497" s="23" t="s">
        <v>52</v>
      </c>
    </row>
    <row r="498" spans="1:13" x14ac:dyDescent="0.35">
      <c r="A498" s="22" t="s">
        <v>695</v>
      </c>
      <c r="B498" s="22" t="s">
        <v>1586</v>
      </c>
      <c r="C498" s="22" t="s">
        <v>57</v>
      </c>
      <c r="D498" s="22" t="s">
        <v>43</v>
      </c>
      <c r="E498" s="22" t="s">
        <v>29</v>
      </c>
      <c r="F498" s="22" t="s">
        <v>25</v>
      </c>
      <c r="G498" s="22" t="s">
        <v>21</v>
      </c>
      <c r="H498" s="22">
        <v>33</v>
      </c>
      <c r="I498" s="24">
        <v>44205</v>
      </c>
      <c r="J498" s="27">
        <v>725</v>
      </c>
      <c r="K498" s="25">
        <v>0</v>
      </c>
      <c r="L498" s="22" t="s">
        <v>30</v>
      </c>
      <c r="M498" s="23" t="s">
        <v>61</v>
      </c>
    </row>
    <row r="499" spans="1:13" x14ac:dyDescent="0.35">
      <c r="A499" s="22" t="s">
        <v>696</v>
      </c>
      <c r="B499" s="22" t="s">
        <v>1587</v>
      </c>
      <c r="C499" s="22" t="s">
        <v>36</v>
      </c>
      <c r="D499" s="22" t="s">
        <v>39</v>
      </c>
      <c r="E499" s="22" t="s">
        <v>29</v>
      </c>
      <c r="F499" s="22" t="s">
        <v>15</v>
      </c>
      <c r="G499" s="22" t="s">
        <v>21</v>
      </c>
      <c r="H499" s="22">
        <v>41</v>
      </c>
      <c r="I499" s="24">
        <v>44444</v>
      </c>
      <c r="J499" s="27">
        <v>671</v>
      </c>
      <c r="K499" s="25">
        <v>0.23</v>
      </c>
      <c r="L499" s="22" t="s">
        <v>30</v>
      </c>
      <c r="M499" s="23" t="s">
        <v>31</v>
      </c>
    </row>
    <row r="500" spans="1:13" x14ac:dyDescent="0.35">
      <c r="A500" s="22" t="s">
        <v>697</v>
      </c>
      <c r="B500" s="22" t="s">
        <v>1588</v>
      </c>
      <c r="C500" s="22" t="s">
        <v>77</v>
      </c>
      <c r="D500" s="22" t="s">
        <v>24</v>
      </c>
      <c r="E500" s="22" t="s">
        <v>33</v>
      </c>
      <c r="F500" s="22" t="s">
        <v>15</v>
      </c>
      <c r="G500" s="22" t="s">
        <v>21</v>
      </c>
      <c r="H500" s="22">
        <v>36</v>
      </c>
      <c r="I500" s="24">
        <v>41628</v>
      </c>
      <c r="J500" s="27">
        <v>513</v>
      </c>
      <c r="K500" s="25">
        <v>0</v>
      </c>
      <c r="L500" s="22" t="s">
        <v>17</v>
      </c>
      <c r="M500" s="23" t="s">
        <v>54</v>
      </c>
    </row>
    <row r="501" spans="1:13" x14ac:dyDescent="0.35">
      <c r="A501" s="22" t="s">
        <v>698</v>
      </c>
      <c r="B501" s="22" t="s">
        <v>1589</v>
      </c>
      <c r="C501" s="22" t="s">
        <v>53</v>
      </c>
      <c r="D501" s="22" t="s">
        <v>43</v>
      </c>
      <c r="E501" s="22" t="s">
        <v>29</v>
      </c>
      <c r="F501" s="22" t="s">
        <v>15</v>
      </c>
      <c r="G501" s="22" t="s">
        <v>21</v>
      </c>
      <c r="H501" s="22">
        <v>42</v>
      </c>
      <c r="I501" s="24">
        <v>43165</v>
      </c>
      <c r="J501" s="27">
        <v>927</v>
      </c>
      <c r="K501" s="25">
        <v>0.05</v>
      </c>
      <c r="L501" s="22" t="s">
        <v>17</v>
      </c>
      <c r="M501" s="23" t="s">
        <v>54</v>
      </c>
    </row>
    <row r="502" spans="1:13" x14ac:dyDescent="0.35">
      <c r="A502" s="22" t="s">
        <v>699</v>
      </c>
      <c r="B502" s="22" t="s">
        <v>1590</v>
      </c>
      <c r="C502" s="22" t="s">
        <v>77</v>
      </c>
      <c r="D502" s="22" t="s">
        <v>24</v>
      </c>
      <c r="E502" s="22" t="s">
        <v>33</v>
      </c>
      <c r="F502" s="22" t="s">
        <v>15</v>
      </c>
      <c r="G502" s="22" t="s">
        <v>16</v>
      </c>
      <c r="H502" s="22">
        <v>36</v>
      </c>
      <c r="I502" s="24">
        <v>42677</v>
      </c>
      <c r="J502" s="27">
        <v>911</v>
      </c>
      <c r="K502" s="25">
        <v>0</v>
      </c>
      <c r="L502" s="22" t="s">
        <v>17</v>
      </c>
      <c r="M502" s="23" t="s">
        <v>40</v>
      </c>
    </row>
    <row r="503" spans="1:13" x14ac:dyDescent="0.35">
      <c r="A503" s="22" t="s">
        <v>700</v>
      </c>
      <c r="B503" s="22" t="s">
        <v>1591</v>
      </c>
      <c r="C503" s="22" t="s">
        <v>53</v>
      </c>
      <c r="D503" s="22" t="s">
        <v>13</v>
      </c>
      <c r="E503" s="22" t="s">
        <v>33</v>
      </c>
      <c r="F503" s="22" t="s">
        <v>15</v>
      </c>
      <c r="G503" s="22" t="s">
        <v>16</v>
      </c>
      <c r="H503" s="22">
        <v>55</v>
      </c>
      <c r="I503" s="24">
        <v>41133</v>
      </c>
      <c r="J503" s="27">
        <v>549</v>
      </c>
      <c r="K503" s="25">
        <v>0.05</v>
      </c>
      <c r="L503" s="22" t="s">
        <v>17</v>
      </c>
      <c r="M503" s="23" t="s">
        <v>22</v>
      </c>
    </row>
    <row r="504" spans="1:13" x14ac:dyDescent="0.35">
      <c r="A504" s="22" t="s">
        <v>701</v>
      </c>
      <c r="B504" s="22" t="s">
        <v>1592</v>
      </c>
      <c r="C504" s="22" t="s">
        <v>83</v>
      </c>
      <c r="D504" s="22" t="s">
        <v>28</v>
      </c>
      <c r="E504" s="22" t="s">
        <v>29</v>
      </c>
      <c r="F504" s="22" t="s">
        <v>15</v>
      </c>
      <c r="G504" s="22" t="s">
        <v>21</v>
      </c>
      <c r="H504" s="22">
        <v>44</v>
      </c>
      <c r="I504" s="24">
        <v>43087</v>
      </c>
      <c r="J504" s="27">
        <v>922</v>
      </c>
      <c r="K504" s="25">
        <v>0</v>
      </c>
      <c r="L504" s="22" t="s">
        <v>30</v>
      </c>
      <c r="M504" s="23" t="s">
        <v>61</v>
      </c>
    </row>
    <row r="505" spans="1:13" x14ac:dyDescent="0.35">
      <c r="A505" s="22" t="s">
        <v>702</v>
      </c>
      <c r="B505" s="22" t="s">
        <v>1593</v>
      </c>
      <c r="C505" s="22" t="s">
        <v>53</v>
      </c>
      <c r="D505" s="22" t="s">
        <v>39</v>
      </c>
      <c r="E505" s="22" t="s">
        <v>14</v>
      </c>
      <c r="F505" s="22" t="s">
        <v>25</v>
      </c>
      <c r="G505" s="22" t="s">
        <v>44</v>
      </c>
      <c r="H505" s="22">
        <v>31</v>
      </c>
      <c r="I505" s="24">
        <v>44696</v>
      </c>
      <c r="J505" s="27">
        <v>908</v>
      </c>
      <c r="K505" s="25">
        <v>0.05</v>
      </c>
      <c r="L505" s="22" t="s">
        <v>45</v>
      </c>
      <c r="M505" s="23" t="s">
        <v>66</v>
      </c>
    </row>
    <row r="506" spans="1:13" x14ac:dyDescent="0.35">
      <c r="A506" s="22" t="s">
        <v>703</v>
      </c>
      <c r="B506" s="22" t="s">
        <v>1594</v>
      </c>
      <c r="C506" s="22" t="s">
        <v>74</v>
      </c>
      <c r="D506" s="22" t="s">
        <v>43</v>
      </c>
      <c r="E506" s="22" t="s">
        <v>14</v>
      </c>
      <c r="F506" s="22" t="s">
        <v>25</v>
      </c>
      <c r="G506" s="22" t="s">
        <v>21</v>
      </c>
      <c r="H506" s="22">
        <v>47</v>
      </c>
      <c r="I506" s="24">
        <v>41525</v>
      </c>
      <c r="J506" s="27">
        <v>642</v>
      </c>
      <c r="K506" s="25">
        <v>0</v>
      </c>
      <c r="L506" s="22" t="s">
        <v>30</v>
      </c>
      <c r="M506" s="23" t="s">
        <v>52</v>
      </c>
    </row>
    <row r="507" spans="1:13" x14ac:dyDescent="0.35">
      <c r="A507" s="22" t="s">
        <v>704</v>
      </c>
      <c r="B507" s="22" t="s">
        <v>1595</v>
      </c>
      <c r="C507" s="22" t="s">
        <v>12</v>
      </c>
      <c r="D507" s="22" t="s">
        <v>28</v>
      </c>
      <c r="E507" s="22" t="s">
        <v>29</v>
      </c>
      <c r="F507" s="22" t="s">
        <v>15</v>
      </c>
      <c r="G507" s="22" t="s">
        <v>41</v>
      </c>
      <c r="H507" s="22">
        <v>59</v>
      </c>
      <c r="I507" s="24">
        <v>37022</v>
      </c>
      <c r="J507" s="27">
        <v>836</v>
      </c>
      <c r="K507" s="25">
        <v>0.31</v>
      </c>
      <c r="L507" s="22" t="s">
        <v>17</v>
      </c>
      <c r="M507" s="23" t="s">
        <v>40</v>
      </c>
    </row>
    <row r="508" spans="1:13" x14ac:dyDescent="0.35">
      <c r="A508" s="22" t="s">
        <v>705</v>
      </c>
      <c r="B508" s="22" t="s">
        <v>1596</v>
      </c>
      <c r="C508" s="22" t="s">
        <v>36</v>
      </c>
      <c r="D508" s="22" t="s">
        <v>20</v>
      </c>
      <c r="E508" s="22" t="s">
        <v>1102</v>
      </c>
      <c r="F508" s="22" t="s">
        <v>15</v>
      </c>
      <c r="G508" s="22" t="s">
        <v>21</v>
      </c>
      <c r="H508" s="22">
        <v>48</v>
      </c>
      <c r="I508" s="24">
        <v>40047</v>
      </c>
      <c r="J508" s="27">
        <v>944</v>
      </c>
      <c r="K508" s="25">
        <v>0.22</v>
      </c>
      <c r="L508" s="22" t="s">
        <v>30</v>
      </c>
      <c r="M508" s="23" t="s">
        <v>31</v>
      </c>
    </row>
    <row r="509" spans="1:13" x14ac:dyDescent="0.35">
      <c r="A509" s="22" t="s">
        <v>706</v>
      </c>
      <c r="B509" s="22" t="s">
        <v>1597</v>
      </c>
      <c r="C509" s="22" t="s">
        <v>12</v>
      </c>
      <c r="D509" s="22" t="s">
        <v>20</v>
      </c>
      <c r="E509" s="22" t="s">
        <v>1102</v>
      </c>
      <c r="F509" s="22" t="s">
        <v>15</v>
      </c>
      <c r="G509" s="22" t="s">
        <v>21</v>
      </c>
      <c r="H509" s="22">
        <v>44</v>
      </c>
      <c r="I509" s="24">
        <v>38909</v>
      </c>
      <c r="J509" s="27">
        <v>785</v>
      </c>
      <c r="K509" s="25">
        <v>0.38</v>
      </c>
      <c r="L509" s="22" t="s">
        <v>30</v>
      </c>
      <c r="M509" s="23" t="s">
        <v>65</v>
      </c>
    </row>
    <row r="510" spans="1:13" x14ac:dyDescent="0.35">
      <c r="A510" s="22" t="s">
        <v>707</v>
      </c>
      <c r="B510" s="22" t="s">
        <v>1598</v>
      </c>
      <c r="C510" s="22" t="s">
        <v>74</v>
      </c>
      <c r="D510" s="22" t="s">
        <v>43</v>
      </c>
      <c r="E510" s="22" t="s">
        <v>33</v>
      </c>
      <c r="F510" s="22" t="s">
        <v>15</v>
      </c>
      <c r="G510" s="22" t="s">
        <v>21</v>
      </c>
      <c r="H510" s="22">
        <v>52</v>
      </c>
      <c r="I510" s="24">
        <v>35854</v>
      </c>
      <c r="J510" s="27">
        <v>525</v>
      </c>
      <c r="K510" s="25">
        <v>0</v>
      </c>
      <c r="L510" s="22" t="s">
        <v>30</v>
      </c>
      <c r="M510" s="23" t="s">
        <v>61</v>
      </c>
    </row>
    <row r="511" spans="1:13" x14ac:dyDescent="0.35">
      <c r="A511" s="22" t="s">
        <v>708</v>
      </c>
      <c r="B511" s="22" t="s">
        <v>1599</v>
      </c>
      <c r="C511" s="22" t="s">
        <v>38</v>
      </c>
      <c r="D511" s="22" t="s">
        <v>56</v>
      </c>
      <c r="E511" s="22" t="s">
        <v>1102</v>
      </c>
      <c r="F511" s="22" t="s">
        <v>25</v>
      </c>
      <c r="G511" s="22" t="s">
        <v>44</v>
      </c>
      <c r="H511" s="22">
        <v>54</v>
      </c>
      <c r="I511" s="24">
        <v>40005</v>
      </c>
      <c r="J511" s="27">
        <v>994</v>
      </c>
      <c r="K511" s="25">
        <v>0</v>
      </c>
      <c r="L511" s="22" t="s">
        <v>17</v>
      </c>
      <c r="M511" s="23" t="s">
        <v>54</v>
      </c>
    </row>
    <row r="512" spans="1:13" x14ac:dyDescent="0.35">
      <c r="A512" s="22" t="s">
        <v>709</v>
      </c>
      <c r="B512" s="22" t="s">
        <v>1600</v>
      </c>
      <c r="C512" s="22" t="s">
        <v>19</v>
      </c>
      <c r="D512" s="22" t="s">
        <v>20</v>
      </c>
      <c r="E512" s="22" t="s">
        <v>14</v>
      </c>
      <c r="F512" s="22" t="s">
        <v>15</v>
      </c>
      <c r="G512" s="22" t="s">
        <v>21</v>
      </c>
      <c r="H512" s="22">
        <v>31</v>
      </c>
      <c r="I512" s="24">
        <v>42605</v>
      </c>
      <c r="J512" s="27">
        <v>809</v>
      </c>
      <c r="K512" s="25">
        <v>0</v>
      </c>
      <c r="L512" s="22" t="s">
        <v>30</v>
      </c>
      <c r="M512" s="23" t="s">
        <v>31</v>
      </c>
    </row>
    <row r="513" spans="1:13" x14ac:dyDescent="0.35">
      <c r="A513" s="22" t="s">
        <v>710</v>
      </c>
      <c r="B513" s="22" t="s">
        <v>1601</v>
      </c>
      <c r="C513" s="22" t="s">
        <v>23</v>
      </c>
      <c r="D513" s="22" t="s">
        <v>24</v>
      </c>
      <c r="E513" s="22" t="s">
        <v>14</v>
      </c>
      <c r="F513" s="22" t="s">
        <v>25</v>
      </c>
      <c r="G513" s="22" t="s">
        <v>21</v>
      </c>
      <c r="H513" s="22">
        <v>39</v>
      </c>
      <c r="I513" s="24">
        <v>40644</v>
      </c>
      <c r="J513" s="27">
        <v>960</v>
      </c>
      <c r="K513" s="25">
        <v>0</v>
      </c>
      <c r="L513" s="22" t="s">
        <v>17</v>
      </c>
      <c r="M513" s="23" t="s">
        <v>40</v>
      </c>
    </row>
    <row r="514" spans="1:13" x14ac:dyDescent="0.35">
      <c r="A514" s="22" t="s">
        <v>711</v>
      </c>
      <c r="B514" s="22" t="s">
        <v>144</v>
      </c>
      <c r="C514" s="22" t="s">
        <v>1111</v>
      </c>
      <c r="D514" s="22" t="s">
        <v>24</v>
      </c>
      <c r="E514" s="22" t="s">
        <v>1102</v>
      </c>
      <c r="F514" s="22" t="s">
        <v>25</v>
      </c>
      <c r="G514" s="22" t="s">
        <v>21</v>
      </c>
      <c r="H514" s="22">
        <v>40</v>
      </c>
      <c r="I514" s="24">
        <v>41259</v>
      </c>
      <c r="J514" s="27">
        <v>952</v>
      </c>
      <c r="K514" s="25">
        <v>0.11</v>
      </c>
      <c r="L514" s="22" t="s">
        <v>17</v>
      </c>
      <c r="M514" s="23" t="s">
        <v>40</v>
      </c>
    </row>
    <row r="515" spans="1:13" x14ac:dyDescent="0.35">
      <c r="A515" s="22" t="s">
        <v>712</v>
      </c>
      <c r="B515" s="22" t="s">
        <v>1602</v>
      </c>
      <c r="C515" s="22" t="s">
        <v>53</v>
      </c>
      <c r="D515" s="22" t="s">
        <v>43</v>
      </c>
      <c r="E515" s="22" t="s">
        <v>29</v>
      </c>
      <c r="F515" s="22" t="s">
        <v>25</v>
      </c>
      <c r="G515" s="22" t="s">
        <v>16</v>
      </c>
      <c r="H515" s="22">
        <v>39</v>
      </c>
      <c r="I515" s="24">
        <v>39836</v>
      </c>
      <c r="J515" s="27">
        <v>816</v>
      </c>
      <c r="K515" s="25">
        <v>0.05</v>
      </c>
      <c r="L515" s="22" t="s">
        <v>17</v>
      </c>
      <c r="M515" s="23" t="s">
        <v>22</v>
      </c>
    </row>
    <row r="516" spans="1:13" x14ac:dyDescent="0.35">
      <c r="A516" s="22" t="s">
        <v>713</v>
      </c>
      <c r="B516" s="22" t="s">
        <v>1603</v>
      </c>
      <c r="C516" s="22" t="s">
        <v>36</v>
      </c>
      <c r="D516" s="22" t="s">
        <v>24</v>
      </c>
      <c r="E516" s="22" t="s">
        <v>14</v>
      </c>
      <c r="F516" s="22" t="s">
        <v>25</v>
      </c>
      <c r="G516" s="22" t="s">
        <v>16</v>
      </c>
      <c r="H516" s="22">
        <v>25</v>
      </c>
      <c r="I516" s="24">
        <v>44847</v>
      </c>
      <c r="J516" s="27">
        <v>665</v>
      </c>
      <c r="K516" s="25">
        <v>0.26</v>
      </c>
      <c r="L516" s="22" t="s">
        <v>17</v>
      </c>
      <c r="M516" s="23" t="s">
        <v>22</v>
      </c>
    </row>
    <row r="517" spans="1:13" x14ac:dyDescent="0.35">
      <c r="A517" s="22" t="s">
        <v>714</v>
      </c>
      <c r="B517" s="22" t="s">
        <v>1604</v>
      </c>
      <c r="C517" s="22" t="s">
        <v>58</v>
      </c>
      <c r="D517" s="22" t="s">
        <v>28</v>
      </c>
      <c r="E517" s="22" t="s">
        <v>14</v>
      </c>
      <c r="F517" s="22" t="s">
        <v>25</v>
      </c>
      <c r="G517" s="22" t="s">
        <v>21</v>
      </c>
      <c r="H517" s="22">
        <v>48</v>
      </c>
      <c r="I517" s="24">
        <v>37796</v>
      </c>
      <c r="J517" s="27">
        <v>656</v>
      </c>
      <c r="K517" s="25">
        <v>0</v>
      </c>
      <c r="L517" s="22" t="s">
        <v>30</v>
      </c>
      <c r="M517" s="23" t="s">
        <v>61</v>
      </c>
    </row>
    <row r="518" spans="1:13" x14ac:dyDescent="0.35">
      <c r="A518" s="22" t="s">
        <v>715</v>
      </c>
      <c r="B518" s="22" t="s">
        <v>1605</v>
      </c>
      <c r="C518" s="22" t="s">
        <v>59</v>
      </c>
      <c r="D518" s="22" t="s">
        <v>24</v>
      </c>
      <c r="E518" s="22" t="s">
        <v>14</v>
      </c>
      <c r="F518" s="22" t="s">
        <v>15</v>
      </c>
      <c r="G518" s="22" t="s">
        <v>44</v>
      </c>
      <c r="H518" s="22">
        <v>54</v>
      </c>
      <c r="I518" s="24">
        <v>37922</v>
      </c>
      <c r="J518" s="27">
        <v>975</v>
      </c>
      <c r="K518" s="25">
        <v>0</v>
      </c>
      <c r="L518" s="22" t="s">
        <v>17</v>
      </c>
      <c r="M518" s="23" t="s">
        <v>35</v>
      </c>
    </row>
    <row r="519" spans="1:13" x14ac:dyDescent="0.35">
      <c r="A519" s="22" t="s">
        <v>716</v>
      </c>
      <c r="B519" s="22" t="s">
        <v>1606</v>
      </c>
      <c r="C519" s="22" t="s">
        <v>83</v>
      </c>
      <c r="D519" s="22" t="s">
        <v>28</v>
      </c>
      <c r="E519" s="22" t="s">
        <v>33</v>
      </c>
      <c r="F519" s="22" t="s">
        <v>15</v>
      </c>
      <c r="G519" s="22" t="s">
        <v>16</v>
      </c>
      <c r="H519" s="22">
        <v>40</v>
      </c>
      <c r="I519" s="24">
        <v>43229</v>
      </c>
      <c r="J519" s="27">
        <v>804</v>
      </c>
      <c r="K519" s="25">
        <v>0</v>
      </c>
      <c r="L519" s="22" t="s">
        <v>17</v>
      </c>
      <c r="M519" s="23" t="s">
        <v>18</v>
      </c>
    </row>
    <row r="520" spans="1:13" x14ac:dyDescent="0.35">
      <c r="A520" s="22" t="s">
        <v>717</v>
      </c>
      <c r="B520" s="22" t="s">
        <v>1607</v>
      </c>
      <c r="C520" s="22" t="s">
        <v>32</v>
      </c>
      <c r="D520" s="22" t="s">
        <v>24</v>
      </c>
      <c r="E520" s="22" t="s">
        <v>33</v>
      </c>
      <c r="F520" s="22" t="s">
        <v>25</v>
      </c>
      <c r="G520" s="22" t="s">
        <v>16</v>
      </c>
      <c r="H520" s="22">
        <v>32</v>
      </c>
      <c r="I520" s="24">
        <v>44301</v>
      </c>
      <c r="J520" s="27">
        <v>890</v>
      </c>
      <c r="K520" s="25">
        <v>0</v>
      </c>
      <c r="L520" s="22" t="s">
        <v>17</v>
      </c>
      <c r="M520" s="23" t="s">
        <v>26</v>
      </c>
    </row>
    <row r="521" spans="1:13" x14ac:dyDescent="0.35">
      <c r="A521" s="22" t="s">
        <v>282</v>
      </c>
      <c r="B521" s="22" t="s">
        <v>1608</v>
      </c>
      <c r="C521" s="22" t="s">
        <v>12</v>
      </c>
      <c r="D521" s="22" t="s">
        <v>24</v>
      </c>
      <c r="E521" s="22" t="s">
        <v>33</v>
      </c>
      <c r="F521" s="22" t="s">
        <v>25</v>
      </c>
      <c r="G521" s="22" t="s">
        <v>44</v>
      </c>
      <c r="H521" s="22">
        <v>60</v>
      </c>
      <c r="I521" s="24">
        <v>41948</v>
      </c>
      <c r="J521" s="27">
        <v>718</v>
      </c>
      <c r="K521" s="25">
        <v>0.4</v>
      </c>
      <c r="L521" s="22" t="s">
        <v>17</v>
      </c>
      <c r="M521" s="23" t="s">
        <v>40</v>
      </c>
    </row>
    <row r="522" spans="1:13" x14ac:dyDescent="0.35">
      <c r="A522" s="22" t="s">
        <v>91</v>
      </c>
      <c r="B522" s="22" t="s">
        <v>1609</v>
      </c>
      <c r="C522" s="22" t="s">
        <v>55</v>
      </c>
      <c r="D522" s="22" t="s">
        <v>13</v>
      </c>
      <c r="E522" s="22" t="s">
        <v>1102</v>
      </c>
      <c r="F522" s="22" t="s">
        <v>15</v>
      </c>
      <c r="G522" s="22" t="s">
        <v>44</v>
      </c>
      <c r="H522" s="22">
        <v>29</v>
      </c>
      <c r="I522" s="24">
        <v>43241</v>
      </c>
      <c r="J522" s="27">
        <v>579</v>
      </c>
      <c r="K522" s="25">
        <v>0</v>
      </c>
      <c r="L522" s="22" t="s">
        <v>17</v>
      </c>
      <c r="M522" s="23" t="s">
        <v>54</v>
      </c>
    </row>
    <row r="523" spans="1:13" x14ac:dyDescent="0.35">
      <c r="A523" s="22" t="s">
        <v>718</v>
      </c>
      <c r="B523" s="22" t="s">
        <v>1610</v>
      </c>
      <c r="C523" s="22" t="s">
        <v>72</v>
      </c>
      <c r="D523" s="22" t="s">
        <v>24</v>
      </c>
      <c r="E523" s="22" t="s">
        <v>29</v>
      </c>
      <c r="F523" s="22" t="s">
        <v>15</v>
      </c>
      <c r="G523" s="22" t="s">
        <v>16</v>
      </c>
      <c r="H523" s="22">
        <v>25</v>
      </c>
      <c r="I523" s="24">
        <v>44250</v>
      </c>
      <c r="J523" s="27">
        <v>909</v>
      </c>
      <c r="K523" s="25">
        <v>0</v>
      </c>
      <c r="L523" s="22" t="s">
        <v>17</v>
      </c>
      <c r="M523" s="23" t="s">
        <v>40</v>
      </c>
    </row>
    <row r="524" spans="1:13" x14ac:dyDescent="0.35">
      <c r="A524" s="22" t="s">
        <v>719</v>
      </c>
      <c r="B524" s="22" t="s">
        <v>1611</v>
      </c>
      <c r="C524" s="22" t="s">
        <v>71</v>
      </c>
      <c r="D524" s="22" t="s">
        <v>24</v>
      </c>
      <c r="E524" s="22" t="s">
        <v>33</v>
      </c>
      <c r="F524" s="22" t="s">
        <v>25</v>
      </c>
      <c r="G524" s="22" t="s">
        <v>44</v>
      </c>
      <c r="H524" s="22">
        <v>34</v>
      </c>
      <c r="I524" s="24">
        <v>42532</v>
      </c>
      <c r="J524" s="27">
        <v>869</v>
      </c>
      <c r="K524" s="25">
        <v>0</v>
      </c>
      <c r="L524" s="22" t="s">
        <v>45</v>
      </c>
      <c r="M524" s="23" t="s">
        <v>66</v>
      </c>
    </row>
    <row r="525" spans="1:13" x14ac:dyDescent="0.35">
      <c r="A525" s="22" t="s">
        <v>720</v>
      </c>
      <c r="B525" s="22" t="s">
        <v>1612</v>
      </c>
      <c r="C525" s="22" t="s">
        <v>12</v>
      </c>
      <c r="D525" s="22" t="s">
        <v>24</v>
      </c>
      <c r="E525" s="22" t="s">
        <v>14</v>
      </c>
      <c r="F525" s="22" t="s">
        <v>15</v>
      </c>
      <c r="G525" s="22" t="s">
        <v>41</v>
      </c>
      <c r="H525" s="22">
        <v>26</v>
      </c>
      <c r="I525" s="24">
        <v>44687</v>
      </c>
      <c r="J525" s="27">
        <v>886</v>
      </c>
      <c r="K525" s="25">
        <v>0.36</v>
      </c>
      <c r="L525" s="22" t="s">
        <v>17</v>
      </c>
      <c r="M525" s="23" t="s">
        <v>35</v>
      </c>
    </row>
    <row r="526" spans="1:13" x14ac:dyDescent="0.35">
      <c r="A526" s="22" t="s">
        <v>721</v>
      </c>
      <c r="B526" s="22" t="s">
        <v>1613</v>
      </c>
      <c r="C526" s="22" t="s">
        <v>42</v>
      </c>
      <c r="D526" s="22" t="s">
        <v>43</v>
      </c>
      <c r="E526" s="22" t="s">
        <v>33</v>
      </c>
      <c r="F526" s="22" t="s">
        <v>25</v>
      </c>
      <c r="G526" s="22" t="s">
        <v>44</v>
      </c>
      <c r="H526" s="22">
        <v>39</v>
      </c>
      <c r="I526" s="24">
        <v>43058</v>
      </c>
      <c r="J526" s="27">
        <v>689</v>
      </c>
      <c r="K526" s="25">
        <v>0</v>
      </c>
      <c r="L526" s="22" t="s">
        <v>17</v>
      </c>
      <c r="M526" s="23" t="s">
        <v>18</v>
      </c>
    </row>
    <row r="527" spans="1:13" x14ac:dyDescent="0.35">
      <c r="A527" s="22" t="s">
        <v>722</v>
      </c>
      <c r="B527" s="22" t="s">
        <v>1614</v>
      </c>
      <c r="C527" s="22" t="s">
        <v>23</v>
      </c>
      <c r="D527" s="22" t="s">
        <v>24</v>
      </c>
      <c r="E527" s="22" t="s">
        <v>14</v>
      </c>
      <c r="F527" s="22" t="s">
        <v>15</v>
      </c>
      <c r="G527" s="22" t="s">
        <v>16</v>
      </c>
      <c r="H527" s="22">
        <v>34</v>
      </c>
      <c r="I527" s="24">
        <v>43401</v>
      </c>
      <c r="J527" s="27">
        <v>978</v>
      </c>
      <c r="K527" s="25">
        <v>0</v>
      </c>
      <c r="L527" s="22" t="s">
        <v>17</v>
      </c>
      <c r="M527" s="23" t="s">
        <v>54</v>
      </c>
    </row>
    <row r="528" spans="1:13" x14ac:dyDescent="0.35">
      <c r="A528" s="22" t="s">
        <v>723</v>
      </c>
      <c r="B528" s="22" t="s">
        <v>1615</v>
      </c>
      <c r="C528" s="22" t="s">
        <v>1111</v>
      </c>
      <c r="D528" s="22" t="s">
        <v>24</v>
      </c>
      <c r="E528" s="22" t="s">
        <v>14</v>
      </c>
      <c r="F528" s="22" t="s">
        <v>25</v>
      </c>
      <c r="G528" s="22" t="s">
        <v>44</v>
      </c>
      <c r="H528" s="22">
        <v>54</v>
      </c>
      <c r="I528" s="24">
        <v>35701</v>
      </c>
      <c r="J528" s="27">
        <v>805</v>
      </c>
      <c r="K528" s="25">
        <v>0.13</v>
      </c>
      <c r="L528" s="22" t="s">
        <v>45</v>
      </c>
      <c r="M528" s="23" t="s">
        <v>66</v>
      </c>
    </row>
    <row r="529" spans="1:13" x14ac:dyDescent="0.35">
      <c r="A529" s="22" t="s">
        <v>724</v>
      </c>
      <c r="B529" s="22" t="s">
        <v>1616</v>
      </c>
      <c r="C529" s="22" t="s">
        <v>57</v>
      </c>
      <c r="D529" s="22" t="s">
        <v>43</v>
      </c>
      <c r="E529" s="22" t="s">
        <v>33</v>
      </c>
      <c r="F529" s="22" t="s">
        <v>25</v>
      </c>
      <c r="G529" s="22" t="s">
        <v>16</v>
      </c>
      <c r="H529" s="22">
        <v>27</v>
      </c>
      <c r="I529" s="24">
        <v>44754</v>
      </c>
      <c r="J529" s="27">
        <v>564</v>
      </c>
      <c r="K529" s="25">
        <v>0</v>
      </c>
      <c r="L529" s="22" t="s">
        <v>17</v>
      </c>
      <c r="M529" s="23" t="s">
        <v>40</v>
      </c>
    </row>
    <row r="530" spans="1:13" x14ac:dyDescent="0.35">
      <c r="A530" s="22" t="s">
        <v>725</v>
      </c>
      <c r="B530" s="22" t="s">
        <v>1617</v>
      </c>
      <c r="C530" s="22" t="s">
        <v>1111</v>
      </c>
      <c r="D530" s="22" t="s">
        <v>13</v>
      </c>
      <c r="E530" s="22" t="s">
        <v>33</v>
      </c>
      <c r="F530" s="22" t="s">
        <v>15</v>
      </c>
      <c r="G530" s="22" t="s">
        <v>16</v>
      </c>
      <c r="H530" s="22">
        <v>26</v>
      </c>
      <c r="I530" s="24">
        <v>44150</v>
      </c>
      <c r="J530" s="27">
        <v>924</v>
      </c>
      <c r="K530" s="25">
        <v>0.14000000000000001</v>
      </c>
      <c r="L530" s="22" t="s">
        <v>17</v>
      </c>
      <c r="M530" s="23" t="s">
        <v>35</v>
      </c>
    </row>
    <row r="531" spans="1:13" x14ac:dyDescent="0.35">
      <c r="A531" s="22" t="s">
        <v>211</v>
      </c>
      <c r="B531" s="22" t="s">
        <v>1618</v>
      </c>
      <c r="C531" s="22" t="s">
        <v>12</v>
      </c>
      <c r="D531" s="22" t="s">
        <v>28</v>
      </c>
      <c r="E531" s="22" t="s">
        <v>1102</v>
      </c>
      <c r="F531" s="22" t="s">
        <v>15</v>
      </c>
      <c r="G531" s="22" t="s">
        <v>16</v>
      </c>
      <c r="H531" s="22">
        <v>26</v>
      </c>
      <c r="I531" s="24">
        <v>44778</v>
      </c>
      <c r="J531" s="27">
        <v>768</v>
      </c>
      <c r="K531" s="25">
        <v>0.35</v>
      </c>
      <c r="L531" s="22" t="s">
        <v>17</v>
      </c>
      <c r="M531" s="23" t="s">
        <v>35</v>
      </c>
    </row>
    <row r="532" spans="1:13" x14ac:dyDescent="0.35">
      <c r="A532" s="22" t="s">
        <v>726</v>
      </c>
      <c r="B532" s="22" t="s">
        <v>1619</v>
      </c>
      <c r="C532" s="22" t="s">
        <v>53</v>
      </c>
      <c r="D532" s="22" t="s">
        <v>43</v>
      </c>
      <c r="E532" s="22" t="s">
        <v>29</v>
      </c>
      <c r="F532" s="22" t="s">
        <v>15</v>
      </c>
      <c r="G532" s="22" t="s">
        <v>44</v>
      </c>
      <c r="H532" s="22">
        <v>29</v>
      </c>
      <c r="I532" s="24">
        <v>43648</v>
      </c>
      <c r="J532" s="27">
        <v>942</v>
      </c>
      <c r="K532" s="25">
        <v>0.1</v>
      </c>
      <c r="L532" s="22" t="s">
        <v>17</v>
      </c>
      <c r="M532" s="23" t="s">
        <v>26</v>
      </c>
    </row>
    <row r="533" spans="1:13" x14ac:dyDescent="0.35">
      <c r="A533" s="22" t="s">
        <v>727</v>
      </c>
      <c r="B533" s="22" t="s">
        <v>1620</v>
      </c>
      <c r="C533" s="22" t="s">
        <v>59</v>
      </c>
      <c r="D533" s="22" t="s">
        <v>24</v>
      </c>
      <c r="E533" s="22" t="s">
        <v>29</v>
      </c>
      <c r="F533" s="22" t="s">
        <v>25</v>
      </c>
      <c r="G533" s="22" t="s">
        <v>44</v>
      </c>
      <c r="H533" s="22">
        <v>64</v>
      </c>
      <c r="I533" s="24">
        <v>35626</v>
      </c>
      <c r="J533" s="27">
        <v>905</v>
      </c>
      <c r="K533" s="25">
        <v>0</v>
      </c>
      <c r="L533" s="22" t="s">
        <v>45</v>
      </c>
      <c r="M533" s="23" t="s">
        <v>66</v>
      </c>
    </row>
    <row r="534" spans="1:13" x14ac:dyDescent="0.35">
      <c r="A534" s="22" t="s">
        <v>195</v>
      </c>
      <c r="B534" s="22" t="s">
        <v>1621</v>
      </c>
      <c r="C534" s="22" t="s">
        <v>1111</v>
      </c>
      <c r="D534" s="22" t="s">
        <v>56</v>
      </c>
      <c r="E534" s="22" t="s">
        <v>14</v>
      </c>
      <c r="F534" s="22" t="s">
        <v>25</v>
      </c>
      <c r="G534" s="22" t="s">
        <v>44</v>
      </c>
      <c r="H534" s="22">
        <v>45</v>
      </c>
      <c r="I534" s="24">
        <v>37113</v>
      </c>
      <c r="J534" s="27">
        <v>939</v>
      </c>
      <c r="K534" s="25">
        <v>0.14000000000000001</v>
      </c>
      <c r="L534" s="22" t="s">
        <v>17</v>
      </c>
      <c r="M534" s="23" t="s">
        <v>18</v>
      </c>
    </row>
    <row r="535" spans="1:13" x14ac:dyDescent="0.35">
      <c r="A535" s="22" t="s">
        <v>258</v>
      </c>
      <c r="B535" s="22" t="s">
        <v>1622</v>
      </c>
      <c r="C535" s="22" t="s">
        <v>55</v>
      </c>
      <c r="D535" s="22" t="s">
        <v>39</v>
      </c>
      <c r="E535" s="22" t="s">
        <v>33</v>
      </c>
      <c r="F535" s="22" t="s">
        <v>15</v>
      </c>
      <c r="G535" s="22" t="s">
        <v>21</v>
      </c>
      <c r="H535" s="22">
        <v>45</v>
      </c>
      <c r="I535" s="24">
        <v>43458</v>
      </c>
      <c r="J535" s="27">
        <v>900</v>
      </c>
      <c r="K535" s="25">
        <v>0</v>
      </c>
      <c r="L535" s="22" t="s">
        <v>17</v>
      </c>
      <c r="M535" s="23" t="s">
        <v>54</v>
      </c>
    </row>
    <row r="536" spans="1:13" x14ac:dyDescent="0.35">
      <c r="A536" s="22" t="s">
        <v>728</v>
      </c>
      <c r="B536" s="22" t="s">
        <v>1623</v>
      </c>
      <c r="C536" s="22" t="s">
        <v>42</v>
      </c>
      <c r="D536" s="22" t="s">
        <v>43</v>
      </c>
      <c r="E536" s="22" t="s">
        <v>1102</v>
      </c>
      <c r="F536" s="22" t="s">
        <v>25</v>
      </c>
      <c r="G536" s="22" t="s">
        <v>44</v>
      </c>
      <c r="H536" s="22">
        <v>51</v>
      </c>
      <c r="I536" s="24">
        <v>44452</v>
      </c>
      <c r="J536" s="27">
        <v>628</v>
      </c>
      <c r="K536" s="25">
        <v>0</v>
      </c>
      <c r="L536" s="22" t="s">
        <v>17</v>
      </c>
      <c r="M536" s="23" t="s">
        <v>18</v>
      </c>
    </row>
    <row r="537" spans="1:13" x14ac:dyDescent="0.35">
      <c r="A537" s="22" t="s">
        <v>729</v>
      </c>
      <c r="B537" s="22" t="s">
        <v>1624</v>
      </c>
      <c r="C537" s="22" t="s">
        <v>73</v>
      </c>
      <c r="D537" s="22" t="s">
        <v>24</v>
      </c>
      <c r="E537" s="22" t="s">
        <v>33</v>
      </c>
      <c r="F537" s="22" t="s">
        <v>25</v>
      </c>
      <c r="G537" s="22" t="s">
        <v>44</v>
      </c>
      <c r="H537" s="22">
        <v>56</v>
      </c>
      <c r="I537" s="24">
        <v>38443</v>
      </c>
      <c r="J537" s="27">
        <v>971</v>
      </c>
      <c r="K537" s="25">
        <v>0</v>
      </c>
      <c r="L537" s="22" t="s">
        <v>17</v>
      </c>
      <c r="M537" s="23" t="s">
        <v>18</v>
      </c>
    </row>
    <row r="538" spans="1:13" x14ac:dyDescent="0.35">
      <c r="A538" s="22" t="s">
        <v>730</v>
      </c>
      <c r="B538" s="22" t="s">
        <v>1625</v>
      </c>
      <c r="C538" s="22" t="s">
        <v>47</v>
      </c>
      <c r="D538" s="22" t="s">
        <v>24</v>
      </c>
      <c r="E538" s="22" t="s">
        <v>1102</v>
      </c>
      <c r="F538" s="22" t="s">
        <v>25</v>
      </c>
      <c r="G538" s="22" t="s">
        <v>21</v>
      </c>
      <c r="H538" s="22">
        <v>58</v>
      </c>
      <c r="I538" s="24">
        <v>35016</v>
      </c>
      <c r="J538" s="27">
        <v>546</v>
      </c>
      <c r="K538" s="25">
        <v>0</v>
      </c>
      <c r="L538" s="22" t="s">
        <v>17</v>
      </c>
      <c r="M538" s="23" t="s">
        <v>22</v>
      </c>
    </row>
    <row r="539" spans="1:13" x14ac:dyDescent="0.35">
      <c r="A539" s="22" t="s">
        <v>731</v>
      </c>
      <c r="B539" s="22" t="s">
        <v>1626</v>
      </c>
      <c r="C539" s="22" t="s">
        <v>53</v>
      </c>
      <c r="D539" s="22" t="s">
        <v>20</v>
      </c>
      <c r="E539" s="22" t="s">
        <v>29</v>
      </c>
      <c r="F539" s="22" t="s">
        <v>25</v>
      </c>
      <c r="G539" s="22" t="s">
        <v>41</v>
      </c>
      <c r="H539" s="22">
        <v>43</v>
      </c>
      <c r="I539" s="24">
        <v>42632</v>
      </c>
      <c r="J539" s="27">
        <v>502</v>
      </c>
      <c r="K539" s="25">
        <v>0.1</v>
      </c>
      <c r="L539" s="22" t="s">
        <v>17</v>
      </c>
      <c r="M539" s="23" t="s">
        <v>26</v>
      </c>
    </row>
    <row r="540" spans="1:13" x14ac:dyDescent="0.35">
      <c r="A540" s="22" t="s">
        <v>732</v>
      </c>
      <c r="B540" s="22" t="s">
        <v>1627</v>
      </c>
      <c r="C540" s="22" t="s">
        <v>59</v>
      </c>
      <c r="D540" s="22" t="s">
        <v>24</v>
      </c>
      <c r="E540" s="22" t="s">
        <v>29</v>
      </c>
      <c r="F540" s="22" t="s">
        <v>25</v>
      </c>
      <c r="G540" s="22" t="s">
        <v>21</v>
      </c>
      <c r="H540" s="22">
        <v>52</v>
      </c>
      <c r="I540" s="24">
        <v>43308</v>
      </c>
      <c r="J540" s="27">
        <v>969</v>
      </c>
      <c r="K540" s="25">
        <v>0</v>
      </c>
      <c r="L540" s="22" t="s">
        <v>30</v>
      </c>
      <c r="M540" s="23" t="s">
        <v>52</v>
      </c>
    </row>
    <row r="541" spans="1:13" x14ac:dyDescent="0.35">
      <c r="A541" s="22" t="s">
        <v>733</v>
      </c>
      <c r="B541" s="22" t="s">
        <v>1628</v>
      </c>
      <c r="C541" s="22" t="s">
        <v>48</v>
      </c>
      <c r="D541" s="22" t="s">
        <v>24</v>
      </c>
      <c r="E541" s="22" t="s">
        <v>29</v>
      </c>
      <c r="F541" s="22" t="s">
        <v>25</v>
      </c>
      <c r="G541" s="22" t="s">
        <v>21</v>
      </c>
      <c r="H541" s="22">
        <v>41</v>
      </c>
      <c r="I541" s="24">
        <v>43243</v>
      </c>
      <c r="J541" s="27">
        <v>827</v>
      </c>
      <c r="K541" s="25">
        <v>0.1</v>
      </c>
      <c r="L541" s="22" t="s">
        <v>30</v>
      </c>
      <c r="M541" s="23" t="s">
        <v>61</v>
      </c>
    </row>
    <row r="542" spans="1:13" x14ac:dyDescent="0.35">
      <c r="A542" s="22" t="s">
        <v>734</v>
      </c>
      <c r="B542" s="22" t="s">
        <v>1629</v>
      </c>
      <c r="C542" s="22" t="s">
        <v>12</v>
      </c>
      <c r="D542" s="22" t="s">
        <v>56</v>
      </c>
      <c r="E542" s="22" t="s">
        <v>1102</v>
      </c>
      <c r="F542" s="22" t="s">
        <v>25</v>
      </c>
      <c r="G542" s="22" t="s">
        <v>16</v>
      </c>
      <c r="H542" s="22">
        <v>43</v>
      </c>
      <c r="I542" s="24">
        <v>42415</v>
      </c>
      <c r="J542" s="27">
        <v>969</v>
      </c>
      <c r="K542" s="25">
        <v>0.33</v>
      </c>
      <c r="L542" s="22" t="s">
        <v>17</v>
      </c>
      <c r="M542" s="23" t="s">
        <v>26</v>
      </c>
    </row>
    <row r="543" spans="1:13" x14ac:dyDescent="0.35">
      <c r="A543" s="22" t="s">
        <v>735</v>
      </c>
      <c r="B543" s="22" t="s">
        <v>1630</v>
      </c>
      <c r="C543" s="22" t="s">
        <v>60</v>
      </c>
      <c r="D543" s="22" t="s">
        <v>24</v>
      </c>
      <c r="E543" s="22" t="s">
        <v>14</v>
      </c>
      <c r="F543" s="22" t="s">
        <v>25</v>
      </c>
      <c r="G543" s="22" t="s">
        <v>44</v>
      </c>
      <c r="H543" s="22">
        <v>36</v>
      </c>
      <c r="I543" s="24">
        <v>42399</v>
      </c>
      <c r="J543" s="27">
        <v>708</v>
      </c>
      <c r="K543" s="25">
        <v>0</v>
      </c>
      <c r="L543" s="22" t="s">
        <v>45</v>
      </c>
      <c r="M543" s="23" t="s">
        <v>46</v>
      </c>
    </row>
    <row r="544" spans="1:13" x14ac:dyDescent="0.35">
      <c r="A544" s="22" t="s">
        <v>736</v>
      </c>
      <c r="B544" s="22" t="s">
        <v>1631</v>
      </c>
      <c r="C544" s="22" t="s">
        <v>70</v>
      </c>
      <c r="D544" s="22" t="s">
        <v>28</v>
      </c>
      <c r="E544" s="22" t="s">
        <v>14</v>
      </c>
      <c r="F544" s="22" t="s">
        <v>25</v>
      </c>
      <c r="G544" s="22" t="s">
        <v>16</v>
      </c>
      <c r="H544" s="22">
        <v>55</v>
      </c>
      <c r="I544" s="24">
        <v>39302</v>
      </c>
      <c r="J544" s="27">
        <v>617</v>
      </c>
      <c r="K544" s="25">
        <v>0</v>
      </c>
      <c r="L544" s="22" t="s">
        <v>17</v>
      </c>
      <c r="M544" s="23" t="s">
        <v>54</v>
      </c>
    </row>
    <row r="545" spans="1:13" x14ac:dyDescent="0.35">
      <c r="A545" s="22" t="s">
        <v>737</v>
      </c>
      <c r="B545" s="22" t="s">
        <v>1632</v>
      </c>
      <c r="C545" s="22" t="s">
        <v>47</v>
      </c>
      <c r="D545" s="22" t="s">
        <v>24</v>
      </c>
      <c r="E545" s="22" t="s">
        <v>1102</v>
      </c>
      <c r="F545" s="22" t="s">
        <v>15</v>
      </c>
      <c r="G545" s="22" t="s">
        <v>21</v>
      </c>
      <c r="H545" s="22">
        <v>39</v>
      </c>
      <c r="I545" s="24">
        <v>39908</v>
      </c>
      <c r="J545" s="27">
        <v>559</v>
      </c>
      <c r="K545" s="25">
        <v>0</v>
      </c>
      <c r="L545" s="22" t="s">
        <v>17</v>
      </c>
      <c r="M545" s="23" t="s">
        <v>18</v>
      </c>
    </row>
    <row r="546" spans="1:13" x14ac:dyDescent="0.35">
      <c r="A546" s="22" t="s">
        <v>738</v>
      </c>
      <c r="B546" s="22" t="s">
        <v>1633</v>
      </c>
      <c r="C546" s="22" t="s">
        <v>55</v>
      </c>
      <c r="D546" s="22" t="s">
        <v>56</v>
      </c>
      <c r="E546" s="22" t="s">
        <v>29</v>
      </c>
      <c r="F546" s="22" t="s">
        <v>15</v>
      </c>
      <c r="G546" s="22" t="s">
        <v>16</v>
      </c>
      <c r="H546" s="22">
        <v>56</v>
      </c>
      <c r="I546" s="24">
        <v>36951</v>
      </c>
      <c r="J546" s="27">
        <v>601</v>
      </c>
      <c r="K546" s="25">
        <v>0</v>
      </c>
      <c r="L546" s="22" t="s">
        <v>17</v>
      </c>
      <c r="M546" s="23" t="s">
        <v>40</v>
      </c>
    </row>
    <row r="547" spans="1:13" x14ac:dyDescent="0.35">
      <c r="A547" s="22" t="s">
        <v>739</v>
      </c>
      <c r="B547" s="22" t="s">
        <v>1634</v>
      </c>
      <c r="C547" s="22" t="s">
        <v>1111</v>
      </c>
      <c r="D547" s="22" t="s">
        <v>43</v>
      </c>
      <c r="E547" s="22" t="s">
        <v>14</v>
      </c>
      <c r="F547" s="22" t="s">
        <v>25</v>
      </c>
      <c r="G547" s="22" t="s">
        <v>21</v>
      </c>
      <c r="H547" s="22">
        <v>45</v>
      </c>
      <c r="I547" s="24">
        <v>39875</v>
      </c>
      <c r="J547" s="27">
        <v>785</v>
      </c>
      <c r="K547" s="25">
        <v>0.13</v>
      </c>
      <c r="L547" s="22" t="s">
        <v>30</v>
      </c>
      <c r="M547" s="23" t="s">
        <v>52</v>
      </c>
    </row>
    <row r="548" spans="1:13" x14ac:dyDescent="0.35">
      <c r="A548" s="22" t="s">
        <v>740</v>
      </c>
      <c r="B548" s="22" t="s">
        <v>1635</v>
      </c>
      <c r="C548" s="22" t="s">
        <v>77</v>
      </c>
      <c r="D548" s="22" t="s">
        <v>24</v>
      </c>
      <c r="E548" s="22" t="s">
        <v>1102</v>
      </c>
      <c r="F548" s="22" t="s">
        <v>15</v>
      </c>
      <c r="G548" s="22" t="s">
        <v>44</v>
      </c>
      <c r="H548" s="22">
        <v>63</v>
      </c>
      <c r="I548" s="24">
        <v>39587</v>
      </c>
      <c r="J548" s="27">
        <v>916</v>
      </c>
      <c r="K548" s="25">
        <v>0</v>
      </c>
      <c r="L548" s="22" t="s">
        <v>45</v>
      </c>
      <c r="M548" s="23" t="s">
        <v>1134</v>
      </c>
    </row>
    <row r="549" spans="1:13" x14ac:dyDescent="0.35">
      <c r="A549" s="22" t="s">
        <v>741</v>
      </c>
      <c r="B549" s="22" t="s">
        <v>1636</v>
      </c>
      <c r="C549" s="22" t="s">
        <v>36</v>
      </c>
      <c r="D549" s="22" t="s">
        <v>20</v>
      </c>
      <c r="E549" s="22" t="s">
        <v>29</v>
      </c>
      <c r="F549" s="22" t="s">
        <v>15</v>
      </c>
      <c r="G549" s="22" t="s">
        <v>44</v>
      </c>
      <c r="H549" s="22">
        <v>39</v>
      </c>
      <c r="I549" s="24">
        <v>41906</v>
      </c>
      <c r="J549" s="27">
        <v>828</v>
      </c>
      <c r="K549" s="25">
        <v>0.28999999999999998</v>
      </c>
      <c r="L549" s="22" t="s">
        <v>45</v>
      </c>
      <c r="M549" s="23" t="s">
        <v>1134</v>
      </c>
    </row>
    <row r="550" spans="1:13" x14ac:dyDescent="0.35">
      <c r="A550" s="22" t="s">
        <v>742</v>
      </c>
      <c r="B550" s="22" t="s">
        <v>1637</v>
      </c>
      <c r="C550" s="22" t="s">
        <v>57</v>
      </c>
      <c r="D550" s="22" t="s">
        <v>13</v>
      </c>
      <c r="E550" s="22" t="s">
        <v>29</v>
      </c>
      <c r="F550" s="22" t="s">
        <v>25</v>
      </c>
      <c r="G550" s="22" t="s">
        <v>21</v>
      </c>
      <c r="H550" s="22">
        <v>32</v>
      </c>
      <c r="I550" s="24">
        <v>42033</v>
      </c>
      <c r="J550" s="27">
        <v>746</v>
      </c>
      <c r="K550" s="25">
        <v>0</v>
      </c>
      <c r="L550" s="22" t="s">
        <v>17</v>
      </c>
      <c r="M550" s="23" t="s">
        <v>22</v>
      </c>
    </row>
    <row r="551" spans="1:13" x14ac:dyDescent="0.35">
      <c r="A551" s="22" t="s">
        <v>743</v>
      </c>
      <c r="B551" s="22" t="s">
        <v>1638</v>
      </c>
      <c r="C551" s="22" t="s">
        <v>55</v>
      </c>
      <c r="D551" s="22" t="s">
        <v>13</v>
      </c>
      <c r="E551" s="22" t="s">
        <v>33</v>
      </c>
      <c r="F551" s="22" t="s">
        <v>25</v>
      </c>
      <c r="G551" s="22" t="s">
        <v>21</v>
      </c>
      <c r="H551" s="22">
        <v>45</v>
      </c>
      <c r="I551" s="24">
        <v>41246</v>
      </c>
      <c r="J551" s="27">
        <v>705</v>
      </c>
      <c r="K551" s="25">
        <v>0</v>
      </c>
      <c r="L551" s="22" t="s">
        <v>30</v>
      </c>
      <c r="M551" s="23" t="s">
        <v>65</v>
      </c>
    </row>
    <row r="552" spans="1:13" x14ac:dyDescent="0.35">
      <c r="A552" s="22" t="s">
        <v>744</v>
      </c>
      <c r="B552" s="22" t="s">
        <v>1639</v>
      </c>
      <c r="C552" s="22" t="s">
        <v>60</v>
      </c>
      <c r="D552" s="22" t="s">
        <v>24</v>
      </c>
      <c r="E552" s="22" t="s">
        <v>14</v>
      </c>
      <c r="F552" s="22" t="s">
        <v>25</v>
      </c>
      <c r="G552" s="22" t="s">
        <v>21</v>
      </c>
      <c r="H552" s="22">
        <v>41</v>
      </c>
      <c r="I552" s="24">
        <v>43420</v>
      </c>
      <c r="J552" s="27">
        <v>720</v>
      </c>
      <c r="K552" s="25">
        <v>0</v>
      </c>
      <c r="L552" s="22" t="s">
        <v>30</v>
      </c>
      <c r="M552" s="23" t="s">
        <v>61</v>
      </c>
    </row>
    <row r="553" spans="1:13" x14ac:dyDescent="0.35">
      <c r="A553" s="22" t="s">
        <v>745</v>
      </c>
      <c r="B553" s="22" t="s">
        <v>1640</v>
      </c>
      <c r="C553" s="22" t="s">
        <v>58</v>
      </c>
      <c r="D553" s="22" t="s">
        <v>28</v>
      </c>
      <c r="E553" s="22" t="s">
        <v>29</v>
      </c>
      <c r="F553" s="22" t="s">
        <v>15</v>
      </c>
      <c r="G553" s="22" t="s">
        <v>16</v>
      </c>
      <c r="H553" s="22">
        <v>56</v>
      </c>
      <c r="I553" s="24">
        <v>42781</v>
      </c>
      <c r="J553" s="27">
        <v>661</v>
      </c>
      <c r="K553" s="25">
        <v>0</v>
      </c>
      <c r="L553" s="22" t="s">
        <v>17</v>
      </c>
      <c r="M553" s="23" t="s">
        <v>18</v>
      </c>
    </row>
    <row r="554" spans="1:13" x14ac:dyDescent="0.35">
      <c r="A554" s="22" t="s">
        <v>271</v>
      </c>
      <c r="B554" s="22" t="s">
        <v>1641</v>
      </c>
      <c r="C554" s="22" t="s">
        <v>53</v>
      </c>
      <c r="D554" s="22" t="s">
        <v>39</v>
      </c>
      <c r="E554" s="22" t="s">
        <v>1102</v>
      </c>
      <c r="F554" s="22" t="s">
        <v>15</v>
      </c>
      <c r="G554" s="22" t="s">
        <v>44</v>
      </c>
      <c r="H554" s="22">
        <v>30</v>
      </c>
      <c r="I554" s="24">
        <v>43097</v>
      </c>
      <c r="J554" s="27">
        <v>868</v>
      </c>
      <c r="K554" s="25">
        <v>7.0000000000000007E-2</v>
      </c>
      <c r="L554" s="22" t="s">
        <v>17</v>
      </c>
      <c r="M554" s="23" t="s">
        <v>35</v>
      </c>
    </row>
    <row r="555" spans="1:13" x14ac:dyDescent="0.35">
      <c r="A555" s="22" t="s">
        <v>174</v>
      </c>
      <c r="B555" s="22" t="s">
        <v>1642</v>
      </c>
      <c r="C555" s="22" t="s">
        <v>51</v>
      </c>
      <c r="D555" s="22" t="s">
        <v>28</v>
      </c>
      <c r="E555" s="22" t="s">
        <v>33</v>
      </c>
      <c r="F555" s="22" t="s">
        <v>25</v>
      </c>
      <c r="G555" s="22" t="s">
        <v>16</v>
      </c>
      <c r="H555" s="22">
        <v>46</v>
      </c>
      <c r="I555" s="24">
        <v>40230</v>
      </c>
      <c r="J555" s="27">
        <v>596</v>
      </c>
      <c r="K555" s="25">
        <v>0</v>
      </c>
      <c r="L555" s="22" t="s">
        <v>17</v>
      </c>
      <c r="M555" s="23" t="s">
        <v>18</v>
      </c>
    </row>
    <row r="556" spans="1:13" x14ac:dyDescent="0.35">
      <c r="A556" s="22" t="s">
        <v>746</v>
      </c>
      <c r="B556" s="22" t="s">
        <v>1643</v>
      </c>
      <c r="C556" s="22" t="s">
        <v>72</v>
      </c>
      <c r="D556" s="22" t="s">
        <v>24</v>
      </c>
      <c r="E556" s="22" t="s">
        <v>1102</v>
      </c>
      <c r="F556" s="22" t="s">
        <v>25</v>
      </c>
      <c r="G556" s="22" t="s">
        <v>16</v>
      </c>
      <c r="H556" s="22">
        <v>47</v>
      </c>
      <c r="I556" s="24">
        <v>39725</v>
      </c>
      <c r="J556" s="27">
        <v>804</v>
      </c>
      <c r="K556" s="25">
        <v>0</v>
      </c>
      <c r="L556" s="22" t="s">
        <v>17</v>
      </c>
      <c r="M556" s="23" t="s">
        <v>54</v>
      </c>
    </row>
    <row r="557" spans="1:13" x14ac:dyDescent="0.35">
      <c r="A557" s="22" t="s">
        <v>747</v>
      </c>
      <c r="B557" s="22" t="s">
        <v>1644</v>
      </c>
      <c r="C557" s="22" t="s">
        <v>12</v>
      </c>
      <c r="D557" s="22" t="s">
        <v>28</v>
      </c>
      <c r="E557" s="22" t="s">
        <v>33</v>
      </c>
      <c r="F557" s="22" t="s">
        <v>25</v>
      </c>
      <c r="G557" s="22" t="s">
        <v>16</v>
      </c>
      <c r="H557" s="22">
        <v>53</v>
      </c>
      <c r="I557" s="24">
        <v>40781</v>
      </c>
      <c r="J557" s="27">
        <v>525</v>
      </c>
      <c r="K557" s="25">
        <v>0.34</v>
      </c>
      <c r="L557" s="22" t="s">
        <v>17</v>
      </c>
      <c r="M557" s="23" t="s">
        <v>54</v>
      </c>
    </row>
    <row r="558" spans="1:13" x14ac:dyDescent="0.35">
      <c r="A558" s="22" t="s">
        <v>275</v>
      </c>
      <c r="B558" s="22" t="s">
        <v>1645</v>
      </c>
      <c r="C558" s="22" t="s">
        <v>34</v>
      </c>
      <c r="D558" s="22" t="s">
        <v>24</v>
      </c>
      <c r="E558" s="22" t="s">
        <v>1102</v>
      </c>
      <c r="F558" s="22" t="s">
        <v>25</v>
      </c>
      <c r="G558" s="22" t="s">
        <v>21</v>
      </c>
      <c r="H558" s="22">
        <v>38</v>
      </c>
      <c r="I558" s="24">
        <v>44462</v>
      </c>
      <c r="J558" s="27">
        <v>882</v>
      </c>
      <c r="K558" s="25">
        <v>0</v>
      </c>
      <c r="L558" s="22" t="s">
        <v>30</v>
      </c>
      <c r="M558" s="23" t="s">
        <v>65</v>
      </c>
    </row>
    <row r="559" spans="1:13" x14ac:dyDescent="0.35">
      <c r="A559" s="22" t="s">
        <v>748</v>
      </c>
      <c r="B559" s="22" t="s">
        <v>1646</v>
      </c>
      <c r="C559" s="22" t="s">
        <v>67</v>
      </c>
      <c r="D559" s="22" t="s">
        <v>24</v>
      </c>
      <c r="E559" s="22" t="s">
        <v>14</v>
      </c>
      <c r="F559" s="22" t="s">
        <v>25</v>
      </c>
      <c r="G559" s="22" t="s">
        <v>21</v>
      </c>
      <c r="H559" s="22">
        <v>65</v>
      </c>
      <c r="I559" s="24">
        <v>34147</v>
      </c>
      <c r="J559" s="27">
        <v>911</v>
      </c>
      <c r="K559" s="25">
        <v>0</v>
      </c>
      <c r="L559" s="22" t="s">
        <v>17</v>
      </c>
      <c r="M559" s="23" t="s">
        <v>54</v>
      </c>
    </row>
    <row r="560" spans="1:13" x14ac:dyDescent="0.35">
      <c r="A560" s="22" t="s">
        <v>749</v>
      </c>
      <c r="B560" s="22" t="s">
        <v>1647</v>
      </c>
      <c r="C560" s="22" t="s">
        <v>70</v>
      </c>
      <c r="D560" s="22" t="s">
        <v>28</v>
      </c>
      <c r="E560" s="22" t="s">
        <v>1102</v>
      </c>
      <c r="F560" s="22" t="s">
        <v>15</v>
      </c>
      <c r="G560" s="22" t="s">
        <v>44</v>
      </c>
      <c r="H560" s="22">
        <v>58</v>
      </c>
      <c r="I560" s="24">
        <v>39386</v>
      </c>
      <c r="J560" s="27">
        <v>866</v>
      </c>
      <c r="K560" s="25">
        <v>0</v>
      </c>
      <c r="L560" s="22" t="s">
        <v>17</v>
      </c>
      <c r="M560" s="23" t="s">
        <v>18</v>
      </c>
    </row>
    <row r="561" spans="1:13" x14ac:dyDescent="0.35">
      <c r="A561" s="22" t="s">
        <v>274</v>
      </c>
      <c r="B561" s="22" t="s">
        <v>1648</v>
      </c>
      <c r="C561" s="22" t="s">
        <v>55</v>
      </c>
      <c r="D561" s="22" t="s">
        <v>56</v>
      </c>
      <c r="E561" s="22" t="s">
        <v>33</v>
      </c>
      <c r="F561" s="22" t="s">
        <v>15</v>
      </c>
      <c r="G561" s="22" t="s">
        <v>21</v>
      </c>
      <c r="H561" s="22">
        <v>36</v>
      </c>
      <c r="I561" s="24">
        <v>40676</v>
      </c>
      <c r="J561" s="27">
        <v>772</v>
      </c>
      <c r="K561" s="25">
        <v>0</v>
      </c>
      <c r="L561" s="22" t="s">
        <v>17</v>
      </c>
      <c r="M561" s="23" t="s">
        <v>22</v>
      </c>
    </row>
    <row r="562" spans="1:13" x14ac:dyDescent="0.35">
      <c r="A562" s="22" t="s">
        <v>228</v>
      </c>
      <c r="B562" s="22" t="s">
        <v>1649</v>
      </c>
      <c r="C562" s="22" t="s">
        <v>57</v>
      </c>
      <c r="D562" s="22" t="s">
        <v>56</v>
      </c>
      <c r="E562" s="22" t="s">
        <v>14</v>
      </c>
      <c r="F562" s="22" t="s">
        <v>15</v>
      </c>
      <c r="G562" s="22" t="s">
        <v>21</v>
      </c>
      <c r="H562" s="22">
        <v>45</v>
      </c>
      <c r="I562" s="24">
        <v>42239</v>
      </c>
      <c r="J562" s="27">
        <v>658</v>
      </c>
      <c r="K562" s="25">
        <v>0</v>
      </c>
      <c r="L562" s="22" t="s">
        <v>17</v>
      </c>
      <c r="M562" s="23" t="s">
        <v>22</v>
      </c>
    </row>
    <row r="563" spans="1:13" x14ac:dyDescent="0.35">
      <c r="A563" s="22" t="s">
        <v>231</v>
      </c>
      <c r="B563" s="22" t="s">
        <v>1650</v>
      </c>
      <c r="C563" s="22" t="s">
        <v>58</v>
      </c>
      <c r="D563" s="22" t="s">
        <v>28</v>
      </c>
      <c r="E563" s="22" t="s">
        <v>14</v>
      </c>
      <c r="F563" s="22" t="s">
        <v>25</v>
      </c>
      <c r="G563" s="22" t="s">
        <v>44</v>
      </c>
      <c r="H563" s="22">
        <v>34</v>
      </c>
      <c r="I563" s="24">
        <v>43684</v>
      </c>
      <c r="J563" s="27">
        <v>638</v>
      </c>
      <c r="K563" s="25">
        <v>0</v>
      </c>
      <c r="L563" s="22" t="s">
        <v>17</v>
      </c>
      <c r="M563" s="23" t="s">
        <v>18</v>
      </c>
    </row>
    <row r="564" spans="1:13" x14ac:dyDescent="0.35">
      <c r="A564" s="22" t="s">
        <v>750</v>
      </c>
      <c r="B564" s="22" t="s">
        <v>1651</v>
      </c>
      <c r="C564" s="22" t="s">
        <v>19</v>
      </c>
      <c r="D564" s="22" t="s">
        <v>20</v>
      </c>
      <c r="E564" s="22" t="s">
        <v>14</v>
      </c>
      <c r="F564" s="22" t="s">
        <v>15</v>
      </c>
      <c r="G564" s="22" t="s">
        <v>21</v>
      </c>
      <c r="H564" s="22">
        <v>37</v>
      </c>
      <c r="I564" s="24">
        <v>40241</v>
      </c>
      <c r="J564" s="27">
        <v>726</v>
      </c>
      <c r="K564" s="25">
        <v>0</v>
      </c>
      <c r="L564" s="22" t="s">
        <v>30</v>
      </c>
      <c r="M564" s="23" t="s">
        <v>52</v>
      </c>
    </row>
    <row r="565" spans="1:13" x14ac:dyDescent="0.35">
      <c r="A565" s="22" t="s">
        <v>751</v>
      </c>
      <c r="B565" s="22" t="s">
        <v>1652</v>
      </c>
      <c r="C565" s="22" t="s">
        <v>38</v>
      </c>
      <c r="D565" s="22" t="s">
        <v>43</v>
      </c>
      <c r="E565" s="22" t="s">
        <v>33</v>
      </c>
      <c r="F565" s="22" t="s">
        <v>25</v>
      </c>
      <c r="G565" s="22" t="s">
        <v>21</v>
      </c>
      <c r="H565" s="22">
        <v>43</v>
      </c>
      <c r="I565" s="24">
        <v>44478</v>
      </c>
      <c r="J565" s="27">
        <v>681</v>
      </c>
      <c r="K565" s="25">
        <v>0</v>
      </c>
      <c r="L565" s="22" t="s">
        <v>17</v>
      </c>
      <c r="M565" s="23" t="s">
        <v>18</v>
      </c>
    </row>
    <row r="566" spans="1:13" x14ac:dyDescent="0.35">
      <c r="A566" s="22" t="s">
        <v>752</v>
      </c>
      <c r="B566" s="22" t="s">
        <v>1653</v>
      </c>
      <c r="C566" s="22" t="s">
        <v>70</v>
      </c>
      <c r="D566" s="22" t="s">
        <v>28</v>
      </c>
      <c r="E566" s="22" t="s">
        <v>14</v>
      </c>
      <c r="F566" s="22" t="s">
        <v>25</v>
      </c>
      <c r="G566" s="22" t="s">
        <v>44</v>
      </c>
      <c r="H566" s="22">
        <v>27</v>
      </c>
      <c r="I566" s="24">
        <v>44599</v>
      </c>
      <c r="J566" s="27">
        <v>510</v>
      </c>
      <c r="K566" s="25">
        <v>0</v>
      </c>
      <c r="L566" s="22" t="s">
        <v>45</v>
      </c>
      <c r="M566" s="23" t="s">
        <v>1134</v>
      </c>
    </row>
    <row r="567" spans="1:13" x14ac:dyDescent="0.35">
      <c r="A567" s="22" t="s">
        <v>753</v>
      </c>
      <c r="B567" s="22" t="s">
        <v>1654</v>
      </c>
      <c r="C567" s="22" t="s">
        <v>55</v>
      </c>
      <c r="D567" s="22" t="s">
        <v>43</v>
      </c>
      <c r="E567" s="22" t="s">
        <v>33</v>
      </c>
      <c r="F567" s="22" t="s">
        <v>25</v>
      </c>
      <c r="G567" s="22" t="s">
        <v>44</v>
      </c>
      <c r="H567" s="22">
        <v>38</v>
      </c>
      <c r="I567" s="24">
        <v>44534</v>
      </c>
      <c r="J567" s="27">
        <v>546</v>
      </c>
      <c r="K567" s="25">
        <v>0</v>
      </c>
      <c r="L567" s="22" t="s">
        <v>17</v>
      </c>
      <c r="M567" s="23" t="s">
        <v>40</v>
      </c>
    </row>
    <row r="568" spans="1:13" x14ac:dyDescent="0.35">
      <c r="A568" s="22" t="s">
        <v>754</v>
      </c>
      <c r="B568" s="22" t="s">
        <v>1655</v>
      </c>
      <c r="C568" s="22" t="s">
        <v>34</v>
      </c>
      <c r="D568" s="22" t="s">
        <v>24</v>
      </c>
      <c r="E568" s="22" t="s">
        <v>29</v>
      </c>
      <c r="F568" s="22" t="s">
        <v>15</v>
      </c>
      <c r="G568" s="22" t="s">
        <v>16</v>
      </c>
      <c r="H568" s="22">
        <v>60</v>
      </c>
      <c r="I568" s="24">
        <v>34222</v>
      </c>
      <c r="J568" s="27">
        <v>986</v>
      </c>
      <c r="K568" s="25">
        <v>0</v>
      </c>
      <c r="L568" s="22" t="s">
        <v>17</v>
      </c>
      <c r="M568" s="23" t="s">
        <v>40</v>
      </c>
    </row>
    <row r="569" spans="1:13" x14ac:dyDescent="0.35">
      <c r="A569" s="22" t="s">
        <v>755</v>
      </c>
      <c r="B569" s="22" t="s">
        <v>1656</v>
      </c>
      <c r="C569" s="22" t="s">
        <v>68</v>
      </c>
      <c r="D569" s="22" t="s">
        <v>20</v>
      </c>
      <c r="E569" s="22" t="s">
        <v>29</v>
      </c>
      <c r="F569" s="22" t="s">
        <v>25</v>
      </c>
      <c r="G569" s="22" t="s">
        <v>21</v>
      </c>
      <c r="H569" s="22">
        <v>29</v>
      </c>
      <c r="I569" s="24">
        <v>43058</v>
      </c>
      <c r="J569" s="27">
        <v>849</v>
      </c>
      <c r="K569" s="25">
        <v>0</v>
      </c>
      <c r="L569" s="22" t="s">
        <v>17</v>
      </c>
      <c r="M569" s="23" t="s">
        <v>40</v>
      </c>
    </row>
    <row r="570" spans="1:13" x14ac:dyDescent="0.35">
      <c r="A570" s="22" t="s">
        <v>756</v>
      </c>
      <c r="B570" s="22" t="s">
        <v>1657</v>
      </c>
      <c r="C570" s="22" t="s">
        <v>53</v>
      </c>
      <c r="D570" s="22" t="s">
        <v>43</v>
      </c>
      <c r="E570" s="22" t="s">
        <v>1102</v>
      </c>
      <c r="F570" s="22" t="s">
        <v>25</v>
      </c>
      <c r="G570" s="22" t="s">
        <v>44</v>
      </c>
      <c r="H570" s="22">
        <v>49</v>
      </c>
      <c r="I570" s="24">
        <v>35688</v>
      </c>
      <c r="J570" s="27">
        <v>655</v>
      </c>
      <c r="K570" s="25">
        <v>0.1</v>
      </c>
      <c r="L570" s="22" t="s">
        <v>45</v>
      </c>
      <c r="M570" s="23" t="s">
        <v>66</v>
      </c>
    </row>
    <row r="571" spans="1:13" x14ac:dyDescent="0.35">
      <c r="A571" s="22" t="s">
        <v>757</v>
      </c>
      <c r="B571" s="22" t="s">
        <v>1658</v>
      </c>
      <c r="C571" s="22" t="s">
        <v>38</v>
      </c>
      <c r="D571" s="22" t="s">
        <v>39</v>
      </c>
      <c r="E571" s="22" t="s">
        <v>29</v>
      </c>
      <c r="F571" s="22" t="s">
        <v>25</v>
      </c>
      <c r="G571" s="22" t="s">
        <v>41</v>
      </c>
      <c r="H571" s="22">
        <v>45</v>
      </c>
      <c r="I571" s="24">
        <v>43107</v>
      </c>
      <c r="J571" s="27">
        <v>991</v>
      </c>
      <c r="K571" s="25">
        <v>0</v>
      </c>
      <c r="L571" s="22" t="s">
        <v>17</v>
      </c>
      <c r="M571" s="23" t="s">
        <v>26</v>
      </c>
    </row>
    <row r="572" spans="1:13" x14ac:dyDescent="0.35">
      <c r="A572" s="22" t="s">
        <v>49</v>
      </c>
      <c r="B572" s="22" t="s">
        <v>1659</v>
      </c>
      <c r="C572" s="22" t="s">
        <v>60</v>
      </c>
      <c r="D572" s="22" t="s">
        <v>24</v>
      </c>
      <c r="E572" s="22" t="s">
        <v>1102</v>
      </c>
      <c r="F572" s="22" t="s">
        <v>25</v>
      </c>
      <c r="G572" s="22" t="s">
        <v>16</v>
      </c>
      <c r="H572" s="22">
        <v>44</v>
      </c>
      <c r="I572" s="24">
        <v>38039</v>
      </c>
      <c r="J572" s="27">
        <v>629</v>
      </c>
      <c r="K572" s="25">
        <v>0</v>
      </c>
      <c r="L572" s="22" t="s">
        <v>17</v>
      </c>
      <c r="M572" s="23" t="s">
        <v>22</v>
      </c>
    </row>
    <row r="573" spans="1:13" x14ac:dyDescent="0.35">
      <c r="A573" s="22" t="s">
        <v>758</v>
      </c>
      <c r="B573" s="22" t="s">
        <v>1660</v>
      </c>
      <c r="C573" s="22" t="s">
        <v>38</v>
      </c>
      <c r="D573" s="22" t="s">
        <v>13</v>
      </c>
      <c r="E573" s="22" t="s">
        <v>1102</v>
      </c>
      <c r="F573" s="22" t="s">
        <v>25</v>
      </c>
      <c r="G573" s="22" t="s">
        <v>16</v>
      </c>
      <c r="H573" s="22">
        <v>46</v>
      </c>
      <c r="I573" s="24">
        <v>40945</v>
      </c>
      <c r="J573" s="27">
        <v>607</v>
      </c>
      <c r="K573" s="25">
        <v>0</v>
      </c>
      <c r="L573" s="22" t="s">
        <v>17</v>
      </c>
      <c r="M573" s="23" t="s">
        <v>26</v>
      </c>
    </row>
    <row r="574" spans="1:13" x14ac:dyDescent="0.35">
      <c r="A574" s="22" t="s">
        <v>759</v>
      </c>
      <c r="B574" s="22" t="s">
        <v>1661</v>
      </c>
      <c r="C574" s="22" t="s">
        <v>36</v>
      </c>
      <c r="D574" s="22" t="s">
        <v>20</v>
      </c>
      <c r="E574" s="22" t="s">
        <v>14</v>
      </c>
      <c r="F574" s="22" t="s">
        <v>25</v>
      </c>
      <c r="G574" s="22" t="s">
        <v>21</v>
      </c>
      <c r="H574" s="22">
        <v>36</v>
      </c>
      <c r="I574" s="24">
        <v>40476</v>
      </c>
      <c r="J574" s="27">
        <v>574</v>
      </c>
      <c r="K574" s="25">
        <v>0.18</v>
      </c>
      <c r="L574" s="22" t="s">
        <v>30</v>
      </c>
      <c r="M574" s="23" t="s">
        <v>65</v>
      </c>
    </row>
    <row r="575" spans="1:13" x14ac:dyDescent="0.35">
      <c r="A575" s="22" t="s">
        <v>760</v>
      </c>
      <c r="B575" s="22" t="s">
        <v>1662</v>
      </c>
      <c r="C575" s="22" t="s">
        <v>38</v>
      </c>
      <c r="D575" s="22" t="s">
        <v>56</v>
      </c>
      <c r="E575" s="22" t="s">
        <v>33</v>
      </c>
      <c r="F575" s="22" t="s">
        <v>25</v>
      </c>
      <c r="G575" s="22" t="s">
        <v>44</v>
      </c>
      <c r="H575" s="22">
        <v>45</v>
      </c>
      <c r="I575" s="24">
        <v>44661</v>
      </c>
      <c r="J575" s="27">
        <v>828</v>
      </c>
      <c r="K575" s="25">
        <v>0</v>
      </c>
      <c r="L575" s="22" t="s">
        <v>45</v>
      </c>
      <c r="M575" s="23" t="s">
        <v>1134</v>
      </c>
    </row>
    <row r="576" spans="1:13" x14ac:dyDescent="0.35">
      <c r="A576" s="22" t="s">
        <v>102</v>
      </c>
      <c r="B576" s="22" t="s">
        <v>1663</v>
      </c>
      <c r="C576" s="22" t="s">
        <v>12</v>
      </c>
      <c r="D576" s="22" t="s">
        <v>20</v>
      </c>
      <c r="E576" s="22" t="s">
        <v>14</v>
      </c>
      <c r="F576" s="22" t="s">
        <v>25</v>
      </c>
      <c r="G576" s="22" t="s">
        <v>44</v>
      </c>
      <c r="H576" s="22">
        <v>55</v>
      </c>
      <c r="I576" s="24">
        <v>36220</v>
      </c>
      <c r="J576" s="27">
        <v>622</v>
      </c>
      <c r="K576" s="25">
        <v>0.33</v>
      </c>
      <c r="L576" s="22" t="s">
        <v>45</v>
      </c>
      <c r="M576" s="23" t="s">
        <v>46</v>
      </c>
    </row>
    <row r="577" spans="1:13" x14ac:dyDescent="0.35">
      <c r="A577" s="22" t="s">
        <v>761</v>
      </c>
      <c r="B577" s="22" t="s">
        <v>1664</v>
      </c>
      <c r="C577" s="22" t="s">
        <v>34</v>
      </c>
      <c r="D577" s="22" t="s">
        <v>24</v>
      </c>
      <c r="E577" s="22" t="s">
        <v>1102</v>
      </c>
      <c r="F577" s="22" t="s">
        <v>25</v>
      </c>
      <c r="G577" s="22" t="s">
        <v>16</v>
      </c>
      <c r="H577" s="22">
        <v>43</v>
      </c>
      <c r="I577" s="24">
        <v>39708</v>
      </c>
      <c r="J577" s="27">
        <v>623</v>
      </c>
      <c r="K577" s="25">
        <v>0</v>
      </c>
      <c r="L577" s="22" t="s">
        <v>17</v>
      </c>
      <c r="M577" s="23" t="s">
        <v>35</v>
      </c>
    </row>
    <row r="578" spans="1:13" x14ac:dyDescent="0.35">
      <c r="A578" s="22" t="s">
        <v>762</v>
      </c>
      <c r="B578" s="22" t="s">
        <v>167</v>
      </c>
      <c r="C578" s="22" t="s">
        <v>55</v>
      </c>
      <c r="D578" s="22" t="s">
        <v>43</v>
      </c>
      <c r="E578" s="22" t="s">
        <v>1102</v>
      </c>
      <c r="F578" s="22" t="s">
        <v>25</v>
      </c>
      <c r="G578" s="22" t="s">
        <v>21</v>
      </c>
      <c r="H578" s="22">
        <v>30</v>
      </c>
      <c r="I578" s="24">
        <v>44805</v>
      </c>
      <c r="J578" s="27">
        <v>722</v>
      </c>
      <c r="K578" s="25">
        <v>0</v>
      </c>
      <c r="L578" s="22" t="s">
        <v>17</v>
      </c>
      <c r="M578" s="23" t="s">
        <v>54</v>
      </c>
    </row>
    <row r="579" spans="1:13" x14ac:dyDescent="0.35">
      <c r="A579" s="22" t="s">
        <v>763</v>
      </c>
      <c r="B579" s="22" t="s">
        <v>1665</v>
      </c>
      <c r="C579" s="22" t="s">
        <v>12</v>
      </c>
      <c r="D579" s="22" t="s">
        <v>39</v>
      </c>
      <c r="E579" s="22" t="s">
        <v>33</v>
      </c>
      <c r="F579" s="22" t="s">
        <v>15</v>
      </c>
      <c r="G579" s="22" t="s">
        <v>16</v>
      </c>
      <c r="H579" s="22">
        <v>48</v>
      </c>
      <c r="I579" s="24">
        <v>36335</v>
      </c>
      <c r="J579" s="27">
        <v>525</v>
      </c>
      <c r="K579" s="25">
        <v>0.34</v>
      </c>
      <c r="L579" s="22" t="s">
        <v>17</v>
      </c>
      <c r="M579" s="23" t="s">
        <v>26</v>
      </c>
    </row>
    <row r="580" spans="1:13" x14ac:dyDescent="0.35">
      <c r="A580" s="22" t="s">
        <v>764</v>
      </c>
      <c r="B580" s="22" t="s">
        <v>1666</v>
      </c>
      <c r="C580" s="22" t="s">
        <v>38</v>
      </c>
      <c r="D580" s="22" t="s">
        <v>39</v>
      </c>
      <c r="E580" s="22" t="s">
        <v>1102</v>
      </c>
      <c r="F580" s="22" t="s">
        <v>15</v>
      </c>
      <c r="G580" s="22" t="s">
        <v>41</v>
      </c>
      <c r="H580" s="22">
        <v>60</v>
      </c>
      <c r="I580" s="24">
        <v>38430</v>
      </c>
      <c r="J580" s="27">
        <v>980</v>
      </c>
      <c r="K580" s="25">
        <v>0</v>
      </c>
      <c r="L580" s="22" t="s">
        <v>17</v>
      </c>
      <c r="M580" s="23" t="s">
        <v>35</v>
      </c>
    </row>
    <row r="581" spans="1:13" x14ac:dyDescent="0.35">
      <c r="A581" s="22" t="s">
        <v>765</v>
      </c>
      <c r="B581" s="22" t="s">
        <v>1667</v>
      </c>
      <c r="C581" s="22" t="s">
        <v>60</v>
      </c>
      <c r="D581" s="22" t="s">
        <v>24</v>
      </c>
      <c r="E581" s="22" t="s">
        <v>14</v>
      </c>
      <c r="F581" s="22" t="s">
        <v>25</v>
      </c>
      <c r="G581" s="22" t="s">
        <v>21</v>
      </c>
      <c r="H581" s="22">
        <v>30</v>
      </c>
      <c r="I581" s="24">
        <v>44448</v>
      </c>
      <c r="J581" s="27">
        <v>746</v>
      </c>
      <c r="K581" s="25">
        <v>0</v>
      </c>
      <c r="L581" s="22" t="s">
        <v>30</v>
      </c>
      <c r="M581" s="23" t="s">
        <v>52</v>
      </c>
    </row>
    <row r="582" spans="1:13" x14ac:dyDescent="0.35">
      <c r="A582" s="22" t="s">
        <v>766</v>
      </c>
      <c r="B582" s="22" t="s">
        <v>1668</v>
      </c>
      <c r="C582" s="22" t="s">
        <v>60</v>
      </c>
      <c r="D582" s="22" t="s">
        <v>24</v>
      </c>
      <c r="E582" s="22" t="s">
        <v>1102</v>
      </c>
      <c r="F582" s="22" t="s">
        <v>25</v>
      </c>
      <c r="G582" s="22" t="s">
        <v>16</v>
      </c>
      <c r="H582" s="22">
        <v>25</v>
      </c>
      <c r="I582" s="24">
        <v>44299</v>
      </c>
      <c r="J582" s="27">
        <v>792</v>
      </c>
      <c r="K582" s="25">
        <v>0</v>
      </c>
      <c r="L582" s="22" t="s">
        <v>17</v>
      </c>
      <c r="M582" s="23" t="s">
        <v>18</v>
      </c>
    </row>
    <row r="583" spans="1:13" x14ac:dyDescent="0.35">
      <c r="A583" s="22" t="s">
        <v>767</v>
      </c>
      <c r="B583" s="22" t="s">
        <v>1669</v>
      </c>
      <c r="C583" s="22" t="s">
        <v>55</v>
      </c>
      <c r="D583" s="22" t="s">
        <v>43</v>
      </c>
      <c r="E583" s="22" t="s">
        <v>1102</v>
      </c>
      <c r="F583" s="22" t="s">
        <v>25</v>
      </c>
      <c r="G583" s="22" t="s">
        <v>44</v>
      </c>
      <c r="H583" s="22">
        <v>58</v>
      </c>
      <c r="I583" s="24">
        <v>41970</v>
      </c>
      <c r="J583" s="27">
        <v>653</v>
      </c>
      <c r="K583" s="25">
        <v>0</v>
      </c>
      <c r="L583" s="22" t="s">
        <v>45</v>
      </c>
      <c r="M583" s="23" t="s">
        <v>1134</v>
      </c>
    </row>
    <row r="584" spans="1:13" x14ac:dyDescent="0.35">
      <c r="A584" s="22" t="s">
        <v>768</v>
      </c>
      <c r="B584" s="22" t="s">
        <v>1670</v>
      </c>
      <c r="C584" s="22" t="s">
        <v>53</v>
      </c>
      <c r="D584" s="22" t="s">
        <v>20</v>
      </c>
      <c r="E584" s="22" t="s">
        <v>29</v>
      </c>
      <c r="F584" s="22" t="s">
        <v>25</v>
      </c>
      <c r="G584" s="22" t="s">
        <v>44</v>
      </c>
      <c r="H584" s="22">
        <v>37</v>
      </c>
      <c r="I584" s="24">
        <v>44641</v>
      </c>
      <c r="J584" s="27">
        <v>947</v>
      </c>
      <c r="K584" s="25">
        <v>0.08</v>
      </c>
      <c r="L584" s="22" t="s">
        <v>45</v>
      </c>
      <c r="M584" s="23" t="s">
        <v>1134</v>
      </c>
    </row>
    <row r="585" spans="1:13" x14ac:dyDescent="0.35">
      <c r="A585" s="22" t="s">
        <v>769</v>
      </c>
      <c r="B585" s="22" t="s">
        <v>1671</v>
      </c>
      <c r="C585" s="22" t="s">
        <v>60</v>
      </c>
      <c r="D585" s="22" t="s">
        <v>24</v>
      </c>
      <c r="E585" s="22" t="s">
        <v>14</v>
      </c>
      <c r="F585" s="22" t="s">
        <v>25</v>
      </c>
      <c r="G585" s="22" t="s">
        <v>21</v>
      </c>
      <c r="H585" s="22">
        <v>44</v>
      </c>
      <c r="I585" s="24">
        <v>40305</v>
      </c>
      <c r="J585" s="27">
        <v>640</v>
      </c>
      <c r="K585" s="25">
        <v>0</v>
      </c>
      <c r="L585" s="22" t="s">
        <v>17</v>
      </c>
      <c r="M585" s="23" t="s">
        <v>18</v>
      </c>
    </row>
    <row r="586" spans="1:13" x14ac:dyDescent="0.35">
      <c r="A586" s="22" t="s">
        <v>770</v>
      </c>
      <c r="B586" s="22" t="s">
        <v>1672</v>
      </c>
      <c r="C586" s="22" t="s">
        <v>68</v>
      </c>
      <c r="D586" s="22" t="s">
        <v>20</v>
      </c>
      <c r="E586" s="22" t="s">
        <v>14</v>
      </c>
      <c r="F586" s="22" t="s">
        <v>15</v>
      </c>
      <c r="G586" s="22" t="s">
        <v>44</v>
      </c>
      <c r="H586" s="22">
        <v>53</v>
      </c>
      <c r="I586" s="24">
        <v>43747</v>
      </c>
      <c r="J586" s="27">
        <v>698</v>
      </c>
      <c r="K586" s="25">
        <v>0</v>
      </c>
      <c r="L586" s="22" t="s">
        <v>17</v>
      </c>
      <c r="M586" s="23" t="s">
        <v>40</v>
      </c>
    </row>
    <row r="587" spans="1:13" x14ac:dyDescent="0.35">
      <c r="A587" s="22" t="s">
        <v>771</v>
      </c>
      <c r="B587" s="22" t="s">
        <v>1673</v>
      </c>
      <c r="C587" s="22" t="s">
        <v>36</v>
      </c>
      <c r="D587" s="22" t="s">
        <v>43</v>
      </c>
      <c r="E587" s="22" t="s">
        <v>1102</v>
      </c>
      <c r="F587" s="22" t="s">
        <v>15</v>
      </c>
      <c r="G587" s="22" t="s">
        <v>21</v>
      </c>
      <c r="H587" s="22">
        <v>58</v>
      </c>
      <c r="I587" s="24">
        <v>40191</v>
      </c>
      <c r="J587" s="27">
        <v>768</v>
      </c>
      <c r="K587" s="25">
        <v>0.19</v>
      </c>
      <c r="L587" s="22" t="s">
        <v>17</v>
      </c>
      <c r="M587" s="23" t="s">
        <v>35</v>
      </c>
    </row>
    <row r="588" spans="1:13" x14ac:dyDescent="0.35">
      <c r="A588" s="22" t="s">
        <v>772</v>
      </c>
      <c r="B588" s="22" t="s">
        <v>1674</v>
      </c>
      <c r="C588" s="22" t="s">
        <v>72</v>
      </c>
      <c r="D588" s="22" t="s">
        <v>24</v>
      </c>
      <c r="E588" s="22" t="s">
        <v>1102</v>
      </c>
      <c r="F588" s="22" t="s">
        <v>25</v>
      </c>
      <c r="G588" s="22" t="s">
        <v>16</v>
      </c>
      <c r="H588" s="22">
        <v>65</v>
      </c>
      <c r="I588" s="24">
        <v>43856</v>
      </c>
      <c r="J588" s="27">
        <v>528</v>
      </c>
      <c r="K588" s="25">
        <v>0</v>
      </c>
      <c r="L588" s="22" t="s">
        <v>17</v>
      </c>
      <c r="M588" s="23" t="s">
        <v>54</v>
      </c>
    </row>
    <row r="589" spans="1:13" x14ac:dyDescent="0.35">
      <c r="A589" s="22" t="s">
        <v>773</v>
      </c>
      <c r="B589" s="22" t="s">
        <v>1675</v>
      </c>
      <c r="C589" s="22" t="s">
        <v>36</v>
      </c>
      <c r="D589" s="22" t="s">
        <v>56</v>
      </c>
      <c r="E589" s="22" t="s">
        <v>14</v>
      </c>
      <c r="F589" s="22" t="s">
        <v>25</v>
      </c>
      <c r="G589" s="22" t="s">
        <v>21</v>
      </c>
      <c r="H589" s="22">
        <v>57</v>
      </c>
      <c r="I589" s="24">
        <v>36614</v>
      </c>
      <c r="J589" s="27">
        <v>510</v>
      </c>
      <c r="K589" s="25">
        <v>0.22</v>
      </c>
      <c r="L589" s="22" t="s">
        <v>30</v>
      </c>
      <c r="M589" s="23" t="s">
        <v>31</v>
      </c>
    </row>
    <row r="590" spans="1:13" x14ac:dyDescent="0.35">
      <c r="A590" s="22" t="s">
        <v>774</v>
      </c>
      <c r="B590" s="22" t="s">
        <v>1676</v>
      </c>
      <c r="C590" s="22" t="s">
        <v>72</v>
      </c>
      <c r="D590" s="22" t="s">
        <v>24</v>
      </c>
      <c r="E590" s="22" t="s">
        <v>33</v>
      </c>
      <c r="F590" s="22" t="s">
        <v>25</v>
      </c>
      <c r="G590" s="22" t="s">
        <v>44</v>
      </c>
      <c r="H590" s="22">
        <v>31</v>
      </c>
      <c r="I590" s="24">
        <v>44360</v>
      </c>
      <c r="J590" s="27">
        <v>892</v>
      </c>
      <c r="K590" s="25">
        <v>0</v>
      </c>
      <c r="L590" s="22" t="s">
        <v>17</v>
      </c>
      <c r="M590" s="23" t="s">
        <v>35</v>
      </c>
    </row>
    <row r="591" spans="1:13" x14ac:dyDescent="0.35">
      <c r="A591" s="22" t="s">
        <v>775</v>
      </c>
      <c r="B591" s="22" t="s">
        <v>1677</v>
      </c>
      <c r="C591" s="22" t="s">
        <v>76</v>
      </c>
      <c r="D591" s="22" t="s">
        <v>28</v>
      </c>
      <c r="E591" s="22" t="s">
        <v>33</v>
      </c>
      <c r="F591" s="22" t="s">
        <v>25</v>
      </c>
      <c r="G591" s="22" t="s">
        <v>21</v>
      </c>
      <c r="H591" s="22">
        <v>32</v>
      </c>
      <c r="I591" s="24">
        <v>43583</v>
      </c>
      <c r="J591" s="27">
        <v>800</v>
      </c>
      <c r="K591" s="25">
        <v>0.13</v>
      </c>
      <c r="L591" s="22" t="s">
        <v>30</v>
      </c>
      <c r="M591" s="23" t="s">
        <v>31</v>
      </c>
    </row>
    <row r="592" spans="1:13" x14ac:dyDescent="0.35">
      <c r="A592" s="22" t="s">
        <v>776</v>
      </c>
      <c r="B592" s="22" t="s">
        <v>1678</v>
      </c>
      <c r="C592" s="22" t="s">
        <v>53</v>
      </c>
      <c r="D592" s="22" t="s">
        <v>56</v>
      </c>
      <c r="E592" s="22" t="s">
        <v>1102</v>
      </c>
      <c r="F592" s="22" t="s">
        <v>25</v>
      </c>
      <c r="G592" s="22" t="s">
        <v>16</v>
      </c>
      <c r="H592" s="22">
        <v>48</v>
      </c>
      <c r="I592" s="24">
        <v>36897</v>
      </c>
      <c r="J592" s="27">
        <v>794</v>
      </c>
      <c r="K592" s="25">
        <v>0.09</v>
      </c>
      <c r="L592" s="22" t="s">
        <v>17</v>
      </c>
      <c r="M592" s="23" t="s">
        <v>35</v>
      </c>
    </row>
    <row r="593" spans="1:13" x14ac:dyDescent="0.35">
      <c r="A593" s="22" t="s">
        <v>777</v>
      </c>
      <c r="B593" s="22" t="s">
        <v>1679</v>
      </c>
      <c r="C593" s="22" t="s">
        <v>12</v>
      </c>
      <c r="D593" s="22" t="s">
        <v>24</v>
      </c>
      <c r="E593" s="22" t="s">
        <v>1102</v>
      </c>
      <c r="F593" s="22" t="s">
        <v>15</v>
      </c>
      <c r="G593" s="22" t="s">
        <v>21</v>
      </c>
      <c r="H593" s="22">
        <v>55</v>
      </c>
      <c r="I593" s="24">
        <v>37191</v>
      </c>
      <c r="J593" s="27">
        <v>706</v>
      </c>
      <c r="K593" s="25">
        <v>0.3</v>
      </c>
      <c r="L593" s="22" t="s">
        <v>30</v>
      </c>
      <c r="M593" s="23" t="s">
        <v>52</v>
      </c>
    </row>
    <row r="594" spans="1:13" x14ac:dyDescent="0.35">
      <c r="A594" s="22" t="s">
        <v>139</v>
      </c>
      <c r="B594" s="22" t="s">
        <v>1680</v>
      </c>
      <c r="C594" s="22" t="s">
        <v>70</v>
      </c>
      <c r="D594" s="22" t="s">
        <v>28</v>
      </c>
      <c r="E594" s="22" t="s">
        <v>1102</v>
      </c>
      <c r="F594" s="22" t="s">
        <v>15</v>
      </c>
      <c r="G594" s="22" t="s">
        <v>16</v>
      </c>
      <c r="H594" s="22">
        <v>52</v>
      </c>
      <c r="I594" s="24">
        <v>42923</v>
      </c>
      <c r="J594" s="27">
        <v>898</v>
      </c>
      <c r="K594" s="25">
        <v>0</v>
      </c>
      <c r="L594" s="22" t="s">
        <v>17</v>
      </c>
      <c r="M594" s="23" t="s">
        <v>18</v>
      </c>
    </row>
    <row r="595" spans="1:13" x14ac:dyDescent="0.35">
      <c r="A595" s="22" t="s">
        <v>778</v>
      </c>
      <c r="B595" s="22" t="s">
        <v>1681</v>
      </c>
      <c r="C595" s="22" t="s">
        <v>70</v>
      </c>
      <c r="D595" s="22" t="s">
        <v>28</v>
      </c>
      <c r="E595" s="22" t="s">
        <v>14</v>
      </c>
      <c r="F595" s="22" t="s">
        <v>15</v>
      </c>
      <c r="G595" s="22" t="s">
        <v>44</v>
      </c>
      <c r="H595" s="22">
        <v>27</v>
      </c>
      <c r="I595" s="24">
        <v>44389</v>
      </c>
      <c r="J595" s="27">
        <v>692</v>
      </c>
      <c r="K595" s="25">
        <v>0</v>
      </c>
      <c r="L595" s="22" t="s">
        <v>45</v>
      </c>
      <c r="M595" s="23" t="s">
        <v>66</v>
      </c>
    </row>
    <row r="596" spans="1:13" x14ac:dyDescent="0.35">
      <c r="A596" s="22" t="s">
        <v>779</v>
      </c>
      <c r="B596" s="22" t="s">
        <v>1682</v>
      </c>
      <c r="C596" s="22" t="s">
        <v>74</v>
      </c>
      <c r="D596" s="22" t="s">
        <v>43</v>
      </c>
      <c r="E596" s="22" t="s">
        <v>1102</v>
      </c>
      <c r="F596" s="22" t="s">
        <v>15</v>
      </c>
      <c r="G596" s="22" t="s">
        <v>16</v>
      </c>
      <c r="H596" s="22">
        <v>36</v>
      </c>
      <c r="I596" s="24">
        <v>41160</v>
      </c>
      <c r="J596" s="27">
        <v>528</v>
      </c>
      <c r="K596" s="25">
        <v>0</v>
      </c>
      <c r="L596" s="22" t="s">
        <v>17</v>
      </c>
      <c r="M596" s="23" t="s">
        <v>22</v>
      </c>
    </row>
    <row r="597" spans="1:13" x14ac:dyDescent="0.35">
      <c r="A597" s="22" t="s">
        <v>780</v>
      </c>
      <c r="B597" s="22" t="s">
        <v>1683</v>
      </c>
      <c r="C597" s="22" t="s">
        <v>71</v>
      </c>
      <c r="D597" s="22" t="s">
        <v>24</v>
      </c>
      <c r="E597" s="22" t="s">
        <v>1102</v>
      </c>
      <c r="F597" s="22" t="s">
        <v>25</v>
      </c>
      <c r="G597" s="22" t="s">
        <v>16</v>
      </c>
      <c r="H597" s="22">
        <v>36</v>
      </c>
      <c r="I597" s="24">
        <v>44780</v>
      </c>
      <c r="J597" s="27">
        <v>545</v>
      </c>
      <c r="K597" s="25">
        <v>0</v>
      </c>
      <c r="L597" s="22" t="s">
        <v>17</v>
      </c>
      <c r="M597" s="23" t="s">
        <v>40</v>
      </c>
    </row>
    <row r="598" spans="1:13" x14ac:dyDescent="0.35">
      <c r="A598" s="22" t="s">
        <v>781</v>
      </c>
      <c r="B598" s="22" t="s">
        <v>1684</v>
      </c>
      <c r="C598" s="22" t="s">
        <v>53</v>
      </c>
      <c r="D598" s="22" t="s">
        <v>43</v>
      </c>
      <c r="E598" s="22" t="s">
        <v>33</v>
      </c>
      <c r="F598" s="22" t="s">
        <v>25</v>
      </c>
      <c r="G598" s="22" t="s">
        <v>44</v>
      </c>
      <c r="H598" s="22">
        <v>42</v>
      </c>
      <c r="I598" s="24">
        <v>43627</v>
      </c>
      <c r="J598" s="27">
        <v>797</v>
      </c>
      <c r="K598" s="25">
        <v>0.06</v>
      </c>
      <c r="L598" s="22" t="s">
        <v>17</v>
      </c>
      <c r="M598" s="23" t="s">
        <v>40</v>
      </c>
    </row>
    <row r="599" spans="1:13" x14ac:dyDescent="0.35">
      <c r="A599" s="22" t="s">
        <v>190</v>
      </c>
      <c r="B599" s="22" t="s">
        <v>1685</v>
      </c>
      <c r="C599" s="22" t="s">
        <v>38</v>
      </c>
      <c r="D599" s="22" t="s">
        <v>39</v>
      </c>
      <c r="E599" s="22" t="s">
        <v>14</v>
      </c>
      <c r="F599" s="22" t="s">
        <v>25</v>
      </c>
      <c r="G599" s="22" t="s">
        <v>16</v>
      </c>
      <c r="H599" s="22">
        <v>48</v>
      </c>
      <c r="I599" s="24">
        <v>43450</v>
      </c>
      <c r="J599" s="27">
        <v>917</v>
      </c>
      <c r="K599" s="25">
        <v>0</v>
      </c>
      <c r="L599" s="22" t="s">
        <v>17</v>
      </c>
      <c r="M599" s="23" t="s">
        <v>22</v>
      </c>
    </row>
    <row r="600" spans="1:13" x14ac:dyDescent="0.35">
      <c r="A600" s="22" t="s">
        <v>782</v>
      </c>
      <c r="B600" s="22" t="s">
        <v>1686</v>
      </c>
      <c r="C600" s="22" t="s">
        <v>48</v>
      </c>
      <c r="D600" s="22" t="s">
        <v>24</v>
      </c>
      <c r="E600" s="22" t="s">
        <v>1102</v>
      </c>
      <c r="F600" s="22" t="s">
        <v>15</v>
      </c>
      <c r="G600" s="22" t="s">
        <v>21</v>
      </c>
      <c r="H600" s="22">
        <v>42</v>
      </c>
      <c r="I600" s="24">
        <v>39549</v>
      </c>
      <c r="J600" s="27">
        <v>606</v>
      </c>
      <c r="K600" s="25">
        <v>7.0000000000000007E-2</v>
      </c>
      <c r="L600" s="22" t="s">
        <v>30</v>
      </c>
      <c r="M600" s="23" t="s">
        <v>65</v>
      </c>
    </row>
    <row r="601" spans="1:13" x14ac:dyDescent="0.35">
      <c r="A601" s="22" t="s">
        <v>783</v>
      </c>
      <c r="B601" s="22" t="s">
        <v>1687</v>
      </c>
      <c r="C601" s="22" t="s">
        <v>1111</v>
      </c>
      <c r="D601" s="22" t="s">
        <v>20</v>
      </c>
      <c r="E601" s="22" t="s">
        <v>14</v>
      </c>
      <c r="F601" s="22" t="s">
        <v>25</v>
      </c>
      <c r="G601" s="22" t="s">
        <v>21</v>
      </c>
      <c r="H601" s="22">
        <v>37</v>
      </c>
      <c r="I601" s="24">
        <v>43699</v>
      </c>
      <c r="J601" s="27">
        <v>923</v>
      </c>
      <c r="K601" s="25">
        <v>0.15</v>
      </c>
      <c r="L601" s="22" t="s">
        <v>30</v>
      </c>
      <c r="M601" s="23" t="s">
        <v>61</v>
      </c>
    </row>
    <row r="602" spans="1:13" x14ac:dyDescent="0.35">
      <c r="A602" s="22" t="s">
        <v>784</v>
      </c>
      <c r="B602" s="22" t="s">
        <v>1688</v>
      </c>
      <c r="C602" s="22" t="s">
        <v>59</v>
      </c>
      <c r="D602" s="22" t="s">
        <v>24</v>
      </c>
      <c r="E602" s="22" t="s">
        <v>1102</v>
      </c>
      <c r="F602" s="22" t="s">
        <v>15</v>
      </c>
      <c r="G602" s="22" t="s">
        <v>21</v>
      </c>
      <c r="H602" s="22">
        <v>55</v>
      </c>
      <c r="I602" s="24">
        <v>41052</v>
      </c>
      <c r="J602" s="27">
        <v>760</v>
      </c>
      <c r="K602" s="25">
        <v>0</v>
      </c>
      <c r="L602" s="22" t="s">
        <v>17</v>
      </c>
      <c r="M602" s="23" t="s">
        <v>22</v>
      </c>
    </row>
    <row r="603" spans="1:13" x14ac:dyDescent="0.35">
      <c r="A603" s="22" t="s">
        <v>785</v>
      </c>
      <c r="B603" s="22" t="s">
        <v>1689</v>
      </c>
      <c r="C603" s="22" t="s">
        <v>19</v>
      </c>
      <c r="D603" s="22" t="s">
        <v>20</v>
      </c>
      <c r="E603" s="22" t="s">
        <v>1102</v>
      </c>
      <c r="F603" s="22" t="s">
        <v>15</v>
      </c>
      <c r="G603" s="22" t="s">
        <v>21</v>
      </c>
      <c r="H603" s="22">
        <v>62</v>
      </c>
      <c r="I603" s="24">
        <v>36392</v>
      </c>
      <c r="J603" s="27">
        <v>748</v>
      </c>
      <c r="K603" s="25">
        <v>0</v>
      </c>
      <c r="L603" s="22" t="s">
        <v>17</v>
      </c>
      <c r="M603" s="23" t="s">
        <v>54</v>
      </c>
    </row>
    <row r="604" spans="1:13" x14ac:dyDescent="0.35">
      <c r="A604" s="22" t="s">
        <v>114</v>
      </c>
      <c r="B604" s="22" t="s">
        <v>1690</v>
      </c>
      <c r="C604" s="22" t="s">
        <v>1111</v>
      </c>
      <c r="D604" s="22" t="s">
        <v>56</v>
      </c>
      <c r="E604" s="22" t="s">
        <v>1102</v>
      </c>
      <c r="F604" s="22" t="s">
        <v>15</v>
      </c>
      <c r="G604" s="22" t="s">
        <v>44</v>
      </c>
      <c r="H604" s="22">
        <v>29</v>
      </c>
      <c r="I604" s="24">
        <v>44087</v>
      </c>
      <c r="J604" s="27">
        <v>823</v>
      </c>
      <c r="K604" s="25">
        <v>0.11</v>
      </c>
      <c r="L604" s="22" t="s">
        <v>17</v>
      </c>
      <c r="M604" s="23" t="s">
        <v>54</v>
      </c>
    </row>
    <row r="605" spans="1:13" x14ac:dyDescent="0.35">
      <c r="A605" s="22" t="s">
        <v>786</v>
      </c>
      <c r="B605" s="22" t="s">
        <v>1691</v>
      </c>
      <c r="C605" s="22" t="s">
        <v>1111</v>
      </c>
      <c r="D605" s="22" t="s">
        <v>20</v>
      </c>
      <c r="E605" s="22" t="s">
        <v>29</v>
      </c>
      <c r="F605" s="22" t="s">
        <v>15</v>
      </c>
      <c r="G605" s="22" t="s">
        <v>44</v>
      </c>
      <c r="H605" s="22">
        <v>29</v>
      </c>
      <c r="I605" s="24">
        <v>43371</v>
      </c>
      <c r="J605" s="27">
        <v>965</v>
      </c>
      <c r="K605" s="25">
        <v>0.1</v>
      </c>
      <c r="L605" s="22" t="s">
        <v>45</v>
      </c>
      <c r="M605" s="23" t="s">
        <v>1134</v>
      </c>
    </row>
    <row r="606" spans="1:13" x14ac:dyDescent="0.35">
      <c r="A606" s="22" t="s">
        <v>787</v>
      </c>
      <c r="B606" s="22" t="s">
        <v>1692</v>
      </c>
      <c r="C606" s="22" t="s">
        <v>12</v>
      </c>
      <c r="D606" s="22" t="s">
        <v>20</v>
      </c>
      <c r="E606" s="22" t="s">
        <v>33</v>
      </c>
      <c r="F606" s="22" t="s">
        <v>15</v>
      </c>
      <c r="G606" s="22" t="s">
        <v>44</v>
      </c>
      <c r="H606" s="22">
        <v>45</v>
      </c>
      <c r="I606" s="24">
        <v>38124</v>
      </c>
      <c r="J606" s="27">
        <v>662</v>
      </c>
      <c r="K606" s="25">
        <v>0.37</v>
      </c>
      <c r="L606" s="22" t="s">
        <v>17</v>
      </c>
      <c r="M606" s="23" t="s">
        <v>22</v>
      </c>
    </row>
    <row r="607" spans="1:13" x14ac:dyDescent="0.35">
      <c r="A607" s="22" t="s">
        <v>788</v>
      </c>
      <c r="B607" s="22" t="s">
        <v>1693</v>
      </c>
      <c r="C607" s="22" t="s">
        <v>57</v>
      </c>
      <c r="D607" s="22" t="s">
        <v>39</v>
      </c>
      <c r="E607" s="22" t="s">
        <v>33</v>
      </c>
      <c r="F607" s="22" t="s">
        <v>25</v>
      </c>
      <c r="G607" s="22" t="s">
        <v>16</v>
      </c>
      <c r="H607" s="22">
        <v>57</v>
      </c>
      <c r="I607" s="24">
        <v>40090</v>
      </c>
      <c r="J607" s="27">
        <v>729</v>
      </c>
      <c r="K607" s="25">
        <v>0</v>
      </c>
      <c r="L607" s="22" t="s">
        <v>17</v>
      </c>
      <c r="M607" s="23" t="s">
        <v>22</v>
      </c>
    </row>
    <row r="608" spans="1:13" x14ac:dyDescent="0.35">
      <c r="A608" s="22" t="s">
        <v>789</v>
      </c>
      <c r="B608" s="22" t="s">
        <v>1694</v>
      </c>
      <c r="C608" s="22" t="s">
        <v>12</v>
      </c>
      <c r="D608" s="22" t="s">
        <v>39</v>
      </c>
      <c r="E608" s="22" t="s">
        <v>33</v>
      </c>
      <c r="F608" s="22" t="s">
        <v>25</v>
      </c>
      <c r="G608" s="22" t="s">
        <v>21</v>
      </c>
      <c r="H608" s="22">
        <v>31</v>
      </c>
      <c r="I608" s="24">
        <v>43714</v>
      </c>
      <c r="J608" s="27">
        <v>840</v>
      </c>
      <c r="K608" s="25">
        <v>0.36</v>
      </c>
      <c r="L608" s="22" t="s">
        <v>30</v>
      </c>
      <c r="M608" s="23" t="s">
        <v>61</v>
      </c>
    </row>
    <row r="609" spans="1:13" x14ac:dyDescent="0.35">
      <c r="A609" s="22" t="s">
        <v>790</v>
      </c>
      <c r="B609" s="22" t="s">
        <v>1695</v>
      </c>
      <c r="C609" s="22" t="s">
        <v>38</v>
      </c>
      <c r="D609" s="22" t="s">
        <v>56</v>
      </c>
      <c r="E609" s="22" t="s">
        <v>33</v>
      </c>
      <c r="F609" s="22" t="s">
        <v>15</v>
      </c>
      <c r="G609" s="22" t="s">
        <v>21</v>
      </c>
      <c r="H609" s="22">
        <v>31</v>
      </c>
      <c r="I609" s="24">
        <v>43238</v>
      </c>
      <c r="J609" s="27">
        <v>668</v>
      </c>
      <c r="K609" s="25">
        <v>0</v>
      </c>
      <c r="L609" s="22" t="s">
        <v>30</v>
      </c>
      <c r="M609" s="23" t="s">
        <v>61</v>
      </c>
    </row>
    <row r="610" spans="1:13" x14ac:dyDescent="0.35">
      <c r="A610" s="22" t="s">
        <v>791</v>
      </c>
      <c r="B610" s="22" t="s">
        <v>1696</v>
      </c>
      <c r="C610" s="22" t="s">
        <v>57</v>
      </c>
      <c r="D610" s="22" t="s">
        <v>56</v>
      </c>
      <c r="E610" s="22" t="s">
        <v>33</v>
      </c>
      <c r="F610" s="22" t="s">
        <v>25</v>
      </c>
      <c r="G610" s="22" t="s">
        <v>16</v>
      </c>
      <c r="H610" s="22">
        <v>47</v>
      </c>
      <c r="I610" s="24">
        <v>42122</v>
      </c>
      <c r="J610" s="27">
        <v>748</v>
      </c>
      <c r="K610" s="25">
        <v>0</v>
      </c>
      <c r="L610" s="22" t="s">
        <v>17</v>
      </c>
      <c r="M610" s="23" t="s">
        <v>26</v>
      </c>
    </row>
    <row r="611" spans="1:13" x14ac:dyDescent="0.35">
      <c r="A611" s="22" t="s">
        <v>792</v>
      </c>
      <c r="B611" s="22" t="s">
        <v>1697</v>
      </c>
      <c r="C611" s="22" t="s">
        <v>77</v>
      </c>
      <c r="D611" s="22" t="s">
        <v>24</v>
      </c>
      <c r="E611" s="22" t="s">
        <v>33</v>
      </c>
      <c r="F611" s="22" t="s">
        <v>25</v>
      </c>
      <c r="G611" s="22" t="s">
        <v>44</v>
      </c>
      <c r="H611" s="22">
        <v>60</v>
      </c>
      <c r="I611" s="24">
        <v>38910</v>
      </c>
      <c r="J611" s="27">
        <v>552</v>
      </c>
      <c r="K611" s="25">
        <v>0</v>
      </c>
      <c r="L611" s="22" t="s">
        <v>17</v>
      </c>
      <c r="M611" s="23" t="s">
        <v>22</v>
      </c>
    </row>
    <row r="612" spans="1:13" x14ac:dyDescent="0.35">
      <c r="A612" s="22" t="s">
        <v>793</v>
      </c>
      <c r="B612" s="22" t="s">
        <v>1698</v>
      </c>
      <c r="C612" s="22" t="s">
        <v>27</v>
      </c>
      <c r="D612" s="22" t="s">
        <v>28</v>
      </c>
      <c r="E612" s="22" t="s">
        <v>14</v>
      </c>
      <c r="F612" s="22" t="s">
        <v>25</v>
      </c>
      <c r="G612" s="22" t="s">
        <v>44</v>
      </c>
      <c r="H612" s="22">
        <v>42</v>
      </c>
      <c r="I612" s="24">
        <v>42810</v>
      </c>
      <c r="J612" s="27">
        <v>894</v>
      </c>
      <c r="K612" s="25">
        <v>0</v>
      </c>
      <c r="L612" s="22" t="s">
        <v>45</v>
      </c>
      <c r="M612" s="23" t="s">
        <v>46</v>
      </c>
    </row>
    <row r="613" spans="1:13" x14ac:dyDescent="0.35">
      <c r="A613" s="22" t="s">
        <v>208</v>
      </c>
      <c r="B613" s="22" t="s">
        <v>1699</v>
      </c>
      <c r="C613" s="22" t="s">
        <v>12</v>
      </c>
      <c r="D613" s="22" t="s">
        <v>24</v>
      </c>
      <c r="E613" s="22" t="s">
        <v>33</v>
      </c>
      <c r="F613" s="22" t="s">
        <v>15</v>
      </c>
      <c r="G613" s="22" t="s">
        <v>21</v>
      </c>
      <c r="H613" s="22">
        <v>26</v>
      </c>
      <c r="I613" s="24">
        <v>44533</v>
      </c>
      <c r="J613" s="27">
        <v>900</v>
      </c>
      <c r="K613" s="25">
        <v>0.31</v>
      </c>
      <c r="L613" s="22" t="s">
        <v>17</v>
      </c>
      <c r="M613" s="23" t="s">
        <v>18</v>
      </c>
    </row>
    <row r="614" spans="1:13" x14ac:dyDescent="0.35">
      <c r="A614" s="22" t="s">
        <v>794</v>
      </c>
      <c r="B614" s="22" t="s">
        <v>1700</v>
      </c>
      <c r="C614" s="22" t="s">
        <v>53</v>
      </c>
      <c r="D614" s="22" t="s">
        <v>13</v>
      </c>
      <c r="E614" s="22" t="s">
        <v>29</v>
      </c>
      <c r="F614" s="22" t="s">
        <v>25</v>
      </c>
      <c r="G614" s="22" t="s">
        <v>16</v>
      </c>
      <c r="H614" s="22">
        <v>57</v>
      </c>
      <c r="I614" s="24">
        <v>40651</v>
      </c>
      <c r="J614" s="27">
        <v>677</v>
      </c>
      <c r="K614" s="25">
        <v>0.1</v>
      </c>
      <c r="L614" s="22" t="s">
        <v>17</v>
      </c>
      <c r="M614" s="23" t="s">
        <v>40</v>
      </c>
    </row>
    <row r="615" spans="1:13" x14ac:dyDescent="0.35">
      <c r="A615" s="22" t="s">
        <v>795</v>
      </c>
      <c r="B615" s="22" t="s">
        <v>1701</v>
      </c>
      <c r="C615" s="22" t="s">
        <v>36</v>
      </c>
      <c r="D615" s="22" t="s">
        <v>28</v>
      </c>
      <c r="E615" s="22" t="s">
        <v>14</v>
      </c>
      <c r="F615" s="22" t="s">
        <v>15</v>
      </c>
      <c r="G615" s="22" t="s">
        <v>44</v>
      </c>
      <c r="H615" s="22">
        <v>25</v>
      </c>
      <c r="I615" s="24">
        <v>44876</v>
      </c>
      <c r="J615" s="27">
        <v>962</v>
      </c>
      <c r="K615" s="25">
        <v>0.16</v>
      </c>
      <c r="L615" s="22" t="s">
        <v>45</v>
      </c>
      <c r="M615" s="23" t="s">
        <v>66</v>
      </c>
    </row>
    <row r="616" spans="1:13" x14ac:dyDescent="0.35">
      <c r="A616" s="22" t="s">
        <v>796</v>
      </c>
      <c r="B616" s="22" t="s">
        <v>1702</v>
      </c>
      <c r="C616" s="22" t="s">
        <v>68</v>
      </c>
      <c r="D616" s="22" t="s">
        <v>20</v>
      </c>
      <c r="E616" s="22" t="s">
        <v>29</v>
      </c>
      <c r="F616" s="22" t="s">
        <v>25</v>
      </c>
      <c r="G616" s="22" t="s">
        <v>21</v>
      </c>
      <c r="H616" s="22">
        <v>53</v>
      </c>
      <c r="I616" s="24">
        <v>42472</v>
      </c>
      <c r="J616" s="27">
        <v>567</v>
      </c>
      <c r="K616" s="25">
        <v>0</v>
      </c>
      <c r="L616" s="22" t="s">
        <v>17</v>
      </c>
      <c r="M616" s="23" t="s">
        <v>54</v>
      </c>
    </row>
    <row r="617" spans="1:13" x14ac:dyDescent="0.35">
      <c r="A617" s="22" t="s">
        <v>797</v>
      </c>
      <c r="B617" s="22" t="s">
        <v>1703</v>
      </c>
      <c r="C617" s="22" t="s">
        <v>36</v>
      </c>
      <c r="D617" s="22" t="s">
        <v>24</v>
      </c>
      <c r="E617" s="22" t="s">
        <v>1102</v>
      </c>
      <c r="F617" s="22" t="s">
        <v>25</v>
      </c>
      <c r="G617" s="22" t="s">
        <v>41</v>
      </c>
      <c r="H617" s="22">
        <v>43</v>
      </c>
      <c r="I617" s="24">
        <v>37695</v>
      </c>
      <c r="J617" s="27">
        <v>938</v>
      </c>
      <c r="K617" s="25">
        <v>0.25</v>
      </c>
      <c r="L617" s="22" t="s">
        <v>17</v>
      </c>
      <c r="M617" s="23" t="s">
        <v>18</v>
      </c>
    </row>
    <row r="618" spans="1:13" x14ac:dyDescent="0.35">
      <c r="A618" s="22" t="s">
        <v>798</v>
      </c>
      <c r="B618" s="22" t="s">
        <v>1704</v>
      </c>
      <c r="C618" s="22" t="s">
        <v>57</v>
      </c>
      <c r="D618" s="22" t="s">
        <v>56</v>
      </c>
      <c r="E618" s="22" t="s">
        <v>29</v>
      </c>
      <c r="F618" s="22" t="s">
        <v>15</v>
      </c>
      <c r="G618" s="22" t="s">
        <v>16</v>
      </c>
      <c r="H618" s="22">
        <v>49</v>
      </c>
      <c r="I618" s="24">
        <v>37305</v>
      </c>
      <c r="J618" s="27">
        <v>812</v>
      </c>
      <c r="K618" s="25">
        <v>0</v>
      </c>
      <c r="L618" s="22" t="s">
        <v>17</v>
      </c>
      <c r="M618" s="23" t="s">
        <v>18</v>
      </c>
    </row>
    <row r="619" spans="1:13" x14ac:dyDescent="0.35">
      <c r="A619" s="22" t="s">
        <v>799</v>
      </c>
      <c r="B619" s="22" t="s">
        <v>1705</v>
      </c>
      <c r="C619" s="22" t="s">
        <v>68</v>
      </c>
      <c r="D619" s="22" t="s">
        <v>20</v>
      </c>
      <c r="E619" s="22" t="s">
        <v>14</v>
      </c>
      <c r="F619" s="22" t="s">
        <v>15</v>
      </c>
      <c r="G619" s="22" t="s">
        <v>21</v>
      </c>
      <c r="H619" s="22">
        <v>61</v>
      </c>
      <c r="I619" s="24">
        <v>35303</v>
      </c>
      <c r="J619" s="27">
        <v>706</v>
      </c>
      <c r="K619" s="25">
        <v>0</v>
      </c>
      <c r="L619" s="22" t="s">
        <v>17</v>
      </c>
      <c r="M619" s="23" t="s">
        <v>26</v>
      </c>
    </row>
    <row r="620" spans="1:13" x14ac:dyDescent="0.35">
      <c r="A620" s="22" t="s">
        <v>800</v>
      </c>
      <c r="B620" s="22" t="s">
        <v>1706</v>
      </c>
      <c r="C620" s="22" t="s">
        <v>76</v>
      </c>
      <c r="D620" s="22" t="s">
        <v>28</v>
      </c>
      <c r="E620" s="22" t="s">
        <v>14</v>
      </c>
      <c r="F620" s="22" t="s">
        <v>25</v>
      </c>
      <c r="G620" s="22" t="s">
        <v>44</v>
      </c>
      <c r="H620" s="22">
        <v>41</v>
      </c>
      <c r="I620" s="24">
        <v>40252</v>
      </c>
      <c r="J620" s="27">
        <v>579</v>
      </c>
      <c r="K620" s="25">
        <v>0.1</v>
      </c>
      <c r="L620" s="22" t="s">
        <v>17</v>
      </c>
      <c r="M620" s="23" t="s">
        <v>35</v>
      </c>
    </row>
    <row r="621" spans="1:13" x14ac:dyDescent="0.35">
      <c r="A621" s="22" t="s">
        <v>801</v>
      </c>
      <c r="B621" s="22" t="s">
        <v>1707</v>
      </c>
      <c r="C621" s="22" t="s">
        <v>59</v>
      </c>
      <c r="D621" s="22" t="s">
        <v>24</v>
      </c>
      <c r="E621" s="22" t="s">
        <v>33</v>
      </c>
      <c r="F621" s="22" t="s">
        <v>15</v>
      </c>
      <c r="G621" s="22" t="s">
        <v>16</v>
      </c>
      <c r="H621" s="22">
        <v>56</v>
      </c>
      <c r="I621" s="24">
        <v>43463</v>
      </c>
      <c r="J621" s="27">
        <v>743</v>
      </c>
      <c r="K621" s="25">
        <v>0</v>
      </c>
      <c r="L621" s="22" t="s">
        <v>17</v>
      </c>
      <c r="M621" s="23" t="s">
        <v>40</v>
      </c>
    </row>
    <row r="622" spans="1:13" x14ac:dyDescent="0.35">
      <c r="A622" s="22" t="s">
        <v>802</v>
      </c>
      <c r="B622" s="22" t="s">
        <v>1708</v>
      </c>
      <c r="C622" s="22" t="s">
        <v>76</v>
      </c>
      <c r="D622" s="22" t="s">
        <v>28</v>
      </c>
      <c r="E622" s="22" t="s">
        <v>1102</v>
      </c>
      <c r="F622" s="22" t="s">
        <v>25</v>
      </c>
      <c r="G622" s="22" t="s">
        <v>16</v>
      </c>
      <c r="H622" s="22">
        <v>49</v>
      </c>
      <c r="I622" s="24">
        <v>37370</v>
      </c>
      <c r="J622" s="27">
        <v>579</v>
      </c>
      <c r="K622" s="25">
        <v>0.1</v>
      </c>
      <c r="L622" s="22" t="s">
        <v>17</v>
      </c>
      <c r="M622" s="23" t="s">
        <v>26</v>
      </c>
    </row>
    <row r="623" spans="1:13" x14ac:dyDescent="0.35">
      <c r="A623" s="22" t="s">
        <v>803</v>
      </c>
      <c r="B623" s="22" t="s">
        <v>1709</v>
      </c>
      <c r="C623" s="22" t="s">
        <v>83</v>
      </c>
      <c r="D623" s="22" t="s">
        <v>28</v>
      </c>
      <c r="E623" s="22" t="s">
        <v>1102</v>
      </c>
      <c r="F623" s="22" t="s">
        <v>15</v>
      </c>
      <c r="G623" s="22" t="s">
        <v>21</v>
      </c>
      <c r="H623" s="22">
        <v>32</v>
      </c>
      <c r="I623" s="24">
        <v>41753</v>
      </c>
      <c r="J623" s="27">
        <v>583</v>
      </c>
      <c r="K623" s="25">
        <v>0</v>
      </c>
      <c r="L623" s="22" t="s">
        <v>30</v>
      </c>
      <c r="M623" s="23" t="s">
        <v>52</v>
      </c>
    </row>
    <row r="624" spans="1:13" x14ac:dyDescent="0.35">
      <c r="A624" s="22" t="s">
        <v>804</v>
      </c>
      <c r="B624" s="22" t="s">
        <v>1710</v>
      </c>
      <c r="C624" s="22" t="s">
        <v>55</v>
      </c>
      <c r="D624" s="22" t="s">
        <v>56</v>
      </c>
      <c r="E624" s="22" t="s">
        <v>29</v>
      </c>
      <c r="F624" s="22" t="s">
        <v>15</v>
      </c>
      <c r="G624" s="22" t="s">
        <v>16</v>
      </c>
      <c r="H624" s="22">
        <v>30</v>
      </c>
      <c r="I624" s="24">
        <v>42592</v>
      </c>
      <c r="J624" s="27">
        <v>925</v>
      </c>
      <c r="K624" s="25">
        <v>0</v>
      </c>
      <c r="L624" s="22" t="s">
        <v>17</v>
      </c>
      <c r="M624" s="23" t="s">
        <v>54</v>
      </c>
    </row>
    <row r="625" spans="1:13" x14ac:dyDescent="0.35">
      <c r="A625" s="22" t="s">
        <v>805</v>
      </c>
      <c r="B625" s="22" t="s">
        <v>1711</v>
      </c>
      <c r="C625" s="22" t="s">
        <v>53</v>
      </c>
      <c r="D625" s="22" t="s">
        <v>13</v>
      </c>
      <c r="E625" s="22" t="s">
        <v>1102</v>
      </c>
      <c r="F625" s="22" t="s">
        <v>25</v>
      </c>
      <c r="G625" s="22" t="s">
        <v>21</v>
      </c>
      <c r="H625" s="22">
        <v>64</v>
      </c>
      <c r="I625" s="24">
        <v>37815</v>
      </c>
      <c r="J625" s="27">
        <v>538</v>
      </c>
      <c r="K625" s="25">
        <v>0.05</v>
      </c>
      <c r="L625" s="22" t="s">
        <v>17</v>
      </c>
      <c r="M625" s="23" t="s">
        <v>40</v>
      </c>
    </row>
    <row r="626" spans="1:13" x14ac:dyDescent="0.35">
      <c r="A626" s="22" t="s">
        <v>806</v>
      </c>
      <c r="B626" s="22" t="s">
        <v>1712</v>
      </c>
      <c r="C626" s="22" t="s">
        <v>59</v>
      </c>
      <c r="D626" s="22" t="s">
        <v>24</v>
      </c>
      <c r="E626" s="22" t="s">
        <v>1102</v>
      </c>
      <c r="F626" s="22" t="s">
        <v>25</v>
      </c>
      <c r="G626" s="22" t="s">
        <v>44</v>
      </c>
      <c r="H626" s="22">
        <v>57</v>
      </c>
      <c r="I626" s="24">
        <v>44762</v>
      </c>
      <c r="J626" s="27">
        <v>891</v>
      </c>
      <c r="K626" s="25">
        <v>0</v>
      </c>
      <c r="L626" s="22" t="s">
        <v>45</v>
      </c>
      <c r="M626" s="23" t="s">
        <v>46</v>
      </c>
    </row>
    <row r="627" spans="1:13" x14ac:dyDescent="0.35">
      <c r="A627" s="22" t="s">
        <v>277</v>
      </c>
      <c r="B627" s="22" t="s">
        <v>1713</v>
      </c>
      <c r="C627" s="22" t="s">
        <v>12</v>
      </c>
      <c r="D627" s="22" t="s">
        <v>39</v>
      </c>
      <c r="E627" s="22" t="s">
        <v>1102</v>
      </c>
      <c r="F627" s="22" t="s">
        <v>15</v>
      </c>
      <c r="G627" s="22" t="s">
        <v>16</v>
      </c>
      <c r="H627" s="22">
        <v>50</v>
      </c>
      <c r="I627" s="24">
        <v>43280</v>
      </c>
      <c r="J627" s="27">
        <v>880</v>
      </c>
      <c r="K627" s="25">
        <v>0.35</v>
      </c>
      <c r="L627" s="22" t="s">
        <v>17</v>
      </c>
      <c r="M627" s="23" t="s">
        <v>40</v>
      </c>
    </row>
    <row r="628" spans="1:13" x14ac:dyDescent="0.35">
      <c r="A628" s="22" t="s">
        <v>125</v>
      </c>
      <c r="B628" s="22" t="s">
        <v>1714</v>
      </c>
      <c r="C628" s="22" t="s">
        <v>53</v>
      </c>
      <c r="D628" s="22" t="s">
        <v>43</v>
      </c>
      <c r="E628" s="22" t="s">
        <v>33</v>
      </c>
      <c r="F628" s="22" t="s">
        <v>25</v>
      </c>
      <c r="G628" s="22" t="s">
        <v>21</v>
      </c>
      <c r="H628" s="22">
        <v>61</v>
      </c>
      <c r="I628" s="24">
        <v>37894</v>
      </c>
      <c r="J628" s="27">
        <v>919</v>
      </c>
      <c r="K628" s="25">
        <v>0.09</v>
      </c>
      <c r="L628" s="22" t="s">
        <v>17</v>
      </c>
      <c r="M628" s="23" t="s">
        <v>54</v>
      </c>
    </row>
    <row r="629" spans="1:13" x14ac:dyDescent="0.35">
      <c r="A629" s="22" t="s">
        <v>807</v>
      </c>
      <c r="B629" s="22" t="s">
        <v>1715</v>
      </c>
      <c r="C629" s="22" t="s">
        <v>53</v>
      </c>
      <c r="D629" s="22" t="s">
        <v>13</v>
      </c>
      <c r="E629" s="22" t="s">
        <v>33</v>
      </c>
      <c r="F629" s="22" t="s">
        <v>25</v>
      </c>
      <c r="G629" s="22" t="s">
        <v>21</v>
      </c>
      <c r="H629" s="22">
        <v>43</v>
      </c>
      <c r="I629" s="24">
        <v>38747</v>
      </c>
      <c r="J629" s="27">
        <v>857</v>
      </c>
      <c r="K629" s="25">
        <v>0.1</v>
      </c>
      <c r="L629" s="22" t="s">
        <v>30</v>
      </c>
      <c r="M629" s="23" t="s">
        <v>65</v>
      </c>
    </row>
    <row r="630" spans="1:13" x14ac:dyDescent="0.35">
      <c r="A630" s="22" t="s">
        <v>808</v>
      </c>
      <c r="B630" s="22" t="s">
        <v>1716</v>
      </c>
      <c r="C630" s="22" t="s">
        <v>53</v>
      </c>
      <c r="D630" s="22" t="s">
        <v>39</v>
      </c>
      <c r="E630" s="22" t="s">
        <v>14</v>
      </c>
      <c r="F630" s="22" t="s">
        <v>15</v>
      </c>
      <c r="G630" s="22" t="s">
        <v>21</v>
      </c>
      <c r="H630" s="22">
        <v>26</v>
      </c>
      <c r="I630" s="24">
        <v>44622</v>
      </c>
      <c r="J630" s="27">
        <v>998</v>
      </c>
      <c r="K630" s="25">
        <v>0.09</v>
      </c>
      <c r="L630" s="22" t="s">
        <v>17</v>
      </c>
      <c r="M630" s="23" t="s">
        <v>26</v>
      </c>
    </row>
    <row r="631" spans="1:13" x14ac:dyDescent="0.35">
      <c r="A631" s="22" t="s">
        <v>809</v>
      </c>
      <c r="B631" s="22" t="s">
        <v>1717</v>
      </c>
      <c r="C631" s="22" t="s">
        <v>72</v>
      </c>
      <c r="D631" s="22" t="s">
        <v>24</v>
      </c>
      <c r="E631" s="22" t="s">
        <v>33</v>
      </c>
      <c r="F631" s="22" t="s">
        <v>15</v>
      </c>
      <c r="G631" s="22" t="s">
        <v>21</v>
      </c>
      <c r="H631" s="22">
        <v>54</v>
      </c>
      <c r="I631" s="24">
        <v>40864</v>
      </c>
      <c r="J631" s="27">
        <v>832</v>
      </c>
      <c r="K631" s="25">
        <v>0</v>
      </c>
      <c r="L631" s="22" t="s">
        <v>17</v>
      </c>
      <c r="M631" s="23" t="s">
        <v>22</v>
      </c>
    </row>
    <row r="632" spans="1:13" x14ac:dyDescent="0.35">
      <c r="A632" s="22" t="s">
        <v>194</v>
      </c>
      <c r="B632" s="22" t="s">
        <v>1718</v>
      </c>
      <c r="C632" s="22" t="s">
        <v>53</v>
      </c>
      <c r="D632" s="22" t="s">
        <v>13</v>
      </c>
      <c r="E632" s="22" t="s">
        <v>14</v>
      </c>
      <c r="F632" s="22" t="s">
        <v>15</v>
      </c>
      <c r="G632" s="22" t="s">
        <v>44</v>
      </c>
      <c r="H632" s="22">
        <v>49</v>
      </c>
      <c r="I632" s="24">
        <v>38392</v>
      </c>
      <c r="J632" s="27">
        <v>799</v>
      </c>
      <c r="K632" s="25">
        <v>0.08</v>
      </c>
      <c r="L632" s="22" t="s">
        <v>17</v>
      </c>
      <c r="M632" s="23" t="s">
        <v>54</v>
      </c>
    </row>
    <row r="633" spans="1:13" x14ac:dyDescent="0.35">
      <c r="A633" s="22" t="s">
        <v>200</v>
      </c>
      <c r="B633" s="22" t="s">
        <v>1719</v>
      </c>
      <c r="C633" s="22" t="s">
        <v>55</v>
      </c>
      <c r="D633" s="22" t="s">
        <v>43</v>
      </c>
      <c r="E633" s="22" t="s">
        <v>14</v>
      </c>
      <c r="F633" s="22" t="s">
        <v>15</v>
      </c>
      <c r="G633" s="22" t="s">
        <v>16</v>
      </c>
      <c r="H633" s="22">
        <v>32</v>
      </c>
      <c r="I633" s="24">
        <v>43155</v>
      </c>
      <c r="J633" s="27">
        <v>963</v>
      </c>
      <c r="K633" s="25">
        <v>0</v>
      </c>
      <c r="L633" s="22" t="s">
        <v>17</v>
      </c>
      <c r="M633" s="23" t="s">
        <v>26</v>
      </c>
    </row>
    <row r="634" spans="1:13" x14ac:dyDescent="0.35">
      <c r="A634" s="22" t="s">
        <v>810</v>
      </c>
      <c r="B634" s="22" t="s">
        <v>1720</v>
      </c>
      <c r="C634" s="22" t="s">
        <v>1111</v>
      </c>
      <c r="D634" s="22" t="s">
        <v>43</v>
      </c>
      <c r="E634" s="22" t="s">
        <v>14</v>
      </c>
      <c r="F634" s="22" t="s">
        <v>15</v>
      </c>
      <c r="G634" s="22" t="s">
        <v>44</v>
      </c>
      <c r="H634" s="22">
        <v>62</v>
      </c>
      <c r="I634" s="24">
        <v>39824</v>
      </c>
      <c r="J634" s="27">
        <v>688</v>
      </c>
      <c r="K634" s="25">
        <v>0.15</v>
      </c>
      <c r="L634" s="22" t="s">
        <v>17</v>
      </c>
      <c r="M634" s="23" t="s">
        <v>26</v>
      </c>
    </row>
    <row r="635" spans="1:13" x14ac:dyDescent="0.35">
      <c r="A635" s="22" t="s">
        <v>811</v>
      </c>
      <c r="B635" s="22" t="s">
        <v>1721</v>
      </c>
      <c r="C635" s="22" t="s">
        <v>60</v>
      </c>
      <c r="D635" s="22" t="s">
        <v>24</v>
      </c>
      <c r="E635" s="22" t="s">
        <v>1102</v>
      </c>
      <c r="F635" s="22" t="s">
        <v>15</v>
      </c>
      <c r="G635" s="22" t="s">
        <v>21</v>
      </c>
      <c r="H635" s="22">
        <v>64</v>
      </c>
      <c r="I635" s="24">
        <v>44854</v>
      </c>
      <c r="J635" s="27">
        <v>782</v>
      </c>
      <c r="K635" s="25">
        <v>0</v>
      </c>
      <c r="L635" s="22" t="s">
        <v>30</v>
      </c>
      <c r="M635" s="23" t="s">
        <v>31</v>
      </c>
    </row>
    <row r="636" spans="1:13" x14ac:dyDescent="0.35">
      <c r="A636" s="22" t="s">
        <v>812</v>
      </c>
      <c r="B636" s="22" t="s">
        <v>1722</v>
      </c>
      <c r="C636" s="22" t="s">
        <v>47</v>
      </c>
      <c r="D636" s="22" t="s">
        <v>24</v>
      </c>
      <c r="E636" s="22" t="s">
        <v>14</v>
      </c>
      <c r="F636" s="22" t="s">
        <v>15</v>
      </c>
      <c r="G636" s="22" t="s">
        <v>44</v>
      </c>
      <c r="H636" s="22">
        <v>52</v>
      </c>
      <c r="I636" s="24">
        <v>40713</v>
      </c>
      <c r="J636" s="27">
        <v>709</v>
      </c>
      <c r="K636" s="25">
        <v>0</v>
      </c>
      <c r="L636" s="22" t="s">
        <v>45</v>
      </c>
      <c r="M636" s="23" t="s">
        <v>46</v>
      </c>
    </row>
    <row r="637" spans="1:13" x14ac:dyDescent="0.35">
      <c r="A637" s="22" t="s">
        <v>813</v>
      </c>
      <c r="B637" s="22" t="s">
        <v>1723</v>
      </c>
      <c r="C637" s="22" t="s">
        <v>1111</v>
      </c>
      <c r="D637" s="22" t="s">
        <v>20</v>
      </c>
      <c r="E637" s="22" t="s">
        <v>1102</v>
      </c>
      <c r="F637" s="22" t="s">
        <v>15</v>
      </c>
      <c r="G637" s="22" t="s">
        <v>44</v>
      </c>
      <c r="H637" s="22">
        <v>42</v>
      </c>
      <c r="I637" s="24">
        <v>43570</v>
      </c>
      <c r="J637" s="27">
        <v>785</v>
      </c>
      <c r="K637" s="25">
        <v>0.12</v>
      </c>
      <c r="L637" s="22" t="s">
        <v>17</v>
      </c>
      <c r="M637" s="23" t="s">
        <v>22</v>
      </c>
    </row>
    <row r="638" spans="1:13" x14ac:dyDescent="0.35">
      <c r="A638" s="22" t="s">
        <v>814</v>
      </c>
      <c r="B638" s="22" t="s">
        <v>1724</v>
      </c>
      <c r="C638" s="22" t="s">
        <v>19</v>
      </c>
      <c r="D638" s="22" t="s">
        <v>20</v>
      </c>
      <c r="E638" s="22" t="s">
        <v>29</v>
      </c>
      <c r="F638" s="22" t="s">
        <v>25</v>
      </c>
      <c r="G638" s="22" t="s">
        <v>21</v>
      </c>
      <c r="H638" s="22">
        <v>45</v>
      </c>
      <c r="I638" s="24">
        <v>42878</v>
      </c>
      <c r="J638" s="27">
        <v>967</v>
      </c>
      <c r="K638" s="25">
        <v>0</v>
      </c>
      <c r="L638" s="22" t="s">
        <v>30</v>
      </c>
      <c r="M638" s="23" t="s">
        <v>52</v>
      </c>
    </row>
    <row r="639" spans="1:13" x14ac:dyDescent="0.35">
      <c r="A639" s="22" t="s">
        <v>160</v>
      </c>
      <c r="B639" s="22" t="s">
        <v>1725</v>
      </c>
      <c r="C639" s="22" t="s">
        <v>55</v>
      </c>
      <c r="D639" s="22" t="s">
        <v>43</v>
      </c>
      <c r="E639" s="22" t="s">
        <v>29</v>
      </c>
      <c r="F639" s="22" t="s">
        <v>25</v>
      </c>
      <c r="G639" s="22" t="s">
        <v>21</v>
      </c>
      <c r="H639" s="22">
        <v>65</v>
      </c>
      <c r="I639" s="24">
        <v>35824</v>
      </c>
      <c r="J639" s="27">
        <v>689</v>
      </c>
      <c r="K639" s="25">
        <v>0</v>
      </c>
      <c r="L639" s="22" t="s">
        <v>17</v>
      </c>
      <c r="M639" s="23" t="s">
        <v>22</v>
      </c>
    </row>
    <row r="640" spans="1:13" x14ac:dyDescent="0.35">
      <c r="A640" s="22" t="s">
        <v>815</v>
      </c>
      <c r="B640" s="22" t="s">
        <v>1726</v>
      </c>
      <c r="C640" s="22" t="s">
        <v>53</v>
      </c>
      <c r="D640" s="22" t="s">
        <v>20</v>
      </c>
      <c r="E640" s="22" t="s">
        <v>29</v>
      </c>
      <c r="F640" s="22" t="s">
        <v>15</v>
      </c>
      <c r="G640" s="22" t="s">
        <v>21</v>
      </c>
      <c r="H640" s="22">
        <v>46</v>
      </c>
      <c r="I640" s="24">
        <v>44206</v>
      </c>
      <c r="J640" s="27">
        <v>694</v>
      </c>
      <c r="K640" s="25">
        <v>0.08</v>
      </c>
      <c r="L640" s="22" t="s">
        <v>30</v>
      </c>
      <c r="M640" s="23" t="s">
        <v>31</v>
      </c>
    </row>
    <row r="641" spans="1:13" x14ac:dyDescent="0.35">
      <c r="A641" s="22" t="s">
        <v>816</v>
      </c>
      <c r="B641" s="22" t="s">
        <v>149</v>
      </c>
      <c r="C641" s="22" t="s">
        <v>71</v>
      </c>
      <c r="D641" s="22" t="s">
        <v>24</v>
      </c>
      <c r="E641" s="22" t="s">
        <v>29</v>
      </c>
      <c r="F641" s="22" t="s">
        <v>15</v>
      </c>
      <c r="G641" s="22" t="s">
        <v>44</v>
      </c>
      <c r="H641" s="22">
        <v>64</v>
      </c>
      <c r="I641" s="24">
        <v>44868</v>
      </c>
      <c r="J641" s="27">
        <v>569</v>
      </c>
      <c r="K641" s="25">
        <v>0</v>
      </c>
      <c r="L641" s="22" t="s">
        <v>45</v>
      </c>
      <c r="M641" s="23" t="s">
        <v>66</v>
      </c>
    </row>
    <row r="642" spans="1:13" x14ac:dyDescent="0.35">
      <c r="A642" s="22" t="s">
        <v>89</v>
      </c>
      <c r="B642" s="22" t="s">
        <v>1727</v>
      </c>
      <c r="C642" s="22" t="s">
        <v>12</v>
      </c>
      <c r="D642" s="22" t="s">
        <v>39</v>
      </c>
      <c r="E642" s="22" t="s">
        <v>33</v>
      </c>
      <c r="F642" s="22" t="s">
        <v>15</v>
      </c>
      <c r="G642" s="22" t="s">
        <v>21</v>
      </c>
      <c r="H642" s="22">
        <v>45</v>
      </c>
      <c r="I642" s="24">
        <v>39386</v>
      </c>
      <c r="J642" s="27">
        <v>837</v>
      </c>
      <c r="K642" s="25">
        <v>0.37</v>
      </c>
      <c r="L642" s="22" t="s">
        <v>17</v>
      </c>
      <c r="M642" s="23" t="s">
        <v>18</v>
      </c>
    </row>
    <row r="643" spans="1:13" x14ac:dyDescent="0.35">
      <c r="A643" s="22" t="s">
        <v>817</v>
      </c>
      <c r="B643" s="22" t="s">
        <v>1728</v>
      </c>
      <c r="C643" s="22" t="s">
        <v>23</v>
      </c>
      <c r="D643" s="22" t="s">
        <v>24</v>
      </c>
      <c r="E643" s="22" t="s">
        <v>1102</v>
      </c>
      <c r="F643" s="22" t="s">
        <v>15</v>
      </c>
      <c r="G643" s="22" t="s">
        <v>21</v>
      </c>
      <c r="H643" s="22">
        <v>32</v>
      </c>
      <c r="I643" s="24">
        <v>44547</v>
      </c>
      <c r="J643" s="27">
        <v>798</v>
      </c>
      <c r="K643" s="25">
        <v>0</v>
      </c>
      <c r="L643" s="22" t="s">
        <v>17</v>
      </c>
      <c r="M643" s="23" t="s">
        <v>35</v>
      </c>
    </row>
    <row r="644" spans="1:13" x14ac:dyDescent="0.35">
      <c r="A644" s="22" t="s">
        <v>818</v>
      </c>
      <c r="B644" s="22" t="s">
        <v>1729</v>
      </c>
      <c r="C644" s="22" t="s">
        <v>36</v>
      </c>
      <c r="D644" s="22" t="s">
        <v>28</v>
      </c>
      <c r="E644" s="22" t="s">
        <v>29</v>
      </c>
      <c r="F644" s="22" t="s">
        <v>15</v>
      </c>
      <c r="G644" s="22" t="s">
        <v>21</v>
      </c>
      <c r="H644" s="22">
        <v>56</v>
      </c>
      <c r="I644" s="24">
        <v>44739</v>
      </c>
      <c r="J644" s="27">
        <v>555</v>
      </c>
      <c r="K644" s="25">
        <v>0.18</v>
      </c>
      <c r="L644" s="22" t="s">
        <v>17</v>
      </c>
      <c r="M644" s="23" t="s">
        <v>18</v>
      </c>
    </row>
    <row r="645" spans="1:13" x14ac:dyDescent="0.35">
      <c r="A645" s="22" t="s">
        <v>819</v>
      </c>
      <c r="B645" s="22" t="s">
        <v>1730</v>
      </c>
      <c r="C645" s="22" t="s">
        <v>62</v>
      </c>
      <c r="D645" s="22" t="s">
        <v>24</v>
      </c>
      <c r="E645" s="22" t="s">
        <v>29</v>
      </c>
      <c r="F645" s="22" t="s">
        <v>25</v>
      </c>
      <c r="G645" s="22" t="s">
        <v>21</v>
      </c>
      <c r="H645" s="22">
        <v>46</v>
      </c>
      <c r="I645" s="24">
        <v>40892</v>
      </c>
      <c r="J645" s="27">
        <v>839</v>
      </c>
      <c r="K645" s="25">
        <v>0</v>
      </c>
      <c r="L645" s="22" t="s">
        <v>17</v>
      </c>
      <c r="M645" s="23" t="s">
        <v>22</v>
      </c>
    </row>
    <row r="646" spans="1:13" x14ac:dyDescent="0.35">
      <c r="A646" s="22" t="s">
        <v>820</v>
      </c>
      <c r="B646" s="22" t="s">
        <v>1722</v>
      </c>
      <c r="C646" s="22" t="s">
        <v>12</v>
      </c>
      <c r="D646" s="22" t="s">
        <v>20</v>
      </c>
      <c r="E646" s="22" t="s">
        <v>29</v>
      </c>
      <c r="F646" s="22" t="s">
        <v>15</v>
      </c>
      <c r="G646" s="22" t="s">
        <v>44</v>
      </c>
      <c r="H646" s="22">
        <v>26</v>
      </c>
      <c r="I646" s="24">
        <v>43973</v>
      </c>
      <c r="J646" s="27">
        <v>860</v>
      </c>
      <c r="K646" s="25">
        <v>0.4</v>
      </c>
      <c r="L646" s="22" t="s">
        <v>17</v>
      </c>
      <c r="M646" s="23" t="s">
        <v>18</v>
      </c>
    </row>
    <row r="647" spans="1:13" x14ac:dyDescent="0.35">
      <c r="A647" s="22" t="s">
        <v>821</v>
      </c>
      <c r="B647" s="22" t="s">
        <v>1731</v>
      </c>
      <c r="C647" s="22" t="s">
        <v>53</v>
      </c>
      <c r="D647" s="22" t="s">
        <v>20</v>
      </c>
      <c r="E647" s="22" t="s">
        <v>1102</v>
      </c>
      <c r="F647" s="22" t="s">
        <v>15</v>
      </c>
      <c r="G647" s="22" t="s">
        <v>16</v>
      </c>
      <c r="H647" s="22">
        <v>59</v>
      </c>
      <c r="I647" s="24">
        <v>42742</v>
      </c>
      <c r="J647" s="27">
        <v>885</v>
      </c>
      <c r="K647" s="25">
        <v>0.06</v>
      </c>
      <c r="L647" s="22" t="s">
        <v>17</v>
      </c>
      <c r="M647" s="23" t="s">
        <v>35</v>
      </c>
    </row>
    <row r="648" spans="1:13" x14ac:dyDescent="0.35">
      <c r="A648" s="22" t="s">
        <v>822</v>
      </c>
      <c r="B648" s="22" t="s">
        <v>1732</v>
      </c>
      <c r="C648" s="22" t="s">
        <v>77</v>
      </c>
      <c r="D648" s="22" t="s">
        <v>24</v>
      </c>
      <c r="E648" s="22" t="s">
        <v>29</v>
      </c>
      <c r="F648" s="22" t="s">
        <v>25</v>
      </c>
      <c r="G648" s="22" t="s">
        <v>41</v>
      </c>
      <c r="H648" s="22">
        <v>50</v>
      </c>
      <c r="I648" s="24">
        <v>43299</v>
      </c>
      <c r="J648" s="27">
        <v>909</v>
      </c>
      <c r="K648" s="25">
        <v>0</v>
      </c>
      <c r="L648" s="22" t="s">
        <v>17</v>
      </c>
      <c r="M648" s="23" t="s">
        <v>40</v>
      </c>
    </row>
    <row r="649" spans="1:13" x14ac:dyDescent="0.35">
      <c r="A649" s="22" t="s">
        <v>251</v>
      </c>
      <c r="B649" s="22" t="s">
        <v>1733</v>
      </c>
      <c r="C649" s="22" t="s">
        <v>50</v>
      </c>
      <c r="D649" s="22" t="s">
        <v>28</v>
      </c>
      <c r="E649" s="22" t="s">
        <v>14</v>
      </c>
      <c r="F649" s="22" t="s">
        <v>15</v>
      </c>
      <c r="G649" s="22" t="s">
        <v>16</v>
      </c>
      <c r="H649" s="22">
        <v>32</v>
      </c>
      <c r="I649" s="24">
        <v>43729</v>
      </c>
      <c r="J649" s="27">
        <v>844</v>
      </c>
      <c r="K649" s="25">
        <v>0</v>
      </c>
      <c r="L649" s="22" t="s">
        <v>17</v>
      </c>
      <c r="M649" s="23" t="s">
        <v>40</v>
      </c>
    </row>
    <row r="650" spans="1:13" x14ac:dyDescent="0.35">
      <c r="A650" s="22" t="s">
        <v>823</v>
      </c>
      <c r="B650" s="22" t="s">
        <v>1734</v>
      </c>
      <c r="C650" s="22" t="s">
        <v>57</v>
      </c>
      <c r="D650" s="22" t="s">
        <v>13</v>
      </c>
      <c r="E650" s="22" t="s">
        <v>33</v>
      </c>
      <c r="F650" s="22" t="s">
        <v>25</v>
      </c>
      <c r="G650" s="22" t="s">
        <v>44</v>
      </c>
      <c r="H650" s="22">
        <v>56</v>
      </c>
      <c r="I650" s="24">
        <v>37358</v>
      </c>
      <c r="J650" s="27">
        <v>858</v>
      </c>
      <c r="K650" s="25">
        <v>0</v>
      </c>
      <c r="L650" s="22" t="s">
        <v>45</v>
      </c>
      <c r="M650" s="23" t="s">
        <v>66</v>
      </c>
    </row>
    <row r="651" spans="1:13" x14ac:dyDescent="0.35">
      <c r="A651" s="22" t="s">
        <v>824</v>
      </c>
      <c r="B651" s="22" t="s">
        <v>1735</v>
      </c>
      <c r="C651" s="22" t="s">
        <v>27</v>
      </c>
      <c r="D651" s="22" t="s">
        <v>28</v>
      </c>
      <c r="E651" s="22" t="s">
        <v>14</v>
      </c>
      <c r="F651" s="22" t="s">
        <v>25</v>
      </c>
      <c r="G651" s="22" t="s">
        <v>21</v>
      </c>
      <c r="H651" s="22">
        <v>32</v>
      </c>
      <c r="I651" s="24">
        <v>43728</v>
      </c>
      <c r="J651" s="27">
        <v>689</v>
      </c>
      <c r="K651" s="25">
        <v>0</v>
      </c>
      <c r="L651" s="22" t="s">
        <v>30</v>
      </c>
      <c r="M651" s="23" t="s">
        <v>31</v>
      </c>
    </row>
    <row r="652" spans="1:13" x14ac:dyDescent="0.35">
      <c r="A652" s="22" t="s">
        <v>185</v>
      </c>
      <c r="B652" s="22" t="s">
        <v>1736</v>
      </c>
      <c r="C652" s="22" t="s">
        <v>57</v>
      </c>
      <c r="D652" s="22" t="s">
        <v>39</v>
      </c>
      <c r="E652" s="22" t="s">
        <v>33</v>
      </c>
      <c r="F652" s="22" t="s">
        <v>25</v>
      </c>
      <c r="G652" s="22" t="s">
        <v>21</v>
      </c>
      <c r="H652" s="22">
        <v>45</v>
      </c>
      <c r="I652" s="24">
        <v>38682</v>
      </c>
      <c r="J652" s="27">
        <v>892</v>
      </c>
      <c r="K652" s="25">
        <v>0</v>
      </c>
      <c r="L652" s="22" t="s">
        <v>30</v>
      </c>
      <c r="M652" s="23" t="s">
        <v>31</v>
      </c>
    </row>
    <row r="653" spans="1:13" x14ac:dyDescent="0.35">
      <c r="A653" s="22" t="s">
        <v>825</v>
      </c>
      <c r="B653" s="22" t="s">
        <v>1737</v>
      </c>
      <c r="C653" s="22" t="s">
        <v>1111</v>
      </c>
      <c r="D653" s="22" t="s">
        <v>39</v>
      </c>
      <c r="E653" s="22" t="s">
        <v>29</v>
      </c>
      <c r="F653" s="22" t="s">
        <v>25</v>
      </c>
      <c r="G653" s="22" t="s">
        <v>21</v>
      </c>
      <c r="H653" s="22">
        <v>43</v>
      </c>
      <c r="I653" s="24">
        <v>39282</v>
      </c>
      <c r="J653" s="27">
        <v>925</v>
      </c>
      <c r="K653" s="25">
        <v>0.13</v>
      </c>
      <c r="L653" s="22" t="s">
        <v>17</v>
      </c>
      <c r="M653" s="23" t="s">
        <v>22</v>
      </c>
    </row>
    <row r="654" spans="1:13" x14ac:dyDescent="0.35">
      <c r="A654" s="22" t="s">
        <v>826</v>
      </c>
      <c r="B654" s="22" t="s">
        <v>1738</v>
      </c>
      <c r="C654" s="22" t="s">
        <v>53</v>
      </c>
      <c r="D654" s="22" t="s">
        <v>24</v>
      </c>
      <c r="E654" s="22" t="s">
        <v>1102</v>
      </c>
      <c r="F654" s="22" t="s">
        <v>15</v>
      </c>
      <c r="G654" s="22" t="s">
        <v>21</v>
      </c>
      <c r="H654" s="22">
        <v>45</v>
      </c>
      <c r="I654" s="24">
        <v>37751</v>
      </c>
      <c r="J654" s="27">
        <v>609</v>
      </c>
      <c r="K654" s="25">
        <v>0.06</v>
      </c>
      <c r="L654" s="22" t="s">
        <v>17</v>
      </c>
      <c r="M654" s="23" t="s">
        <v>22</v>
      </c>
    </row>
    <row r="655" spans="1:13" x14ac:dyDescent="0.35">
      <c r="A655" s="22" t="s">
        <v>827</v>
      </c>
      <c r="B655" s="22" t="s">
        <v>1739</v>
      </c>
      <c r="C655" s="22" t="s">
        <v>57</v>
      </c>
      <c r="D655" s="22" t="s">
        <v>56</v>
      </c>
      <c r="E655" s="22" t="s">
        <v>1102</v>
      </c>
      <c r="F655" s="22" t="s">
        <v>25</v>
      </c>
      <c r="G655" s="22" t="s">
        <v>21</v>
      </c>
      <c r="H655" s="22">
        <v>38</v>
      </c>
      <c r="I655" s="24">
        <v>41454</v>
      </c>
      <c r="J655" s="27">
        <v>672</v>
      </c>
      <c r="K655" s="25">
        <v>0</v>
      </c>
      <c r="L655" s="22" t="s">
        <v>17</v>
      </c>
      <c r="M655" s="23" t="s">
        <v>26</v>
      </c>
    </row>
    <row r="656" spans="1:13" x14ac:dyDescent="0.35">
      <c r="A656" s="22" t="s">
        <v>828</v>
      </c>
      <c r="B656" s="22" t="s">
        <v>1740</v>
      </c>
      <c r="C656" s="22" t="s">
        <v>55</v>
      </c>
      <c r="D656" s="22" t="s">
        <v>43</v>
      </c>
      <c r="E656" s="22" t="s">
        <v>14</v>
      </c>
      <c r="F656" s="22" t="s">
        <v>15</v>
      </c>
      <c r="G656" s="22" t="s">
        <v>16</v>
      </c>
      <c r="H656" s="22">
        <v>46</v>
      </c>
      <c r="I656" s="24">
        <v>41860</v>
      </c>
      <c r="J656" s="27">
        <v>955</v>
      </c>
      <c r="K656" s="25">
        <v>0</v>
      </c>
      <c r="L656" s="22" t="s">
        <v>17</v>
      </c>
      <c r="M656" s="23" t="s">
        <v>54</v>
      </c>
    </row>
    <row r="657" spans="1:13" x14ac:dyDescent="0.35">
      <c r="A657" s="22" t="s">
        <v>829</v>
      </c>
      <c r="B657" s="22" t="s">
        <v>1741</v>
      </c>
      <c r="C657" s="22" t="s">
        <v>73</v>
      </c>
      <c r="D657" s="22" t="s">
        <v>24</v>
      </c>
      <c r="E657" s="22" t="s">
        <v>14</v>
      </c>
      <c r="F657" s="22" t="s">
        <v>25</v>
      </c>
      <c r="G657" s="22" t="s">
        <v>21</v>
      </c>
      <c r="H657" s="22">
        <v>26</v>
      </c>
      <c r="I657" s="24">
        <v>44558</v>
      </c>
      <c r="J657" s="27">
        <v>904</v>
      </c>
      <c r="K657" s="25">
        <v>0</v>
      </c>
      <c r="L657" s="22" t="s">
        <v>17</v>
      </c>
      <c r="M657" s="23" t="s">
        <v>26</v>
      </c>
    </row>
    <row r="658" spans="1:13" x14ac:dyDescent="0.35">
      <c r="A658" s="22" t="s">
        <v>830</v>
      </c>
      <c r="B658" s="22" t="s">
        <v>1742</v>
      </c>
      <c r="C658" s="22" t="s">
        <v>27</v>
      </c>
      <c r="D658" s="22" t="s">
        <v>28</v>
      </c>
      <c r="E658" s="22" t="s">
        <v>29</v>
      </c>
      <c r="F658" s="22" t="s">
        <v>15</v>
      </c>
      <c r="G658" s="22" t="s">
        <v>44</v>
      </c>
      <c r="H658" s="22">
        <v>27</v>
      </c>
      <c r="I658" s="24">
        <v>44059</v>
      </c>
      <c r="J658" s="27">
        <v>522</v>
      </c>
      <c r="K658" s="25">
        <v>0</v>
      </c>
      <c r="L658" s="22" t="s">
        <v>45</v>
      </c>
      <c r="M658" s="23" t="s">
        <v>46</v>
      </c>
    </row>
    <row r="659" spans="1:13" x14ac:dyDescent="0.35">
      <c r="A659" s="22" t="s">
        <v>831</v>
      </c>
      <c r="B659" s="22" t="s">
        <v>1743</v>
      </c>
      <c r="C659" s="22" t="s">
        <v>77</v>
      </c>
      <c r="D659" s="22" t="s">
        <v>24</v>
      </c>
      <c r="E659" s="22" t="s">
        <v>33</v>
      </c>
      <c r="F659" s="22" t="s">
        <v>15</v>
      </c>
      <c r="G659" s="22" t="s">
        <v>21</v>
      </c>
      <c r="H659" s="22">
        <v>48</v>
      </c>
      <c r="I659" s="24">
        <v>44501</v>
      </c>
      <c r="J659" s="27">
        <v>679</v>
      </c>
      <c r="K659" s="25">
        <v>0</v>
      </c>
      <c r="L659" s="22" t="s">
        <v>30</v>
      </c>
      <c r="M659" s="23" t="s">
        <v>31</v>
      </c>
    </row>
    <row r="660" spans="1:13" x14ac:dyDescent="0.35">
      <c r="A660" s="22" t="s">
        <v>832</v>
      </c>
      <c r="B660" s="22" t="s">
        <v>1744</v>
      </c>
      <c r="C660" s="22" t="s">
        <v>53</v>
      </c>
      <c r="D660" s="22" t="s">
        <v>20</v>
      </c>
      <c r="E660" s="22" t="s">
        <v>29</v>
      </c>
      <c r="F660" s="22" t="s">
        <v>15</v>
      </c>
      <c r="G660" s="22" t="s">
        <v>16</v>
      </c>
      <c r="H660" s="22">
        <v>57</v>
      </c>
      <c r="I660" s="24">
        <v>41411</v>
      </c>
      <c r="J660" s="27">
        <v>832</v>
      </c>
      <c r="K660" s="25">
        <v>0.06</v>
      </c>
      <c r="L660" s="22" t="s">
        <v>17</v>
      </c>
      <c r="M660" s="23" t="s">
        <v>35</v>
      </c>
    </row>
    <row r="661" spans="1:13" x14ac:dyDescent="0.35">
      <c r="A661" s="22" t="s">
        <v>279</v>
      </c>
      <c r="B661" s="22" t="s">
        <v>1745</v>
      </c>
      <c r="C661" s="22" t="s">
        <v>76</v>
      </c>
      <c r="D661" s="22" t="s">
        <v>28</v>
      </c>
      <c r="E661" s="22" t="s">
        <v>1102</v>
      </c>
      <c r="F661" s="22" t="s">
        <v>25</v>
      </c>
      <c r="G661" s="22" t="s">
        <v>16</v>
      </c>
      <c r="H661" s="22">
        <v>58</v>
      </c>
      <c r="I661" s="24">
        <v>37627</v>
      </c>
      <c r="J661" s="27">
        <v>701</v>
      </c>
      <c r="K661" s="25">
        <v>0.13</v>
      </c>
      <c r="L661" s="22" t="s">
        <v>17</v>
      </c>
      <c r="M661" s="23" t="s">
        <v>18</v>
      </c>
    </row>
    <row r="662" spans="1:13" x14ac:dyDescent="0.35">
      <c r="A662" s="22" t="s">
        <v>833</v>
      </c>
      <c r="B662" s="22" t="s">
        <v>1746</v>
      </c>
      <c r="C662" s="22" t="s">
        <v>53</v>
      </c>
      <c r="D662" s="22" t="s">
        <v>13</v>
      </c>
      <c r="E662" s="22" t="s">
        <v>29</v>
      </c>
      <c r="F662" s="22" t="s">
        <v>25</v>
      </c>
      <c r="G662" s="22" t="s">
        <v>16</v>
      </c>
      <c r="H662" s="22">
        <v>48</v>
      </c>
      <c r="I662" s="24">
        <v>40314</v>
      </c>
      <c r="J662" s="27">
        <v>845</v>
      </c>
      <c r="K662" s="25">
        <v>0.05</v>
      </c>
      <c r="L662" s="22" t="s">
        <v>17</v>
      </c>
      <c r="M662" s="23" t="s">
        <v>26</v>
      </c>
    </row>
    <row r="663" spans="1:13" x14ac:dyDescent="0.35">
      <c r="A663" s="22" t="s">
        <v>834</v>
      </c>
      <c r="B663" s="22" t="s">
        <v>1747</v>
      </c>
      <c r="C663" s="22" t="s">
        <v>1111</v>
      </c>
      <c r="D663" s="22" t="s">
        <v>20</v>
      </c>
      <c r="E663" s="22" t="s">
        <v>14</v>
      </c>
      <c r="F663" s="22" t="s">
        <v>25</v>
      </c>
      <c r="G663" s="22" t="s">
        <v>21</v>
      </c>
      <c r="H663" s="22">
        <v>54</v>
      </c>
      <c r="I663" s="24">
        <v>34779</v>
      </c>
      <c r="J663" s="27">
        <v>555</v>
      </c>
      <c r="K663" s="25">
        <v>0.12</v>
      </c>
      <c r="L663" s="22" t="s">
        <v>30</v>
      </c>
      <c r="M663" s="23" t="s">
        <v>65</v>
      </c>
    </row>
    <row r="664" spans="1:13" x14ac:dyDescent="0.35">
      <c r="A664" s="22" t="s">
        <v>835</v>
      </c>
      <c r="B664" s="22" t="s">
        <v>1748</v>
      </c>
      <c r="C664" s="22" t="s">
        <v>23</v>
      </c>
      <c r="D664" s="22" t="s">
        <v>24</v>
      </c>
      <c r="E664" s="22" t="s">
        <v>14</v>
      </c>
      <c r="F664" s="22" t="s">
        <v>25</v>
      </c>
      <c r="G664" s="22" t="s">
        <v>21</v>
      </c>
      <c r="H664" s="22">
        <v>29</v>
      </c>
      <c r="I664" s="24">
        <v>44046</v>
      </c>
      <c r="J664" s="27">
        <v>556</v>
      </c>
      <c r="K664" s="25">
        <v>0</v>
      </c>
      <c r="L664" s="22" t="s">
        <v>17</v>
      </c>
      <c r="M664" s="23" t="s">
        <v>54</v>
      </c>
    </row>
    <row r="665" spans="1:13" x14ac:dyDescent="0.35">
      <c r="A665" s="22" t="s">
        <v>225</v>
      </c>
      <c r="B665" s="22" t="s">
        <v>1749</v>
      </c>
      <c r="C665" s="22" t="s">
        <v>36</v>
      </c>
      <c r="D665" s="22" t="s">
        <v>56</v>
      </c>
      <c r="E665" s="22" t="s">
        <v>1102</v>
      </c>
      <c r="F665" s="22" t="s">
        <v>15</v>
      </c>
      <c r="G665" s="22" t="s">
        <v>21</v>
      </c>
      <c r="H665" s="22">
        <v>50</v>
      </c>
      <c r="I665" s="24">
        <v>35664</v>
      </c>
      <c r="J665" s="27">
        <v>871</v>
      </c>
      <c r="K665" s="25">
        <v>0.15</v>
      </c>
      <c r="L665" s="22" t="s">
        <v>17</v>
      </c>
      <c r="M665" s="23" t="s">
        <v>22</v>
      </c>
    </row>
    <row r="666" spans="1:13" x14ac:dyDescent="0.35">
      <c r="A666" s="22" t="s">
        <v>836</v>
      </c>
      <c r="B666" s="22" t="s">
        <v>1750</v>
      </c>
      <c r="C666" s="22" t="s">
        <v>55</v>
      </c>
      <c r="D666" s="22" t="s">
        <v>56</v>
      </c>
      <c r="E666" s="22" t="s">
        <v>14</v>
      </c>
      <c r="F666" s="22" t="s">
        <v>15</v>
      </c>
      <c r="G666" s="22" t="s">
        <v>16</v>
      </c>
      <c r="H666" s="22">
        <v>49</v>
      </c>
      <c r="I666" s="24">
        <v>38144</v>
      </c>
      <c r="J666" s="27">
        <v>871</v>
      </c>
      <c r="K666" s="25">
        <v>0</v>
      </c>
      <c r="L666" s="22" t="s">
        <v>17</v>
      </c>
      <c r="M666" s="23" t="s">
        <v>40</v>
      </c>
    </row>
    <row r="667" spans="1:13" x14ac:dyDescent="0.35">
      <c r="A667" s="22" t="s">
        <v>837</v>
      </c>
      <c r="B667" s="22" t="s">
        <v>1751</v>
      </c>
      <c r="C667" s="22" t="s">
        <v>71</v>
      </c>
      <c r="D667" s="22" t="s">
        <v>24</v>
      </c>
      <c r="E667" s="22" t="s">
        <v>14</v>
      </c>
      <c r="F667" s="22" t="s">
        <v>25</v>
      </c>
      <c r="G667" s="22" t="s">
        <v>16</v>
      </c>
      <c r="H667" s="22">
        <v>64</v>
      </c>
      <c r="I667" s="24">
        <v>43238</v>
      </c>
      <c r="J667" s="27">
        <v>575</v>
      </c>
      <c r="K667" s="25">
        <v>0</v>
      </c>
      <c r="L667" s="22" t="s">
        <v>17</v>
      </c>
      <c r="M667" s="23" t="s">
        <v>54</v>
      </c>
    </row>
    <row r="668" spans="1:13" x14ac:dyDescent="0.35">
      <c r="A668" s="22" t="s">
        <v>838</v>
      </c>
      <c r="B668" s="22" t="s">
        <v>1752</v>
      </c>
      <c r="C668" s="22" t="s">
        <v>36</v>
      </c>
      <c r="D668" s="22" t="s">
        <v>39</v>
      </c>
      <c r="E668" s="22" t="s">
        <v>14</v>
      </c>
      <c r="F668" s="22" t="s">
        <v>25</v>
      </c>
      <c r="G668" s="22" t="s">
        <v>44</v>
      </c>
      <c r="H668" s="22">
        <v>36</v>
      </c>
      <c r="I668" s="24">
        <v>42264</v>
      </c>
      <c r="J668" s="27">
        <v>755</v>
      </c>
      <c r="K668" s="25">
        <v>0.17</v>
      </c>
      <c r="L668" s="22" t="s">
        <v>45</v>
      </c>
      <c r="M668" s="23" t="s">
        <v>66</v>
      </c>
    </row>
    <row r="669" spans="1:13" x14ac:dyDescent="0.35">
      <c r="A669" s="22" t="s">
        <v>839</v>
      </c>
      <c r="B669" s="22" t="s">
        <v>1753</v>
      </c>
      <c r="C669" s="22" t="s">
        <v>69</v>
      </c>
      <c r="D669" s="22" t="s">
        <v>28</v>
      </c>
      <c r="E669" s="22" t="s">
        <v>29</v>
      </c>
      <c r="F669" s="22" t="s">
        <v>15</v>
      </c>
      <c r="G669" s="22" t="s">
        <v>21</v>
      </c>
      <c r="H669" s="22">
        <v>55</v>
      </c>
      <c r="I669" s="24">
        <v>36248</v>
      </c>
      <c r="J669" s="27">
        <v>787</v>
      </c>
      <c r="K669" s="25">
        <v>0</v>
      </c>
      <c r="L669" s="22" t="s">
        <v>30</v>
      </c>
      <c r="M669" s="23" t="s">
        <v>65</v>
      </c>
    </row>
    <row r="670" spans="1:13" x14ac:dyDescent="0.35">
      <c r="A670" s="22" t="s">
        <v>840</v>
      </c>
      <c r="B670" s="22" t="s">
        <v>1754</v>
      </c>
      <c r="C670" s="22" t="s">
        <v>36</v>
      </c>
      <c r="D670" s="22" t="s">
        <v>28</v>
      </c>
      <c r="E670" s="22" t="s">
        <v>29</v>
      </c>
      <c r="F670" s="22" t="s">
        <v>25</v>
      </c>
      <c r="G670" s="22" t="s">
        <v>21</v>
      </c>
      <c r="H670" s="22">
        <v>53</v>
      </c>
      <c r="I670" s="24">
        <v>42174</v>
      </c>
      <c r="J670" s="27">
        <v>673</v>
      </c>
      <c r="K670" s="25">
        <v>0.27</v>
      </c>
      <c r="L670" s="22" t="s">
        <v>30</v>
      </c>
      <c r="M670" s="23" t="s">
        <v>52</v>
      </c>
    </row>
    <row r="671" spans="1:13" x14ac:dyDescent="0.35">
      <c r="A671" s="22" t="s">
        <v>841</v>
      </c>
      <c r="B671" s="22" t="s">
        <v>1755</v>
      </c>
      <c r="C671" s="22" t="s">
        <v>36</v>
      </c>
      <c r="D671" s="22" t="s">
        <v>13</v>
      </c>
      <c r="E671" s="22" t="s">
        <v>29</v>
      </c>
      <c r="F671" s="22" t="s">
        <v>15</v>
      </c>
      <c r="G671" s="22" t="s">
        <v>44</v>
      </c>
      <c r="H671" s="22">
        <v>54</v>
      </c>
      <c r="I671" s="24">
        <v>34799</v>
      </c>
      <c r="J671" s="27">
        <v>714</v>
      </c>
      <c r="K671" s="25">
        <v>0.15</v>
      </c>
      <c r="L671" s="22" t="s">
        <v>17</v>
      </c>
      <c r="M671" s="23" t="s">
        <v>26</v>
      </c>
    </row>
    <row r="672" spans="1:13" x14ac:dyDescent="0.35">
      <c r="A672" s="22" t="s">
        <v>842</v>
      </c>
      <c r="B672" s="22" t="s">
        <v>1756</v>
      </c>
      <c r="C672" s="22" t="s">
        <v>62</v>
      </c>
      <c r="D672" s="22" t="s">
        <v>24</v>
      </c>
      <c r="E672" s="22" t="s">
        <v>33</v>
      </c>
      <c r="F672" s="22" t="s">
        <v>25</v>
      </c>
      <c r="G672" s="22" t="s">
        <v>16</v>
      </c>
      <c r="H672" s="22">
        <v>41</v>
      </c>
      <c r="I672" s="24">
        <v>41260</v>
      </c>
      <c r="J672" s="27">
        <v>666</v>
      </c>
      <c r="K672" s="25">
        <v>0</v>
      </c>
      <c r="L672" s="22" t="s">
        <v>17</v>
      </c>
      <c r="M672" s="23" t="s">
        <v>40</v>
      </c>
    </row>
    <row r="673" spans="1:13" x14ac:dyDescent="0.35">
      <c r="A673" s="22" t="s">
        <v>843</v>
      </c>
      <c r="B673" s="22" t="s">
        <v>1757</v>
      </c>
      <c r="C673" s="22" t="s">
        <v>12</v>
      </c>
      <c r="D673" s="22" t="s">
        <v>56</v>
      </c>
      <c r="E673" s="22" t="s">
        <v>29</v>
      </c>
      <c r="F673" s="22" t="s">
        <v>25</v>
      </c>
      <c r="G673" s="22" t="s">
        <v>44</v>
      </c>
      <c r="H673" s="22">
        <v>27</v>
      </c>
      <c r="I673" s="24">
        <v>44064</v>
      </c>
      <c r="J673" s="27">
        <v>545</v>
      </c>
      <c r="K673" s="25">
        <v>0.38</v>
      </c>
      <c r="L673" s="22" t="s">
        <v>45</v>
      </c>
      <c r="M673" s="23" t="s">
        <v>66</v>
      </c>
    </row>
    <row r="674" spans="1:13" x14ac:dyDescent="0.35">
      <c r="A674" s="22" t="s">
        <v>844</v>
      </c>
      <c r="B674" s="22" t="s">
        <v>1758</v>
      </c>
      <c r="C674" s="22" t="s">
        <v>12</v>
      </c>
      <c r="D674" s="22" t="s">
        <v>20</v>
      </c>
      <c r="E674" s="22" t="s">
        <v>1102</v>
      </c>
      <c r="F674" s="22" t="s">
        <v>15</v>
      </c>
      <c r="G674" s="22" t="s">
        <v>21</v>
      </c>
      <c r="H674" s="22">
        <v>51</v>
      </c>
      <c r="I674" s="24">
        <v>36733</v>
      </c>
      <c r="J674" s="27">
        <v>937</v>
      </c>
      <c r="K674" s="25">
        <v>0.35</v>
      </c>
      <c r="L674" s="22" t="s">
        <v>17</v>
      </c>
      <c r="M674" s="23" t="s">
        <v>22</v>
      </c>
    </row>
    <row r="675" spans="1:13" x14ac:dyDescent="0.35">
      <c r="A675" s="22" t="s">
        <v>845</v>
      </c>
      <c r="B675" s="22" t="s">
        <v>1759</v>
      </c>
      <c r="C675" s="22" t="s">
        <v>12</v>
      </c>
      <c r="D675" s="22" t="s">
        <v>56</v>
      </c>
      <c r="E675" s="22" t="s">
        <v>29</v>
      </c>
      <c r="F675" s="22" t="s">
        <v>25</v>
      </c>
      <c r="G675" s="22" t="s">
        <v>21</v>
      </c>
      <c r="H675" s="22">
        <v>45</v>
      </c>
      <c r="I675" s="24">
        <v>41646</v>
      </c>
      <c r="J675" s="27">
        <v>837</v>
      </c>
      <c r="K675" s="25">
        <v>0.34</v>
      </c>
      <c r="L675" s="22" t="s">
        <v>30</v>
      </c>
      <c r="M675" s="23" t="s">
        <v>61</v>
      </c>
    </row>
    <row r="676" spans="1:13" x14ac:dyDescent="0.35">
      <c r="A676" s="22" t="s">
        <v>846</v>
      </c>
      <c r="B676" s="22" t="s">
        <v>1760</v>
      </c>
      <c r="C676" s="22" t="s">
        <v>42</v>
      </c>
      <c r="D676" s="22" t="s">
        <v>43</v>
      </c>
      <c r="E676" s="22" t="s">
        <v>29</v>
      </c>
      <c r="F676" s="22" t="s">
        <v>25</v>
      </c>
      <c r="G676" s="22" t="s">
        <v>44</v>
      </c>
      <c r="H676" s="22">
        <v>34</v>
      </c>
      <c r="I676" s="24">
        <v>44607</v>
      </c>
      <c r="J676" s="27">
        <v>752</v>
      </c>
      <c r="K676" s="25">
        <v>0</v>
      </c>
      <c r="L676" s="22" t="s">
        <v>45</v>
      </c>
      <c r="M676" s="23" t="s">
        <v>46</v>
      </c>
    </row>
    <row r="677" spans="1:13" x14ac:dyDescent="0.35">
      <c r="A677" s="22" t="s">
        <v>847</v>
      </c>
      <c r="B677" s="22" t="s">
        <v>1761</v>
      </c>
      <c r="C677" s="22" t="s">
        <v>55</v>
      </c>
      <c r="D677" s="22" t="s">
        <v>13</v>
      </c>
      <c r="E677" s="22" t="s">
        <v>14</v>
      </c>
      <c r="F677" s="22" t="s">
        <v>15</v>
      </c>
      <c r="G677" s="22" t="s">
        <v>21</v>
      </c>
      <c r="H677" s="22">
        <v>33</v>
      </c>
      <c r="I677" s="24">
        <v>44157</v>
      </c>
      <c r="J677" s="27">
        <v>754</v>
      </c>
      <c r="K677" s="25">
        <v>0</v>
      </c>
      <c r="L677" s="22" t="s">
        <v>30</v>
      </c>
      <c r="M677" s="23" t="s">
        <v>65</v>
      </c>
    </row>
    <row r="678" spans="1:13" x14ac:dyDescent="0.35">
      <c r="A678" s="22" t="s">
        <v>204</v>
      </c>
      <c r="B678" s="22" t="s">
        <v>1762</v>
      </c>
      <c r="C678" s="22" t="s">
        <v>55</v>
      </c>
      <c r="D678" s="22" t="s">
        <v>56</v>
      </c>
      <c r="E678" s="22" t="s">
        <v>14</v>
      </c>
      <c r="F678" s="22" t="s">
        <v>15</v>
      </c>
      <c r="G678" s="22" t="s">
        <v>16</v>
      </c>
      <c r="H678" s="22">
        <v>37</v>
      </c>
      <c r="I678" s="24">
        <v>43412</v>
      </c>
      <c r="J678" s="27">
        <v>690</v>
      </c>
      <c r="K678" s="25">
        <v>0</v>
      </c>
      <c r="L678" s="22" t="s">
        <v>17</v>
      </c>
      <c r="M678" s="23" t="s">
        <v>22</v>
      </c>
    </row>
    <row r="679" spans="1:13" x14ac:dyDescent="0.35">
      <c r="A679" s="22" t="s">
        <v>848</v>
      </c>
      <c r="B679" s="22" t="s">
        <v>1763</v>
      </c>
      <c r="C679" s="22" t="s">
        <v>27</v>
      </c>
      <c r="D679" s="22" t="s">
        <v>28</v>
      </c>
      <c r="E679" s="22" t="s">
        <v>1102</v>
      </c>
      <c r="F679" s="22" t="s">
        <v>15</v>
      </c>
      <c r="G679" s="22" t="s">
        <v>21</v>
      </c>
      <c r="H679" s="22">
        <v>56</v>
      </c>
      <c r="I679" s="24">
        <v>41024</v>
      </c>
      <c r="J679" s="27">
        <v>675</v>
      </c>
      <c r="K679" s="25">
        <v>0</v>
      </c>
      <c r="L679" s="22" t="s">
        <v>17</v>
      </c>
      <c r="M679" s="23" t="s">
        <v>54</v>
      </c>
    </row>
    <row r="680" spans="1:13" x14ac:dyDescent="0.35">
      <c r="A680" s="22" t="s">
        <v>849</v>
      </c>
      <c r="B680" s="22" t="s">
        <v>1764</v>
      </c>
      <c r="C680" s="22" t="s">
        <v>42</v>
      </c>
      <c r="D680" s="22" t="s">
        <v>43</v>
      </c>
      <c r="E680" s="22" t="s">
        <v>14</v>
      </c>
      <c r="F680" s="22" t="s">
        <v>25</v>
      </c>
      <c r="G680" s="22" t="s">
        <v>16</v>
      </c>
      <c r="H680" s="22">
        <v>46</v>
      </c>
      <c r="I680" s="24">
        <v>37676</v>
      </c>
      <c r="J680" s="27">
        <v>752</v>
      </c>
      <c r="K680" s="25">
        <v>0</v>
      </c>
      <c r="L680" s="22" t="s">
        <v>17</v>
      </c>
      <c r="M680" s="23" t="s">
        <v>35</v>
      </c>
    </row>
    <row r="681" spans="1:13" x14ac:dyDescent="0.35">
      <c r="A681" s="22" t="s">
        <v>122</v>
      </c>
      <c r="B681" s="22" t="s">
        <v>1765</v>
      </c>
      <c r="C681" s="22" t="s">
        <v>68</v>
      </c>
      <c r="D681" s="22" t="s">
        <v>20</v>
      </c>
      <c r="E681" s="22" t="s">
        <v>1102</v>
      </c>
      <c r="F681" s="22" t="s">
        <v>25</v>
      </c>
      <c r="G681" s="22" t="s">
        <v>16</v>
      </c>
      <c r="H681" s="22">
        <v>45</v>
      </c>
      <c r="I681" s="24">
        <v>36969</v>
      </c>
      <c r="J681" s="27">
        <v>955</v>
      </c>
      <c r="K681" s="25">
        <v>0</v>
      </c>
      <c r="L681" s="22" t="s">
        <v>17</v>
      </c>
      <c r="M681" s="23" t="s">
        <v>40</v>
      </c>
    </row>
    <row r="682" spans="1:13" x14ac:dyDescent="0.35">
      <c r="A682" s="22" t="s">
        <v>850</v>
      </c>
      <c r="B682" s="22" t="s">
        <v>1766</v>
      </c>
      <c r="C682" s="22" t="s">
        <v>23</v>
      </c>
      <c r="D682" s="22" t="s">
        <v>24</v>
      </c>
      <c r="E682" s="22" t="s">
        <v>33</v>
      </c>
      <c r="F682" s="22" t="s">
        <v>25</v>
      </c>
      <c r="G682" s="22" t="s">
        <v>44</v>
      </c>
      <c r="H682" s="22">
        <v>32</v>
      </c>
      <c r="I682" s="24">
        <v>44330</v>
      </c>
      <c r="J682" s="27">
        <v>915</v>
      </c>
      <c r="K682" s="25">
        <v>0</v>
      </c>
      <c r="L682" s="22" t="s">
        <v>17</v>
      </c>
      <c r="M682" s="23" t="s">
        <v>26</v>
      </c>
    </row>
    <row r="683" spans="1:13" x14ac:dyDescent="0.35">
      <c r="A683" s="22" t="s">
        <v>851</v>
      </c>
      <c r="B683" s="22" t="s">
        <v>1767</v>
      </c>
      <c r="C683" s="22" t="s">
        <v>1111</v>
      </c>
      <c r="D683" s="22" t="s">
        <v>56</v>
      </c>
      <c r="E683" s="22" t="s">
        <v>29</v>
      </c>
      <c r="F683" s="22" t="s">
        <v>15</v>
      </c>
      <c r="G683" s="22" t="s">
        <v>41</v>
      </c>
      <c r="H683" s="22">
        <v>51</v>
      </c>
      <c r="I683" s="24">
        <v>36214</v>
      </c>
      <c r="J683" s="27">
        <v>705</v>
      </c>
      <c r="K683" s="25">
        <v>0.13</v>
      </c>
      <c r="L683" s="22" t="s">
        <v>17</v>
      </c>
      <c r="M683" s="23" t="s">
        <v>26</v>
      </c>
    </row>
    <row r="684" spans="1:13" x14ac:dyDescent="0.35">
      <c r="A684" s="22" t="s">
        <v>273</v>
      </c>
      <c r="B684" s="22" t="s">
        <v>1768</v>
      </c>
      <c r="C684" s="22" t="s">
        <v>67</v>
      </c>
      <c r="D684" s="22" t="s">
        <v>24</v>
      </c>
      <c r="E684" s="22" t="s">
        <v>14</v>
      </c>
      <c r="F684" s="22" t="s">
        <v>25</v>
      </c>
      <c r="G684" s="22" t="s">
        <v>16</v>
      </c>
      <c r="H684" s="22">
        <v>29</v>
      </c>
      <c r="I684" s="24">
        <v>43199</v>
      </c>
      <c r="J684" s="27">
        <v>1000</v>
      </c>
      <c r="K684" s="25">
        <v>0</v>
      </c>
      <c r="L684" s="22" t="s">
        <v>17</v>
      </c>
      <c r="M684" s="23" t="s">
        <v>40</v>
      </c>
    </row>
    <row r="685" spans="1:13" x14ac:dyDescent="0.35">
      <c r="A685" s="22" t="s">
        <v>852</v>
      </c>
      <c r="B685" s="22" t="s">
        <v>1769</v>
      </c>
      <c r="C685" s="22" t="s">
        <v>67</v>
      </c>
      <c r="D685" s="22" t="s">
        <v>24</v>
      </c>
      <c r="E685" s="22" t="s">
        <v>33</v>
      </c>
      <c r="F685" s="22" t="s">
        <v>25</v>
      </c>
      <c r="G685" s="22" t="s">
        <v>16</v>
      </c>
      <c r="H685" s="22">
        <v>38</v>
      </c>
      <c r="I685" s="24">
        <v>42358</v>
      </c>
      <c r="J685" s="27">
        <v>947</v>
      </c>
      <c r="K685" s="25">
        <v>0</v>
      </c>
      <c r="L685" s="22" t="s">
        <v>17</v>
      </c>
      <c r="M685" s="23" t="s">
        <v>40</v>
      </c>
    </row>
    <row r="686" spans="1:13" x14ac:dyDescent="0.35">
      <c r="A686" s="22" t="s">
        <v>853</v>
      </c>
      <c r="B686" s="22" t="s">
        <v>1770</v>
      </c>
      <c r="C686" s="22" t="s">
        <v>57</v>
      </c>
      <c r="D686" s="22" t="s">
        <v>56</v>
      </c>
      <c r="E686" s="22" t="s">
        <v>29</v>
      </c>
      <c r="F686" s="22" t="s">
        <v>15</v>
      </c>
      <c r="G686" s="22" t="s">
        <v>16</v>
      </c>
      <c r="H686" s="22">
        <v>58</v>
      </c>
      <c r="I686" s="24">
        <v>37216</v>
      </c>
      <c r="J686" s="27">
        <v>991</v>
      </c>
      <c r="K686" s="25">
        <v>0</v>
      </c>
      <c r="L686" s="22" t="s">
        <v>17</v>
      </c>
      <c r="M686" s="23" t="s">
        <v>40</v>
      </c>
    </row>
    <row r="687" spans="1:13" x14ac:dyDescent="0.35">
      <c r="A687" s="22" t="s">
        <v>216</v>
      </c>
      <c r="B687" s="22" t="s">
        <v>1771</v>
      </c>
      <c r="C687" s="22" t="s">
        <v>70</v>
      </c>
      <c r="D687" s="22" t="s">
        <v>28</v>
      </c>
      <c r="E687" s="22" t="s">
        <v>29</v>
      </c>
      <c r="F687" s="22" t="s">
        <v>15</v>
      </c>
      <c r="G687" s="22" t="s">
        <v>21</v>
      </c>
      <c r="H687" s="22">
        <v>45</v>
      </c>
      <c r="I687" s="24">
        <v>40795</v>
      </c>
      <c r="J687" s="27">
        <v>759</v>
      </c>
      <c r="K687" s="25">
        <v>0</v>
      </c>
      <c r="L687" s="22" t="s">
        <v>17</v>
      </c>
      <c r="M687" s="23" t="s">
        <v>22</v>
      </c>
    </row>
    <row r="688" spans="1:13" x14ac:dyDescent="0.35">
      <c r="A688" s="22" t="s">
        <v>854</v>
      </c>
      <c r="B688" s="22" t="s">
        <v>1772</v>
      </c>
      <c r="C688" s="22" t="s">
        <v>38</v>
      </c>
      <c r="D688" s="22" t="s">
        <v>43</v>
      </c>
      <c r="E688" s="22" t="s">
        <v>1102</v>
      </c>
      <c r="F688" s="22" t="s">
        <v>25</v>
      </c>
      <c r="G688" s="22" t="s">
        <v>21</v>
      </c>
      <c r="H688" s="22">
        <v>49</v>
      </c>
      <c r="I688" s="24">
        <v>42260</v>
      </c>
      <c r="J688" s="27">
        <v>620</v>
      </c>
      <c r="K688" s="25">
        <v>0</v>
      </c>
      <c r="L688" s="22" t="s">
        <v>17</v>
      </c>
      <c r="M688" s="23" t="s">
        <v>54</v>
      </c>
    </row>
    <row r="689" spans="1:13" x14ac:dyDescent="0.35">
      <c r="A689" s="22" t="s">
        <v>855</v>
      </c>
      <c r="B689" s="22" t="s">
        <v>1773</v>
      </c>
      <c r="C689" s="22" t="s">
        <v>36</v>
      </c>
      <c r="D689" s="22" t="s">
        <v>20</v>
      </c>
      <c r="E689" s="22" t="s">
        <v>29</v>
      </c>
      <c r="F689" s="22" t="s">
        <v>15</v>
      </c>
      <c r="G689" s="22" t="s">
        <v>21</v>
      </c>
      <c r="H689" s="22">
        <v>50</v>
      </c>
      <c r="I689" s="24">
        <v>40785</v>
      </c>
      <c r="J689" s="27">
        <v>808</v>
      </c>
      <c r="K689" s="25">
        <v>0.24</v>
      </c>
      <c r="L689" s="22" t="s">
        <v>17</v>
      </c>
      <c r="M689" s="23" t="s">
        <v>40</v>
      </c>
    </row>
    <row r="690" spans="1:13" x14ac:dyDescent="0.35">
      <c r="A690" s="22" t="s">
        <v>856</v>
      </c>
      <c r="B690" s="22" t="s">
        <v>1774</v>
      </c>
      <c r="C690" s="22" t="s">
        <v>59</v>
      </c>
      <c r="D690" s="22" t="s">
        <v>24</v>
      </c>
      <c r="E690" s="22" t="s">
        <v>33</v>
      </c>
      <c r="F690" s="22" t="s">
        <v>25</v>
      </c>
      <c r="G690" s="22" t="s">
        <v>16</v>
      </c>
      <c r="H690" s="22">
        <v>32</v>
      </c>
      <c r="I690" s="24">
        <v>44260</v>
      </c>
      <c r="J690" s="27">
        <v>695</v>
      </c>
      <c r="K690" s="25">
        <v>0</v>
      </c>
      <c r="L690" s="22" t="s">
        <v>17</v>
      </c>
      <c r="M690" s="23" t="s">
        <v>18</v>
      </c>
    </row>
    <row r="691" spans="1:13" x14ac:dyDescent="0.35">
      <c r="A691" s="22" t="s">
        <v>857</v>
      </c>
      <c r="B691" s="22" t="s">
        <v>1775</v>
      </c>
      <c r="C691" s="22" t="s">
        <v>51</v>
      </c>
      <c r="D691" s="22" t="s">
        <v>28</v>
      </c>
      <c r="E691" s="22" t="s">
        <v>33</v>
      </c>
      <c r="F691" s="22" t="s">
        <v>25</v>
      </c>
      <c r="G691" s="22" t="s">
        <v>21</v>
      </c>
      <c r="H691" s="22">
        <v>29</v>
      </c>
      <c r="I691" s="24">
        <v>42738</v>
      </c>
      <c r="J691" s="27">
        <v>785</v>
      </c>
      <c r="K691" s="25">
        <v>0</v>
      </c>
      <c r="L691" s="22" t="s">
        <v>17</v>
      </c>
      <c r="M691" s="23" t="s">
        <v>35</v>
      </c>
    </row>
    <row r="692" spans="1:13" x14ac:dyDescent="0.35">
      <c r="A692" s="22" t="s">
        <v>858</v>
      </c>
      <c r="B692" s="22" t="s">
        <v>235</v>
      </c>
      <c r="C692" s="22" t="s">
        <v>23</v>
      </c>
      <c r="D692" s="22" t="s">
        <v>24</v>
      </c>
      <c r="E692" s="22" t="s">
        <v>29</v>
      </c>
      <c r="F692" s="22" t="s">
        <v>25</v>
      </c>
      <c r="G692" s="22" t="s">
        <v>21</v>
      </c>
      <c r="H692" s="22">
        <v>34</v>
      </c>
      <c r="I692" s="24">
        <v>43414</v>
      </c>
      <c r="J692" s="27">
        <v>505</v>
      </c>
      <c r="K692" s="25">
        <v>0</v>
      </c>
      <c r="L692" s="22" t="s">
        <v>30</v>
      </c>
      <c r="M692" s="23" t="s">
        <v>31</v>
      </c>
    </row>
    <row r="693" spans="1:13" x14ac:dyDescent="0.35">
      <c r="A693" s="22" t="s">
        <v>186</v>
      </c>
      <c r="B693" s="22" t="s">
        <v>1776</v>
      </c>
      <c r="C693" s="22" t="s">
        <v>1111</v>
      </c>
      <c r="D693" s="22" t="s">
        <v>20</v>
      </c>
      <c r="E693" s="22" t="s">
        <v>33</v>
      </c>
      <c r="F693" s="22" t="s">
        <v>25</v>
      </c>
      <c r="G693" s="22" t="s">
        <v>21</v>
      </c>
      <c r="H693" s="22">
        <v>50</v>
      </c>
      <c r="I693" s="24">
        <v>43611</v>
      </c>
      <c r="J693" s="27">
        <v>523</v>
      </c>
      <c r="K693" s="25">
        <v>0.15</v>
      </c>
      <c r="L693" s="22" t="s">
        <v>30</v>
      </c>
      <c r="M693" s="23" t="s">
        <v>52</v>
      </c>
    </row>
    <row r="694" spans="1:13" x14ac:dyDescent="0.35">
      <c r="A694" s="22" t="s">
        <v>859</v>
      </c>
      <c r="B694" s="22" t="s">
        <v>1777</v>
      </c>
      <c r="C694" s="22" t="s">
        <v>62</v>
      </c>
      <c r="D694" s="22" t="s">
        <v>24</v>
      </c>
      <c r="E694" s="22" t="s">
        <v>33</v>
      </c>
      <c r="F694" s="22" t="s">
        <v>15</v>
      </c>
      <c r="G694" s="22" t="s">
        <v>21</v>
      </c>
      <c r="H694" s="22">
        <v>27</v>
      </c>
      <c r="I694" s="24">
        <v>44265</v>
      </c>
      <c r="J694" s="27">
        <v>697</v>
      </c>
      <c r="K694" s="25">
        <v>0</v>
      </c>
      <c r="L694" s="22" t="s">
        <v>17</v>
      </c>
      <c r="M694" s="23" t="s">
        <v>18</v>
      </c>
    </row>
    <row r="695" spans="1:13" x14ac:dyDescent="0.35">
      <c r="A695" s="22" t="s">
        <v>860</v>
      </c>
      <c r="B695" s="22" t="s">
        <v>1778</v>
      </c>
      <c r="C695" s="22" t="s">
        <v>27</v>
      </c>
      <c r="D695" s="22" t="s">
        <v>28</v>
      </c>
      <c r="E695" s="22" t="s">
        <v>1102</v>
      </c>
      <c r="F695" s="22" t="s">
        <v>25</v>
      </c>
      <c r="G695" s="22" t="s">
        <v>44</v>
      </c>
      <c r="H695" s="22">
        <v>60</v>
      </c>
      <c r="I695" s="24">
        <v>39624</v>
      </c>
      <c r="J695" s="27">
        <v>802</v>
      </c>
      <c r="K695" s="25">
        <v>0</v>
      </c>
      <c r="L695" s="22" t="s">
        <v>45</v>
      </c>
      <c r="M695" s="23" t="s">
        <v>1134</v>
      </c>
    </row>
    <row r="696" spans="1:13" x14ac:dyDescent="0.35">
      <c r="A696" s="22" t="s">
        <v>270</v>
      </c>
      <c r="B696" s="22" t="s">
        <v>1779</v>
      </c>
      <c r="C696" s="22" t="s">
        <v>53</v>
      </c>
      <c r="D696" s="22" t="s">
        <v>24</v>
      </c>
      <c r="E696" s="22" t="s">
        <v>33</v>
      </c>
      <c r="F696" s="22" t="s">
        <v>15</v>
      </c>
      <c r="G696" s="22" t="s">
        <v>21</v>
      </c>
      <c r="H696" s="22">
        <v>65</v>
      </c>
      <c r="I696" s="24">
        <v>34520</v>
      </c>
      <c r="J696" s="27">
        <v>740</v>
      </c>
      <c r="K696" s="25">
        <v>7.0000000000000007E-2</v>
      </c>
      <c r="L696" s="22" t="s">
        <v>17</v>
      </c>
      <c r="M696" s="23" t="s">
        <v>54</v>
      </c>
    </row>
    <row r="697" spans="1:13" x14ac:dyDescent="0.35">
      <c r="A697" s="22" t="s">
        <v>861</v>
      </c>
      <c r="B697" s="22" t="s">
        <v>1780</v>
      </c>
      <c r="C697" s="22" t="s">
        <v>53</v>
      </c>
      <c r="D697" s="22" t="s">
        <v>43</v>
      </c>
      <c r="E697" s="22" t="s">
        <v>33</v>
      </c>
      <c r="F697" s="22" t="s">
        <v>25</v>
      </c>
      <c r="G697" s="22" t="s">
        <v>21</v>
      </c>
      <c r="H697" s="22">
        <v>43</v>
      </c>
      <c r="I697" s="24">
        <v>39717</v>
      </c>
      <c r="J697" s="27">
        <v>610</v>
      </c>
      <c r="K697" s="25">
        <v>7.0000000000000007E-2</v>
      </c>
      <c r="L697" s="22" t="s">
        <v>30</v>
      </c>
      <c r="M697" s="23" t="s">
        <v>61</v>
      </c>
    </row>
    <row r="698" spans="1:13" x14ac:dyDescent="0.35">
      <c r="A698" s="22" t="s">
        <v>862</v>
      </c>
      <c r="B698" s="22" t="s">
        <v>1781</v>
      </c>
      <c r="C698" s="22" t="s">
        <v>1111</v>
      </c>
      <c r="D698" s="22" t="s">
        <v>39</v>
      </c>
      <c r="E698" s="22" t="s">
        <v>14</v>
      </c>
      <c r="F698" s="22" t="s">
        <v>15</v>
      </c>
      <c r="G698" s="22" t="s">
        <v>16</v>
      </c>
      <c r="H698" s="22">
        <v>45</v>
      </c>
      <c r="I698" s="24">
        <v>41534</v>
      </c>
      <c r="J698" s="27">
        <v>842</v>
      </c>
      <c r="K698" s="25">
        <v>0.14000000000000001</v>
      </c>
      <c r="L698" s="22" t="s">
        <v>17</v>
      </c>
      <c r="M698" s="23" t="s">
        <v>26</v>
      </c>
    </row>
    <row r="699" spans="1:13" x14ac:dyDescent="0.35">
      <c r="A699" s="22" t="s">
        <v>863</v>
      </c>
      <c r="B699" s="22" t="s">
        <v>1782</v>
      </c>
      <c r="C699" s="22" t="s">
        <v>32</v>
      </c>
      <c r="D699" s="22" t="s">
        <v>24</v>
      </c>
      <c r="E699" s="22" t="s">
        <v>29</v>
      </c>
      <c r="F699" s="22" t="s">
        <v>25</v>
      </c>
      <c r="G699" s="22" t="s">
        <v>21</v>
      </c>
      <c r="H699" s="22">
        <v>28</v>
      </c>
      <c r="I699" s="24">
        <v>44381</v>
      </c>
      <c r="J699" s="27">
        <v>717</v>
      </c>
      <c r="K699" s="25">
        <v>0</v>
      </c>
      <c r="L699" s="22" t="s">
        <v>17</v>
      </c>
      <c r="M699" s="23" t="s">
        <v>22</v>
      </c>
    </row>
    <row r="700" spans="1:13" x14ac:dyDescent="0.35">
      <c r="A700" s="22" t="s">
        <v>864</v>
      </c>
      <c r="B700" s="22" t="s">
        <v>1783</v>
      </c>
      <c r="C700" s="22" t="s">
        <v>48</v>
      </c>
      <c r="D700" s="22" t="s">
        <v>24</v>
      </c>
      <c r="E700" s="22" t="s">
        <v>33</v>
      </c>
      <c r="F700" s="22" t="s">
        <v>25</v>
      </c>
      <c r="G700" s="22" t="s">
        <v>16</v>
      </c>
      <c r="H700" s="22">
        <v>34</v>
      </c>
      <c r="I700" s="24">
        <v>42002</v>
      </c>
      <c r="J700" s="27">
        <v>874</v>
      </c>
      <c r="K700" s="25">
        <v>0.09</v>
      </c>
      <c r="L700" s="22" t="s">
        <v>17</v>
      </c>
      <c r="M700" s="23" t="s">
        <v>35</v>
      </c>
    </row>
    <row r="701" spans="1:13" x14ac:dyDescent="0.35">
      <c r="A701" s="22" t="s">
        <v>865</v>
      </c>
      <c r="B701" s="22" t="s">
        <v>1784</v>
      </c>
      <c r="C701" s="22" t="s">
        <v>60</v>
      </c>
      <c r="D701" s="22" t="s">
        <v>24</v>
      </c>
      <c r="E701" s="22" t="s">
        <v>1102</v>
      </c>
      <c r="F701" s="22" t="s">
        <v>25</v>
      </c>
      <c r="G701" s="22" t="s">
        <v>41</v>
      </c>
      <c r="H701" s="22">
        <v>31</v>
      </c>
      <c r="I701" s="24">
        <v>42843</v>
      </c>
      <c r="J701" s="27">
        <v>681</v>
      </c>
      <c r="K701" s="25">
        <v>0</v>
      </c>
      <c r="L701" s="22" t="s">
        <v>17</v>
      </c>
      <c r="M701" s="23" t="s">
        <v>40</v>
      </c>
    </row>
    <row r="702" spans="1:13" x14ac:dyDescent="0.35">
      <c r="A702" s="22" t="s">
        <v>866</v>
      </c>
      <c r="B702" s="22" t="s">
        <v>1785</v>
      </c>
      <c r="C702" s="22" t="s">
        <v>12</v>
      </c>
      <c r="D702" s="22" t="s">
        <v>43</v>
      </c>
      <c r="E702" s="22" t="s">
        <v>1102</v>
      </c>
      <c r="F702" s="22" t="s">
        <v>25</v>
      </c>
      <c r="G702" s="22" t="s">
        <v>44</v>
      </c>
      <c r="H702" s="22">
        <v>29</v>
      </c>
      <c r="I702" s="24">
        <v>42741</v>
      </c>
      <c r="J702" s="27">
        <v>955</v>
      </c>
      <c r="K702" s="25">
        <v>0.38</v>
      </c>
      <c r="L702" s="22" t="s">
        <v>17</v>
      </c>
      <c r="M702" s="23" t="s">
        <v>18</v>
      </c>
    </row>
    <row r="703" spans="1:13" x14ac:dyDescent="0.35">
      <c r="A703" s="22" t="s">
        <v>280</v>
      </c>
      <c r="B703" s="22" t="s">
        <v>1786</v>
      </c>
      <c r="C703" s="22" t="s">
        <v>42</v>
      </c>
      <c r="D703" s="22" t="s">
        <v>43</v>
      </c>
      <c r="E703" s="22" t="s">
        <v>14</v>
      </c>
      <c r="F703" s="22" t="s">
        <v>25</v>
      </c>
      <c r="G703" s="22" t="s">
        <v>44</v>
      </c>
      <c r="H703" s="22">
        <v>49</v>
      </c>
      <c r="I703" s="24">
        <v>38708</v>
      </c>
      <c r="J703" s="27">
        <v>735</v>
      </c>
      <c r="K703" s="25">
        <v>0</v>
      </c>
      <c r="L703" s="22" t="s">
        <v>17</v>
      </c>
      <c r="M703" s="23" t="s">
        <v>18</v>
      </c>
    </row>
    <row r="704" spans="1:13" x14ac:dyDescent="0.35">
      <c r="A704" s="22" t="s">
        <v>867</v>
      </c>
      <c r="B704" s="22" t="s">
        <v>1787</v>
      </c>
      <c r="C704" s="22" t="s">
        <v>36</v>
      </c>
      <c r="D704" s="22" t="s">
        <v>43</v>
      </c>
      <c r="E704" s="22" t="s">
        <v>33</v>
      </c>
      <c r="F704" s="22" t="s">
        <v>25</v>
      </c>
      <c r="G704" s="22" t="s">
        <v>21</v>
      </c>
      <c r="H704" s="22">
        <v>47</v>
      </c>
      <c r="I704" s="24">
        <v>43661</v>
      </c>
      <c r="J704" s="27">
        <v>555</v>
      </c>
      <c r="K704" s="25">
        <v>0.23</v>
      </c>
      <c r="L704" s="22" t="s">
        <v>17</v>
      </c>
      <c r="M704" s="23" t="s">
        <v>26</v>
      </c>
    </row>
    <row r="705" spans="1:13" x14ac:dyDescent="0.35">
      <c r="A705" s="22" t="s">
        <v>868</v>
      </c>
      <c r="B705" s="22" t="s">
        <v>1788</v>
      </c>
      <c r="C705" s="22" t="s">
        <v>1111</v>
      </c>
      <c r="D705" s="22" t="s">
        <v>24</v>
      </c>
      <c r="E705" s="22" t="s">
        <v>29</v>
      </c>
      <c r="F705" s="22" t="s">
        <v>15</v>
      </c>
      <c r="G705" s="22" t="s">
        <v>16</v>
      </c>
      <c r="H705" s="22">
        <v>56</v>
      </c>
      <c r="I705" s="24">
        <v>37382</v>
      </c>
      <c r="J705" s="27">
        <v>589</v>
      </c>
      <c r="K705" s="25">
        <v>0.1</v>
      </c>
      <c r="L705" s="22" t="s">
        <v>17</v>
      </c>
      <c r="M705" s="23" t="s">
        <v>18</v>
      </c>
    </row>
    <row r="706" spans="1:13" x14ac:dyDescent="0.35">
      <c r="A706" s="22" t="s">
        <v>153</v>
      </c>
      <c r="B706" s="22" t="s">
        <v>1789</v>
      </c>
      <c r="C706" s="22" t="s">
        <v>74</v>
      </c>
      <c r="D706" s="22" t="s">
        <v>43</v>
      </c>
      <c r="E706" s="22" t="s">
        <v>1102</v>
      </c>
      <c r="F706" s="22" t="s">
        <v>25</v>
      </c>
      <c r="G706" s="22" t="s">
        <v>21</v>
      </c>
      <c r="H706" s="22">
        <v>52</v>
      </c>
      <c r="I706" s="24">
        <v>39071</v>
      </c>
      <c r="J706" s="27">
        <v>831</v>
      </c>
      <c r="K706" s="25">
        <v>0</v>
      </c>
      <c r="L706" s="22" t="s">
        <v>30</v>
      </c>
      <c r="M706" s="23" t="s">
        <v>52</v>
      </c>
    </row>
    <row r="707" spans="1:13" x14ac:dyDescent="0.35">
      <c r="A707" s="22" t="s">
        <v>869</v>
      </c>
      <c r="B707" s="22" t="s">
        <v>1790</v>
      </c>
      <c r="C707" s="22" t="s">
        <v>77</v>
      </c>
      <c r="D707" s="22" t="s">
        <v>24</v>
      </c>
      <c r="E707" s="22" t="s">
        <v>33</v>
      </c>
      <c r="F707" s="22" t="s">
        <v>15</v>
      </c>
      <c r="G707" s="22" t="s">
        <v>44</v>
      </c>
      <c r="H707" s="22">
        <v>37</v>
      </c>
      <c r="I707" s="24">
        <v>43896</v>
      </c>
      <c r="J707" s="27">
        <v>965</v>
      </c>
      <c r="K707" s="25">
        <v>0</v>
      </c>
      <c r="L707" s="22" t="s">
        <v>17</v>
      </c>
      <c r="M707" s="23" t="s">
        <v>26</v>
      </c>
    </row>
    <row r="708" spans="1:13" x14ac:dyDescent="0.35">
      <c r="A708" s="22" t="s">
        <v>870</v>
      </c>
      <c r="B708" s="22" t="s">
        <v>1791</v>
      </c>
      <c r="C708" s="22" t="s">
        <v>50</v>
      </c>
      <c r="D708" s="22" t="s">
        <v>28</v>
      </c>
      <c r="E708" s="22" t="s">
        <v>33</v>
      </c>
      <c r="F708" s="22" t="s">
        <v>25</v>
      </c>
      <c r="G708" s="22" t="s">
        <v>16</v>
      </c>
      <c r="H708" s="22">
        <v>55</v>
      </c>
      <c r="I708" s="24">
        <v>35860</v>
      </c>
      <c r="J708" s="27">
        <v>936</v>
      </c>
      <c r="K708" s="25">
        <v>0</v>
      </c>
      <c r="L708" s="22" t="s">
        <v>17</v>
      </c>
      <c r="M708" s="23" t="s">
        <v>40</v>
      </c>
    </row>
    <row r="709" spans="1:13" x14ac:dyDescent="0.35">
      <c r="A709" s="22" t="s">
        <v>871</v>
      </c>
      <c r="B709" s="22" t="s">
        <v>1792</v>
      </c>
      <c r="C709" s="22" t="s">
        <v>1111</v>
      </c>
      <c r="D709" s="22" t="s">
        <v>39</v>
      </c>
      <c r="E709" s="22" t="s">
        <v>29</v>
      </c>
      <c r="F709" s="22" t="s">
        <v>25</v>
      </c>
      <c r="G709" s="22" t="s">
        <v>16</v>
      </c>
      <c r="H709" s="22">
        <v>27</v>
      </c>
      <c r="I709" s="24">
        <v>44364</v>
      </c>
      <c r="J709" s="27">
        <v>717</v>
      </c>
      <c r="K709" s="25">
        <v>0.12</v>
      </c>
      <c r="L709" s="22" t="s">
        <v>17</v>
      </c>
      <c r="M709" s="23" t="s">
        <v>35</v>
      </c>
    </row>
    <row r="710" spans="1:13" x14ac:dyDescent="0.35">
      <c r="A710" s="22" t="s">
        <v>100</v>
      </c>
      <c r="B710" s="22" t="s">
        <v>1793</v>
      </c>
      <c r="C710" s="22" t="s">
        <v>32</v>
      </c>
      <c r="D710" s="22" t="s">
        <v>24</v>
      </c>
      <c r="E710" s="22" t="s">
        <v>33</v>
      </c>
      <c r="F710" s="22" t="s">
        <v>15</v>
      </c>
      <c r="G710" s="22" t="s">
        <v>21</v>
      </c>
      <c r="H710" s="22">
        <v>28</v>
      </c>
      <c r="I710" s="24">
        <v>43637</v>
      </c>
      <c r="J710" s="27">
        <v>616</v>
      </c>
      <c r="K710" s="25">
        <v>0</v>
      </c>
      <c r="L710" s="22" t="s">
        <v>17</v>
      </c>
      <c r="M710" s="23" t="s">
        <v>18</v>
      </c>
    </row>
    <row r="711" spans="1:13" x14ac:dyDescent="0.35">
      <c r="A711" s="22" t="s">
        <v>872</v>
      </c>
      <c r="B711" s="22" t="s">
        <v>1794</v>
      </c>
      <c r="C711" s="22" t="s">
        <v>57</v>
      </c>
      <c r="D711" s="22" t="s">
        <v>43</v>
      </c>
      <c r="E711" s="22" t="s">
        <v>33</v>
      </c>
      <c r="F711" s="22" t="s">
        <v>25</v>
      </c>
      <c r="G711" s="22" t="s">
        <v>21</v>
      </c>
      <c r="H711" s="22">
        <v>55</v>
      </c>
      <c r="I711" s="24">
        <v>42130</v>
      </c>
      <c r="J711" s="27">
        <v>701</v>
      </c>
      <c r="K711" s="25">
        <v>0</v>
      </c>
      <c r="L711" s="22" t="s">
        <v>17</v>
      </c>
      <c r="M711" s="23" t="s">
        <v>54</v>
      </c>
    </row>
    <row r="712" spans="1:13" x14ac:dyDescent="0.35">
      <c r="A712" s="22" t="s">
        <v>873</v>
      </c>
      <c r="B712" s="22" t="s">
        <v>1795</v>
      </c>
      <c r="C712" s="22" t="s">
        <v>53</v>
      </c>
      <c r="D712" s="22" t="s">
        <v>20</v>
      </c>
      <c r="E712" s="22" t="s">
        <v>14</v>
      </c>
      <c r="F712" s="22" t="s">
        <v>15</v>
      </c>
      <c r="G712" s="22" t="s">
        <v>21</v>
      </c>
      <c r="H712" s="22">
        <v>44</v>
      </c>
      <c r="I712" s="24">
        <v>40802</v>
      </c>
      <c r="J712" s="27">
        <v>730</v>
      </c>
      <c r="K712" s="25">
        <v>0.06</v>
      </c>
      <c r="L712" s="22" t="s">
        <v>30</v>
      </c>
      <c r="M712" s="23" t="s">
        <v>52</v>
      </c>
    </row>
    <row r="713" spans="1:13" x14ac:dyDescent="0.35">
      <c r="A713" s="22" t="s">
        <v>874</v>
      </c>
      <c r="B713" s="22" t="s">
        <v>1796</v>
      </c>
      <c r="C713" s="22" t="s">
        <v>36</v>
      </c>
      <c r="D713" s="22" t="s">
        <v>20</v>
      </c>
      <c r="E713" s="22" t="s">
        <v>1102</v>
      </c>
      <c r="F713" s="22" t="s">
        <v>15</v>
      </c>
      <c r="G713" s="22" t="s">
        <v>16</v>
      </c>
      <c r="H713" s="22">
        <v>28</v>
      </c>
      <c r="I713" s="24">
        <v>43852</v>
      </c>
      <c r="J713" s="27">
        <v>955</v>
      </c>
      <c r="K713" s="25">
        <v>0.21</v>
      </c>
      <c r="L713" s="22" t="s">
        <v>17</v>
      </c>
      <c r="M713" s="23" t="s">
        <v>22</v>
      </c>
    </row>
    <row r="714" spans="1:13" x14ac:dyDescent="0.35">
      <c r="A714" s="22" t="s">
        <v>875</v>
      </c>
      <c r="B714" s="22" t="s">
        <v>1797</v>
      </c>
      <c r="C714" s="22" t="s">
        <v>83</v>
      </c>
      <c r="D714" s="22" t="s">
        <v>28</v>
      </c>
      <c r="E714" s="22" t="s">
        <v>29</v>
      </c>
      <c r="F714" s="22" t="s">
        <v>15</v>
      </c>
      <c r="G714" s="22" t="s">
        <v>21</v>
      </c>
      <c r="H714" s="22">
        <v>55</v>
      </c>
      <c r="I714" s="24">
        <v>34835</v>
      </c>
      <c r="J714" s="27">
        <v>800</v>
      </c>
      <c r="K714" s="25">
        <v>0</v>
      </c>
      <c r="L714" s="22" t="s">
        <v>17</v>
      </c>
      <c r="M714" s="23" t="s">
        <v>22</v>
      </c>
    </row>
    <row r="715" spans="1:13" x14ac:dyDescent="0.35">
      <c r="A715" s="22" t="s">
        <v>876</v>
      </c>
      <c r="B715" s="22" t="s">
        <v>1798</v>
      </c>
      <c r="C715" s="22" t="s">
        <v>27</v>
      </c>
      <c r="D715" s="22" t="s">
        <v>28</v>
      </c>
      <c r="E715" s="22" t="s">
        <v>14</v>
      </c>
      <c r="F715" s="22" t="s">
        <v>25</v>
      </c>
      <c r="G715" s="22" t="s">
        <v>41</v>
      </c>
      <c r="H715" s="22">
        <v>44</v>
      </c>
      <c r="I715" s="24">
        <v>43753</v>
      </c>
      <c r="J715" s="27">
        <v>551</v>
      </c>
      <c r="K715" s="25">
        <v>0</v>
      </c>
      <c r="L715" s="22" t="s">
        <v>17</v>
      </c>
      <c r="M715" s="23" t="s">
        <v>40</v>
      </c>
    </row>
    <row r="716" spans="1:13" x14ac:dyDescent="0.35">
      <c r="A716" s="22" t="s">
        <v>238</v>
      </c>
      <c r="B716" s="22" t="s">
        <v>1799</v>
      </c>
      <c r="C716" s="22" t="s">
        <v>12</v>
      </c>
      <c r="D716" s="22" t="s">
        <v>43</v>
      </c>
      <c r="E716" s="22" t="s">
        <v>29</v>
      </c>
      <c r="F716" s="22" t="s">
        <v>15</v>
      </c>
      <c r="G716" s="22" t="s">
        <v>21</v>
      </c>
      <c r="H716" s="22">
        <v>30</v>
      </c>
      <c r="I716" s="24">
        <v>43747</v>
      </c>
      <c r="J716" s="27">
        <v>745</v>
      </c>
      <c r="K716" s="25">
        <v>0.4</v>
      </c>
      <c r="L716" s="22" t="s">
        <v>17</v>
      </c>
      <c r="M716" s="23" t="s">
        <v>40</v>
      </c>
    </row>
    <row r="717" spans="1:13" x14ac:dyDescent="0.35">
      <c r="A717" s="22" t="s">
        <v>877</v>
      </c>
      <c r="B717" s="22" t="s">
        <v>1800</v>
      </c>
      <c r="C717" s="22" t="s">
        <v>53</v>
      </c>
      <c r="D717" s="22" t="s">
        <v>39</v>
      </c>
      <c r="E717" s="22" t="s">
        <v>14</v>
      </c>
      <c r="F717" s="22" t="s">
        <v>15</v>
      </c>
      <c r="G717" s="22" t="s">
        <v>21</v>
      </c>
      <c r="H717" s="22">
        <v>63</v>
      </c>
      <c r="I717" s="24">
        <v>38439</v>
      </c>
      <c r="J717" s="27">
        <v>809</v>
      </c>
      <c r="K717" s="25">
        <v>0.08</v>
      </c>
      <c r="L717" s="22" t="s">
        <v>17</v>
      </c>
      <c r="M717" s="23" t="s">
        <v>22</v>
      </c>
    </row>
    <row r="718" spans="1:13" x14ac:dyDescent="0.35">
      <c r="A718" s="22" t="s">
        <v>878</v>
      </c>
      <c r="B718" s="22" t="s">
        <v>1801</v>
      </c>
      <c r="C718" s="22" t="s">
        <v>73</v>
      </c>
      <c r="D718" s="22" t="s">
        <v>24</v>
      </c>
      <c r="E718" s="22" t="s">
        <v>33</v>
      </c>
      <c r="F718" s="22" t="s">
        <v>15</v>
      </c>
      <c r="G718" s="22" t="s">
        <v>21</v>
      </c>
      <c r="H718" s="22">
        <v>36</v>
      </c>
      <c r="I718" s="24">
        <v>43340</v>
      </c>
      <c r="J718" s="27">
        <v>880</v>
      </c>
      <c r="K718" s="25">
        <v>0</v>
      </c>
      <c r="L718" s="22" t="s">
        <v>30</v>
      </c>
      <c r="M718" s="23" t="s">
        <v>52</v>
      </c>
    </row>
    <row r="719" spans="1:13" x14ac:dyDescent="0.35">
      <c r="A719" s="22" t="s">
        <v>879</v>
      </c>
      <c r="B719" s="22" t="s">
        <v>1802</v>
      </c>
      <c r="C719" s="22" t="s">
        <v>1111</v>
      </c>
      <c r="D719" s="22" t="s">
        <v>56</v>
      </c>
      <c r="E719" s="22" t="s">
        <v>14</v>
      </c>
      <c r="F719" s="22" t="s">
        <v>25</v>
      </c>
      <c r="G719" s="22" t="s">
        <v>44</v>
      </c>
      <c r="H719" s="22">
        <v>28</v>
      </c>
      <c r="I719" s="24">
        <v>43581</v>
      </c>
      <c r="J719" s="27">
        <v>526</v>
      </c>
      <c r="K719" s="25">
        <v>0.12</v>
      </c>
      <c r="L719" s="22" t="s">
        <v>45</v>
      </c>
      <c r="M719" s="23" t="s">
        <v>1134</v>
      </c>
    </row>
    <row r="720" spans="1:13" x14ac:dyDescent="0.35">
      <c r="A720" s="22" t="s">
        <v>254</v>
      </c>
      <c r="B720" s="22" t="s">
        <v>1803</v>
      </c>
      <c r="C720" s="22" t="s">
        <v>55</v>
      </c>
      <c r="D720" s="22" t="s">
        <v>56</v>
      </c>
      <c r="E720" s="22" t="s">
        <v>14</v>
      </c>
      <c r="F720" s="22" t="s">
        <v>25</v>
      </c>
      <c r="G720" s="22" t="s">
        <v>21</v>
      </c>
      <c r="H720" s="22">
        <v>28</v>
      </c>
      <c r="I720" s="24">
        <v>43274</v>
      </c>
      <c r="J720" s="27">
        <v>760</v>
      </c>
      <c r="K720" s="25">
        <v>0</v>
      </c>
      <c r="L720" s="22" t="s">
        <v>17</v>
      </c>
      <c r="M720" s="23" t="s">
        <v>54</v>
      </c>
    </row>
    <row r="721" spans="1:13" x14ac:dyDescent="0.35">
      <c r="A721" s="22" t="s">
        <v>880</v>
      </c>
      <c r="B721" s="22" t="s">
        <v>1804</v>
      </c>
      <c r="C721" s="22" t="s">
        <v>53</v>
      </c>
      <c r="D721" s="22" t="s">
        <v>13</v>
      </c>
      <c r="E721" s="22" t="s">
        <v>1102</v>
      </c>
      <c r="F721" s="22" t="s">
        <v>15</v>
      </c>
      <c r="G721" s="22" t="s">
        <v>44</v>
      </c>
      <c r="H721" s="22">
        <v>27</v>
      </c>
      <c r="I721" s="24">
        <v>44441</v>
      </c>
      <c r="J721" s="27">
        <v>681</v>
      </c>
      <c r="K721" s="25">
        <v>0.1</v>
      </c>
      <c r="L721" s="22" t="s">
        <v>45</v>
      </c>
      <c r="M721" s="23" t="s">
        <v>1134</v>
      </c>
    </row>
    <row r="722" spans="1:13" x14ac:dyDescent="0.35">
      <c r="A722" s="22" t="s">
        <v>881</v>
      </c>
      <c r="B722" s="22" t="s">
        <v>1805</v>
      </c>
      <c r="C722" s="22" t="s">
        <v>68</v>
      </c>
      <c r="D722" s="22" t="s">
        <v>20</v>
      </c>
      <c r="E722" s="22" t="s">
        <v>1102</v>
      </c>
      <c r="F722" s="22" t="s">
        <v>15</v>
      </c>
      <c r="G722" s="22" t="s">
        <v>41</v>
      </c>
      <c r="H722" s="22">
        <v>34</v>
      </c>
      <c r="I722" s="24">
        <v>44816</v>
      </c>
      <c r="J722" s="27">
        <v>740</v>
      </c>
      <c r="K722" s="25">
        <v>0</v>
      </c>
      <c r="L722" s="22" t="s">
        <v>17</v>
      </c>
      <c r="M722" s="23" t="s">
        <v>54</v>
      </c>
    </row>
    <row r="723" spans="1:13" x14ac:dyDescent="0.35">
      <c r="A723" s="22" t="s">
        <v>882</v>
      </c>
      <c r="B723" s="22" t="s">
        <v>1806</v>
      </c>
      <c r="C723" s="22" t="s">
        <v>59</v>
      </c>
      <c r="D723" s="22" t="s">
        <v>24</v>
      </c>
      <c r="E723" s="22" t="s">
        <v>1102</v>
      </c>
      <c r="F723" s="22" t="s">
        <v>25</v>
      </c>
      <c r="G723" s="22" t="s">
        <v>44</v>
      </c>
      <c r="H723" s="22">
        <v>53</v>
      </c>
      <c r="I723" s="24">
        <v>34444</v>
      </c>
      <c r="J723" s="27">
        <v>678</v>
      </c>
      <c r="K723" s="25">
        <v>0</v>
      </c>
      <c r="L723" s="22" t="s">
        <v>45</v>
      </c>
      <c r="M723" s="23" t="s">
        <v>1134</v>
      </c>
    </row>
    <row r="724" spans="1:13" x14ac:dyDescent="0.35">
      <c r="A724" s="22" t="s">
        <v>883</v>
      </c>
      <c r="B724" s="22" t="s">
        <v>1807</v>
      </c>
      <c r="C724" s="22" t="s">
        <v>69</v>
      </c>
      <c r="D724" s="22" t="s">
        <v>28</v>
      </c>
      <c r="E724" s="22" t="s">
        <v>29</v>
      </c>
      <c r="F724" s="22" t="s">
        <v>25</v>
      </c>
      <c r="G724" s="22" t="s">
        <v>16</v>
      </c>
      <c r="H724" s="22">
        <v>50</v>
      </c>
      <c r="I724" s="24">
        <v>40923</v>
      </c>
      <c r="J724" s="27">
        <v>657</v>
      </c>
      <c r="K724" s="25">
        <v>0</v>
      </c>
      <c r="L724" s="22" t="s">
        <v>17</v>
      </c>
      <c r="M724" s="23" t="s">
        <v>40</v>
      </c>
    </row>
    <row r="725" spans="1:13" x14ac:dyDescent="0.35">
      <c r="A725" s="22" t="s">
        <v>884</v>
      </c>
      <c r="B725" s="22" t="s">
        <v>1808</v>
      </c>
      <c r="C725" s="22" t="s">
        <v>71</v>
      </c>
      <c r="D725" s="22" t="s">
        <v>24</v>
      </c>
      <c r="E725" s="22" t="s">
        <v>33</v>
      </c>
      <c r="F725" s="22" t="s">
        <v>25</v>
      </c>
      <c r="G725" s="22" t="s">
        <v>44</v>
      </c>
      <c r="H725" s="22">
        <v>51</v>
      </c>
      <c r="I725" s="24">
        <v>43272</v>
      </c>
      <c r="J725" s="27">
        <v>516</v>
      </c>
      <c r="K725" s="25">
        <v>0</v>
      </c>
      <c r="L725" s="22" t="s">
        <v>17</v>
      </c>
      <c r="M725" s="23" t="s">
        <v>35</v>
      </c>
    </row>
    <row r="726" spans="1:13" x14ac:dyDescent="0.35">
      <c r="A726" s="22" t="s">
        <v>885</v>
      </c>
      <c r="B726" s="22" t="s">
        <v>1809</v>
      </c>
      <c r="C726" s="22" t="s">
        <v>73</v>
      </c>
      <c r="D726" s="22" t="s">
        <v>24</v>
      </c>
      <c r="E726" s="22" t="s">
        <v>14</v>
      </c>
      <c r="F726" s="22" t="s">
        <v>15</v>
      </c>
      <c r="G726" s="22" t="s">
        <v>21</v>
      </c>
      <c r="H726" s="22">
        <v>27</v>
      </c>
      <c r="I726" s="24">
        <v>44519</v>
      </c>
      <c r="J726" s="27">
        <v>873</v>
      </c>
      <c r="K726" s="25">
        <v>0</v>
      </c>
      <c r="L726" s="22" t="s">
        <v>30</v>
      </c>
      <c r="M726" s="23" t="s">
        <v>61</v>
      </c>
    </row>
    <row r="727" spans="1:13" x14ac:dyDescent="0.35">
      <c r="A727" s="22" t="s">
        <v>886</v>
      </c>
      <c r="B727" s="22" t="s">
        <v>1810</v>
      </c>
      <c r="C727" s="22" t="s">
        <v>57</v>
      </c>
      <c r="D727" s="22" t="s">
        <v>56</v>
      </c>
      <c r="E727" s="22" t="s">
        <v>14</v>
      </c>
      <c r="F727" s="22" t="s">
        <v>15</v>
      </c>
      <c r="G727" s="22" t="s">
        <v>44</v>
      </c>
      <c r="H727" s="22">
        <v>33</v>
      </c>
      <c r="I727" s="24">
        <v>43551</v>
      </c>
      <c r="J727" s="27">
        <v>522</v>
      </c>
      <c r="K727" s="25">
        <v>0</v>
      </c>
      <c r="L727" s="22" t="s">
        <v>45</v>
      </c>
      <c r="M727" s="23" t="s">
        <v>46</v>
      </c>
    </row>
    <row r="728" spans="1:13" x14ac:dyDescent="0.35">
      <c r="A728" s="22" t="s">
        <v>79</v>
      </c>
      <c r="B728" s="22" t="s">
        <v>206</v>
      </c>
      <c r="C728" s="22" t="s">
        <v>63</v>
      </c>
      <c r="D728" s="22" t="s">
        <v>20</v>
      </c>
      <c r="E728" s="22" t="s">
        <v>29</v>
      </c>
      <c r="F728" s="22" t="s">
        <v>25</v>
      </c>
      <c r="G728" s="22" t="s">
        <v>16</v>
      </c>
      <c r="H728" s="22">
        <v>46</v>
      </c>
      <c r="I728" s="24">
        <v>40928</v>
      </c>
      <c r="J728" s="27">
        <v>603</v>
      </c>
      <c r="K728" s="25">
        <v>0</v>
      </c>
      <c r="L728" s="22" t="s">
        <v>17</v>
      </c>
      <c r="M728" s="23" t="s">
        <v>40</v>
      </c>
    </row>
    <row r="729" spans="1:13" x14ac:dyDescent="0.35">
      <c r="A729" s="22" t="s">
        <v>887</v>
      </c>
      <c r="B729" s="22" t="s">
        <v>1811</v>
      </c>
      <c r="C729" s="22" t="s">
        <v>12</v>
      </c>
      <c r="D729" s="22" t="s">
        <v>20</v>
      </c>
      <c r="E729" s="22" t="s">
        <v>29</v>
      </c>
      <c r="F729" s="22" t="s">
        <v>15</v>
      </c>
      <c r="G729" s="22" t="s">
        <v>21</v>
      </c>
      <c r="H729" s="22">
        <v>51</v>
      </c>
      <c r="I729" s="24">
        <v>38642</v>
      </c>
      <c r="J729" s="27">
        <v>583</v>
      </c>
      <c r="K729" s="25">
        <v>0.36</v>
      </c>
      <c r="L729" s="22" t="s">
        <v>17</v>
      </c>
      <c r="M729" s="23" t="s">
        <v>26</v>
      </c>
    </row>
    <row r="730" spans="1:13" x14ac:dyDescent="0.35">
      <c r="A730" s="22" t="s">
        <v>198</v>
      </c>
      <c r="B730" s="22" t="s">
        <v>1812</v>
      </c>
      <c r="C730" s="22" t="s">
        <v>62</v>
      </c>
      <c r="D730" s="22" t="s">
        <v>24</v>
      </c>
      <c r="E730" s="22" t="s">
        <v>33</v>
      </c>
      <c r="F730" s="22" t="s">
        <v>25</v>
      </c>
      <c r="G730" s="22" t="s">
        <v>21</v>
      </c>
      <c r="H730" s="22">
        <v>31</v>
      </c>
      <c r="I730" s="24">
        <v>43379</v>
      </c>
      <c r="J730" s="27">
        <v>703</v>
      </c>
      <c r="K730" s="25">
        <v>0</v>
      </c>
      <c r="L730" s="22" t="s">
        <v>30</v>
      </c>
      <c r="M730" s="23" t="s">
        <v>61</v>
      </c>
    </row>
    <row r="731" spans="1:13" x14ac:dyDescent="0.35">
      <c r="A731" s="22" t="s">
        <v>888</v>
      </c>
      <c r="B731" s="22" t="s">
        <v>1813</v>
      </c>
      <c r="C731" s="22" t="s">
        <v>12</v>
      </c>
      <c r="D731" s="22" t="s">
        <v>43</v>
      </c>
      <c r="E731" s="22" t="s">
        <v>33</v>
      </c>
      <c r="F731" s="22" t="s">
        <v>25</v>
      </c>
      <c r="G731" s="22" t="s">
        <v>16</v>
      </c>
      <c r="H731" s="22">
        <v>45</v>
      </c>
      <c r="I731" s="24">
        <v>41966</v>
      </c>
      <c r="J731" s="27">
        <v>672</v>
      </c>
      <c r="K731" s="25">
        <v>0.31</v>
      </c>
      <c r="L731" s="22" t="s">
        <v>17</v>
      </c>
      <c r="M731" s="23" t="s">
        <v>22</v>
      </c>
    </row>
    <row r="732" spans="1:13" x14ac:dyDescent="0.35">
      <c r="A732" s="22" t="s">
        <v>253</v>
      </c>
      <c r="B732" s="22" t="s">
        <v>1814</v>
      </c>
      <c r="C732" s="22" t="s">
        <v>53</v>
      </c>
      <c r="D732" s="22" t="s">
        <v>13</v>
      </c>
      <c r="E732" s="22" t="s">
        <v>29</v>
      </c>
      <c r="F732" s="22" t="s">
        <v>25</v>
      </c>
      <c r="G732" s="22" t="s">
        <v>21</v>
      </c>
      <c r="H732" s="22">
        <v>38</v>
      </c>
      <c r="I732" s="24">
        <v>40737</v>
      </c>
      <c r="J732" s="27">
        <v>673</v>
      </c>
      <c r="K732" s="25">
        <v>0.1</v>
      </c>
      <c r="L732" s="22" t="s">
        <v>30</v>
      </c>
      <c r="M732" s="23" t="s">
        <v>61</v>
      </c>
    </row>
    <row r="733" spans="1:13" x14ac:dyDescent="0.35">
      <c r="A733" s="22" t="s">
        <v>889</v>
      </c>
      <c r="B733" s="22" t="s">
        <v>1815</v>
      </c>
      <c r="C733" s="22" t="s">
        <v>53</v>
      </c>
      <c r="D733" s="22" t="s">
        <v>56</v>
      </c>
      <c r="E733" s="22" t="s">
        <v>1102</v>
      </c>
      <c r="F733" s="22" t="s">
        <v>15</v>
      </c>
      <c r="G733" s="22" t="s">
        <v>44</v>
      </c>
      <c r="H733" s="22">
        <v>42</v>
      </c>
      <c r="I733" s="24">
        <v>40229</v>
      </c>
      <c r="J733" s="27">
        <v>752</v>
      </c>
      <c r="K733" s="25">
        <v>7.0000000000000007E-2</v>
      </c>
      <c r="L733" s="22" t="s">
        <v>45</v>
      </c>
      <c r="M733" s="23" t="s">
        <v>46</v>
      </c>
    </row>
    <row r="734" spans="1:13" x14ac:dyDescent="0.35">
      <c r="A734" s="22" t="s">
        <v>890</v>
      </c>
      <c r="B734" s="22" t="s">
        <v>1816</v>
      </c>
      <c r="C734" s="22" t="s">
        <v>70</v>
      </c>
      <c r="D734" s="22" t="s">
        <v>28</v>
      </c>
      <c r="E734" s="22" t="s">
        <v>33</v>
      </c>
      <c r="F734" s="22" t="s">
        <v>25</v>
      </c>
      <c r="G734" s="22" t="s">
        <v>44</v>
      </c>
      <c r="H734" s="22">
        <v>43</v>
      </c>
      <c r="I734" s="24">
        <v>43356</v>
      </c>
      <c r="J734" s="27">
        <v>989</v>
      </c>
      <c r="K734" s="25">
        <v>0</v>
      </c>
      <c r="L734" s="22" t="s">
        <v>17</v>
      </c>
      <c r="M734" s="23" t="s">
        <v>18</v>
      </c>
    </row>
    <row r="735" spans="1:13" x14ac:dyDescent="0.35">
      <c r="A735" s="22" t="s">
        <v>891</v>
      </c>
      <c r="B735" s="22" t="s">
        <v>1817</v>
      </c>
      <c r="C735" s="22" t="s">
        <v>36</v>
      </c>
      <c r="D735" s="22" t="s">
        <v>24</v>
      </c>
      <c r="E735" s="22" t="s">
        <v>29</v>
      </c>
      <c r="F735" s="22" t="s">
        <v>25</v>
      </c>
      <c r="G735" s="22" t="s">
        <v>16</v>
      </c>
      <c r="H735" s="22">
        <v>28</v>
      </c>
      <c r="I735" s="24">
        <v>43958</v>
      </c>
      <c r="J735" s="27">
        <v>898</v>
      </c>
      <c r="K735" s="25">
        <v>0.24</v>
      </c>
      <c r="L735" s="22" t="s">
        <v>17</v>
      </c>
      <c r="M735" s="23" t="s">
        <v>22</v>
      </c>
    </row>
    <row r="736" spans="1:13" x14ac:dyDescent="0.35">
      <c r="A736" s="22" t="s">
        <v>892</v>
      </c>
      <c r="B736" s="22" t="s">
        <v>1818</v>
      </c>
      <c r="C736" s="22" t="s">
        <v>55</v>
      </c>
      <c r="D736" s="22" t="s">
        <v>13</v>
      </c>
      <c r="E736" s="22" t="s">
        <v>14</v>
      </c>
      <c r="F736" s="22" t="s">
        <v>15</v>
      </c>
      <c r="G736" s="22" t="s">
        <v>21</v>
      </c>
      <c r="H736" s="22">
        <v>57</v>
      </c>
      <c r="I736" s="24">
        <v>43241</v>
      </c>
      <c r="J736" s="27">
        <v>588</v>
      </c>
      <c r="K736" s="25">
        <v>0</v>
      </c>
      <c r="L736" s="22" t="s">
        <v>30</v>
      </c>
      <c r="M736" s="23" t="s">
        <v>31</v>
      </c>
    </row>
    <row r="737" spans="1:13" x14ac:dyDescent="0.35">
      <c r="A737" s="22" t="s">
        <v>893</v>
      </c>
      <c r="B737" s="22" t="s">
        <v>1819</v>
      </c>
      <c r="C737" s="22" t="s">
        <v>36</v>
      </c>
      <c r="D737" s="22" t="s">
        <v>28</v>
      </c>
      <c r="E737" s="22" t="s">
        <v>14</v>
      </c>
      <c r="F737" s="22" t="s">
        <v>25</v>
      </c>
      <c r="G737" s="22" t="s">
        <v>21</v>
      </c>
      <c r="H737" s="22">
        <v>33</v>
      </c>
      <c r="I737" s="24">
        <v>42588</v>
      </c>
      <c r="J737" s="27">
        <v>872</v>
      </c>
      <c r="K737" s="25">
        <v>0.19</v>
      </c>
      <c r="L737" s="22" t="s">
        <v>30</v>
      </c>
      <c r="M737" s="23" t="s">
        <v>65</v>
      </c>
    </row>
    <row r="738" spans="1:13" x14ac:dyDescent="0.35">
      <c r="A738" s="22" t="s">
        <v>894</v>
      </c>
      <c r="B738" s="22" t="s">
        <v>1820</v>
      </c>
      <c r="C738" s="22" t="s">
        <v>1111</v>
      </c>
      <c r="D738" s="22" t="s">
        <v>13</v>
      </c>
      <c r="E738" s="22" t="s">
        <v>29</v>
      </c>
      <c r="F738" s="22" t="s">
        <v>25</v>
      </c>
      <c r="G738" s="22" t="s">
        <v>21</v>
      </c>
      <c r="H738" s="22">
        <v>32</v>
      </c>
      <c r="I738" s="24">
        <v>44113</v>
      </c>
      <c r="J738" s="27">
        <v>616</v>
      </c>
      <c r="K738" s="25">
        <v>0.1</v>
      </c>
      <c r="L738" s="22" t="s">
        <v>30</v>
      </c>
      <c r="M738" s="23" t="s">
        <v>61</v>
      </c>
    </row>
    <row r="739" spans="1:13" x14ac:dyDescent="0.35">
      <c r="A739" s="22" t="s">
        <v>895</v>
      </c>
      <c r="B739" s="22" t="s">
        <v>1821</v>
      </c>
      <c r="C739" s="22" t="s">
        <v>27</v>
      </c>
      <c r="D739" s="22" t="s">
        <v>28</v>
      </c>
      <c r="E739" s="22" t="s">
        <v>29</v>
      </c>
      <c r="F739" s="22" t="s">
        <v>25</v>
      </c>
      <c r="G739" s="22" t="s">
        <v>21</v>
      </c>
      <c r="H739" s="22">
        <v>45</v>
      </c>
      <c r="I739" s="24">
        <v>39801</v>
      </c>
      <c r="J739" s="27">
        <v>610</v>
      </c>
      <c r="K739" s="25">
        <v>0</v>
      </c>
      <c r="L739" s="22" t="s">
        <v>30</v>
      </c>
      <c r="M739" s="23" t="s">
        <v>52</v>
      </c>
    </row>
    <row r="740" spans="1:13" x14ac:dyDescent="0.35">
      <c r="A740" s="22" t="s">
        <v>896</v>
      </c>
      <c r="B740" s="22" t="s">
        <v>1822</v>
      </c>
      <c r="C740" s="22" t="s">
        <v>1111</v>
      </c>
      <c r="D740" s="22" t="s">
        <v>24</v>
      </c>
      <c r="E740" s="22" t="s">
        <v>29</v>
      </c>
      <c r="F740" s="22" t="s">
        <v>15</v>
      </c>
      <c r="G740" s="22" t="s">
        <v>21</v>
      </c>
      <c r="H740" s="22">
        <v>33</v>
      </c>
      <c r="I740" s="24">
        <v>43364</v>
      </c>
      <c r="J740" s="27">
        <v>664</v>
      </c>
      <c r="K740" s="25">
        <v>0.12</v>
      </c>
      <c r="L740" s="22" t="s">
        <v>30</v>
      </c>
      <c r="M740" s="23" t="s">
        <v>65</v>
      </c>
    </row>
    <row r="741" spans="1:13" x14ac:dyDescent="0.35">
      <c r="A741" s="22" t="s">
        <v>897</v>
      </c>
      <c r="B741" s="22" t="s">
        <v>1823</v>
      </c>
      <c r="C741" s="22" t="s">
        <v>1111</v>
      </c>
      <c r="D741" s="22" t="s">
        <v>24</v>
      </c>
      <c r="E741" s="22" t="s">
        <v>1102</v>
      </c>
      <c r="F741" s="22" t="s">
        <v>25</v>
      </c>
      <c r="G741" s="22" t="s">
        <v>21</v>
      </c>
      <c r="H741" s="22">
        <v>43</v>
      </c>
      <c r="I741" s="24">
        <v>40998</v>
      </c>
      <c r="J741" s="27">
        <v>941</v>
      </c>
      <c r="K741" s="25">
        <v>0.12</v>
      </c>
      <c r="L741" s="22" t="s">
        <v>30</v>
      </c>
      <c r="M741" s="23" t="s">
        <v>65</v>
      </c>
    </row>
    <row r="742" spans="1:13" x14ac:dyDescent="0.35">
      <c r="A742" s="22" t="s">
        <v>898</v>
      </c>
      <c r="B742" s="22" t="s">
        <v>1824</v>
      </c>
      <c r="C742" s="22" t="s">
        <v>55</v>
      </c>
      <c r="D742" s="22" t="s">
        <v>43</v>
      </c>
      <c r="E742" s="22" t="s">
        <v>33</v>
      </c>
      <c r="F742" s="22" t="s">
        <v>15</v>
      </c>
      <c r="G742" s="22" t="s">
        <v>16</v>
      </c>
      <c r="H742" s="22">
        <v>62</v>
      </c>
      <c r="I742" s="24">
        <v>42316</v>
      </c>
      <c r="J742" s="27">
        <v>816</v>
      </c>
      <c r="K742" s="25">
        <v>0</v>
      </c>
      <c r="L742" s="22" t="s">
        <v>17</v>
      </c>
      <c r="M742" s="23" t="s">
        <v>18</v>
      </c>
    </row>
    <row r="743" spans="1:13" x14ac:dyDescent="0.35">
      <c r="A743" s="22" t="s">
        <v>899</v>
      </c>
      <c r="B743" s="22" t="s">
        <v>1825</v>
      </c>
      <c r="C743" s="22" t="s">
        <v>1111</v>
      </c>
      <c r="D743" s="22" t="s">
        <v>39</v>
      </c>
      <c r="E743" s="22" t="s">
        <v>1102</v>
      </c>
      <c r="F743" s="22" t="s">
        <v>15</v>
      </c>
      <c r="G743" s="22" t="s">
        <v>44</v>
      </c>
      <c r="H743" s="22">
        <v>36</v>
      </c>
      <c r="I743" s="24">
        <v>43473</v>
      </c>
      <c r="J743" s="27">
        <v>515</v>
      </c>
      <c r="K743" s="25">
        <v>0.1</v>
      </c>
      <c r="L743" s="22" t="s">
        <v>45</v>
      </c>
      <c r="M743" s="23" t="s">
        <v>1134</v>
      </c>
    </row>
    <row r="744" spans="1:13" x14ac:dyDescent="0.35">
      <c r="A744" s="22" t="s">
        <v>64</v>
      </c>
      <c r="B744" s="22" t="s">
        <v>1826</v>
      </c>
      <c r="C744" s="22" t="s">
        <v>57</v>
      </c>
      <c r="D744" s="22" t="s">
        <v>43</v>
      </c>
      <c r="E744" s="22" t="s">
        <v>29</v>
      </c>
      <c r="F744" s="22" t="s">
        <v>15</v>
      </c>
      <c r="G744" s="22" t="s">
        <v>44</v>
      </c>
      <c r="H744" s="22">
        <v>36</v>
      </c>
      <c r="I744" s="24">
        <v>44010</v>
      </c>
      <c r="J744" s="27">
        <v>766</v>
      </c>
      <c r="K744" s="25">
        <v>0</v>
      </c>
      <c r="L744" s="22" t="s">
        <v>17</v>
      </c>
      <c r="M744" s="23" t="s">
        <v>35</v>
      </c>
    </row>
    <row r="745" spans="1:13" x14ac:dyDescent="0.35">
      <c r="A745" s="22" t="s">
        <v>900</v>
      </c>
      <c r="B745" s="22" t="s">
        <v>1827</v>
      </c>
      <c r="C745" s="22" t="s">
        <v>83</v>
      </c>
      <c r="D745" s="22" t="s">
        <v>28</v>
      </c>
      <c r="E745" s="22" t="s">
        <v>33</v>
      </c>
      <c r="F745" s="22" t="s">
        <v>15</v>
      </c>
      <c r="G745" s="22" t="s">
        <v>21</v>
      </c>
      <c r="H745" s="22">
        <v>31</v>
      </c>
      <c r="I745" s="24">
        <v>44751</v>
      </c>
      <c r="J745" s="27">
        <v>802</v>
      </c>
      <c r="K745" s="25">
        <v>0</v>
      </c>
      <c r="L745" s="22" t="s">
        <v>17</v>
      </c>
      <c r="M745" s="23" t="s">
        <v>35</v>
      </c>
    </row>
    <row r="746" spans="1:13" x14ac:dyDescent="0.35">
      <c r="A746" s="22" t="s">
        <v>901</v>
      </c>
      <c r="B746" s="22" t="s">
        <v>1828</v>
      </c>
      <c r="C746" s="22" t="s">
        <v>76</v>
      </c>
      <c r="D746" s="22" t="s">
        <v>28</v>
      </c>
      <c r="E746" s="22" t="s">
        <v>33</v>
      </c>
      <c r="F746" s="22" t="s">
        <v>25</v>
      </c>
      <c r="G746" s="22" t="s">
        <v>21</v>
      </c>
      <c r="H746" s="22">
        <v>62</v>
      </c>
      <c r="I746" s="24">
        <v>37968</v>
      </c>
      <c r="J746" s="27">
        <v>898</v>
      </c>
      <c r="K746" s="25">
        <v>0.14000000000000001</v>
      </c>
      <c r="L746" s="22" t="s">
        <v>30</v>
      </c>
      <c r="M746" s="23" t="s">
        <v>65</v>
      </c>
    </row>
    <row r="747" spans="1:13" x14ac:dyDescent="0.35">
      <c r="A747" s="22" t="s">
        <v>171</v>
      </c>
      <c r="B747" s="22" t="s">
        <v>1829</v>
      </c>
      <c r="C747" s="22" t="s">
        <v>57</v>
      </c>
      <c r="D747" s="22" t="s">
        <v>56</v>
      </c>
      <c r="E747" s="22" t="s">
        <v>14</v>
      </c>
      <c r="F747" s="22" t="s">
        <v>25</v>
      </c>
      <c r="G747" s="22" t="s">
        <v>21</v>
      </c>
      <c r="H747" s="22">
        <v>30</v>
      </c>
      <c r="I747" s="24">
        <v>43386</v>
      </c>
      <c r="J747" s="27">
        <v>512</v>
      </c>
      <c r="K747" s="25">
        <v>0</v>
      </c>
      <c r="L747" s="22" t="s">
        <v>30</v>
      </c>
      <c r="M747" s="23" t="s">
        <v>31</v>
      </c>
    </row>
    <row r="748" spans="1:13" x14ac:dyDescent="0.35">
      <c r="A748" s="22" t="s">
        <v>217</v>
      </c>
      <c r="B748" s="22" t="s">
        <v>1830</v>
      </c>
      <c r="C748" s="22" t="s">
        <v>34</v>
      </c>
      <c r="D748" s="22" t="s">
        <v>24</v>
      </c>
      <c r="E748" s="22" t="s">
        <v>1102</v>
      </c>
      <c r="F748" s="22" t="s">
        <v>15</v>
      </c>
      <c r="G748" s="22" t="s">
        <v>16</v>
      </c>
      <c r="H748" s="22">
        <v>46</v>
      </c>
      <c r="I748" s="24">
        <v>44569</v>
      </c>
      <c r="J748" s="27">
        <v>854</v>
      </c>
      <c r="K748" s="25">
        <v>0</v>
      </c>
      <c r="L748" s="22" t="s">
        <v>17</v>
      </c>
      <c r="M748" s="23" t="s">
        <v>54</v>
      </c>
    </row>
    <row r="749" spans="1:13" x14ac:dyDescent="0.35">
      <c r="A749" s="22" t="s">
        <v>902</v>
      </c>
      <c r="B749" s="22" t="s">
        <v>1831</v>
      </c>
      <c r="C749" s="22" t="s">
        <v>47</v>
      </c>
      <c r="D749" s="22" t="s">
        <v>24</v>
      </c>
      <c r="E749" s="22" t="s">
        <v>33</v>
      </c>
      <c r="F749" s="22" t="s">
        <v>15</v>
      </c>
      <c r="G749" s="22" t="s">
        <v>44</v>
      </c>
      <c r="H749" s="22">
        <v>38</v>
      </c>
      <c r="I749" s="24">
        <v>41329</v>
      </c>
      <c r="J749" s="27">
        <v>746</v>
      </c>
      <c r="K749" s="25">
        <v>0</v>
      </c>
      <c r="L749" s="22" t="s">
        <v>45</v>
      </c>
      <c r="M749" s="23" t="s">
        <v>46</v>
      </c>
    </row>
    <row r="750" spans="1:13" x14ac:dyDescent="0.35">
      <c r="A750" s="22" t="s">
        <v>903</v>
      </c>
      <c r="B750" s="22" t="s">
        <v>1832</v>
      </c>
      <c r="C750" s="22" t="s">
        <v>50</v>
      </c>
      <c r="D750" s="22" t="s">
        <v>28</v>
      </c>
      <c r="E750" s="22" t="s">
        <v>33</v>
      </c>
      <c r="F750" s="22" t="s">
        <v>15</v>
      </c>
      <c r="G750" s="22" t="s">
        <v>16</v>
      </c>
      <c r="H750" s="22">
        <v>58</v>
      </c>
      <c r="I750" s="24">
        <v>37613</v>
      </c>
      <c r="J750" s="27">
        <v>621</v>
      </c>
      <c r="K750" s="25">
        <v>0</v>
      </c>
      <c r="L750" s="22" t="s">
        <v>17</v>
      </c>
      <c r="M750" s="23" t="s">
        <v>26</v>
      </c>
    </row>
    <row r="751" spans="1:13" x14ac:dyDescent="0.35">
      <c r="A751" s="22" t="s">
        <v>904</v>
      </c>
      <c r="B751" s="22" t="s">
        <v>196</v>
      </c>
      <c r="C751" s="22" t="s">
        <v>23</v>
      </c>
      <c r="D751" s="22" t="s">
        <v>24</v>
      </c>
      <c r="E751" s="22" t="s">
        <v>1102</v>
      </c>
      <c r="F751" s="22" t="s">
        <v>15</v>
      </c>
      <c r="G751" s="22" t="s">
        <v>16</v>
      </c>
      <c r="H751" s="22">
        <v>27</v>
      </c>
      <c r="I751" s="24">
        <v>44687</v>
      </c>
      <c r="J751" s="27">
        <v>852</v>
      </c>
      <c r="K751" s="25">
        <v>0</v>
      </c>
      <c r="L751" s="22" t="s">
        <v>17</v>
      </c>
      <c r="M751" s="23" t="s">
        <v>40</v>
      </c>
    </row>
    <row r="752" spans="1:13" x14ac:dyDescent="0.35">
      <c r="A752" s="22" t="s">
        <v>905</v>
      </c>
      <c r="B752" s="22" t="s">
        <v>1833</v>
      </c>
      <c r="C752" s="22" t="s">
        <v>1111</v>
      </c>
      <c r="D752" s="22" t="s">
        <v>20</v>
      </c>
      <c r="E752" s="22" t="s">
        <v>1102</v>
      </c>
      <c r="F752" s="22" t="s">
        <v>25</v>
      </c>
      <c r="G752" s="22" t="s">
        <v>44</v>
      </c>
      <c r="H752" s="22">
        <v>61</v>
      </c>
      <c r="I752" s="24">
        <v>34089</v>
      </c>
      <c r="J752" s="27">
        <v>966</v>
      </c>
      <c r="K752" s="25">
        <v>0.11</v>
      </c>
      <c r="L752" s="22" t="s">
        <v>17</v>
      </c>
      <c r="M752" s="23" t="s">
        <v>40</v>
      </c>
    </row>
    <row r="753" spans="1:13" x14ac:dyDescent="0.35">
      <c r="A753" s="22" t="s">
        <v>906</v>
      </c>
      <c r="B753" s="22" t="s">
        <v>1834</v>
      </c>
      <c r="C753" s="22" t="s">
        <v>57</v>
      </c>
      <c r="D753" s="22" t="s">
        <v>13</v>
      </c>
      <c r="E753" s="22" t="s">
        <v>1102</v>
      </c>
      <c r="F753" s="22" t="s">
        <v>25</v>
      </c>
      <c r="G753" s="22" t="s">
        <v>21</v>
      </c>
      <c r="H753" s="22">
        <v>64</v>
      </c>
      <c r="I753" s="24">
        <v>42703</v>
      </c>
      <c r="J753" s="27">
        <v>929</v>
      </c>
      <c r="K753" s="25">
        <v>0</v>
      </c>
      <c r="L753" s="22" t="s">
        <v>30</v>
      </c>
      <c r="M753" s="23" t="s">
        <v>65</v>
      </c>
    </row>
    <row r="754" spans="1:13" x14ac:dyDescent="0.35">
      <c r="A754" s="22" t="s">
        <v>907</v>
      </c>
      <c r="B754" s="22" t="s">
        <v>1835</v>
      </c>
      <c r="C754" s="22" t="s">
        <v>77</v>
      </c>
      <c r="D754" s="22" t="s">
        <v>24</v>
      </c>
      <c r="E754" s="22" t="s">
        <v>29</v>
      </c>
      <c r="F754" s="22" t="s">
        <v>25</v>
      </c>
      <c r="G754" s="22" t="s">
        <v>16</v>
      </c>
      <c r="H754" s="22">
        <v>65</v>
      </c>
      <c r="I754" s="24">
        <v>42170</v>
      </c>
      <c r="J754" s="27">
        <v>787</v>
      </c>
      <c r="K754" s="25">
        <v>0</v>
      </c>
      <c r="L754" s="22" t="s">
        <v>17</v>
      </c>
      <c r="M754" s="23" t="s">
        <v>54</v>
      </c>
    </row>
    <row r="755" spans="1:13" x14ac:dyDescent="0.35">
      <c r="A755" s="22" t="s">
        <v>908</v>
      </c>
      <c r="B755" s="22" t="s">
        <v>1836</v>
      </c>
      <c r="C755" s="22" t="s">
        <v>1111</v>
      </c>
      <c r="D755" s="22" t="s">
        <v>24</v>
      </c>
      <c r="E755" s="22" t="s">
        <v>33</v>
      </c>
      <c r="F755" s="22" t="s">
        <v>15</v>
      </c>
      <c r="G755" s="22" t="s">
        <v>16</v>
      </c>
      <c r="H755" s="22">
        <v>37</v>
      </c>
      <c r="I755" s="24">
        <v>44518</v>
      </c>
      <c r="J755" s="27">
        <v>639</v>
      </c>
      <c r="K755" s="25">
        <v>0.13</v>
      </c>
      <c r="L755" s="22" t="s">
        <v>17</v>
      </c>
      <c r="M755" s="23" t="s">
        <v>54</v>
      </c>
    </row>
    <row r="756" spans="1:13" x14ac:dyDescent="0.35">
      <c r="A756" s="22" t="s">
        <v>909</v>
      </c>
      <c r="B756" s="22" t="s">
        <v>1837</v>
      </c>
      <c r="C756" s="22" t="s">
        <v>12</v>
      </c>
      <c r="D756" s="22" t="s">
        <v>56</v>
      </c>
      <c r="E756" s="22" t="s">
        <v>1102</v>
      </c>
      <c r="F756" s="22" t="s">
        <v>25</v>
      </c>
      <c r="G756" s="22" t="s">
        <v>44</v>
      </c>
      <c r="H756" s="22">
        <v>54</v>
      </c>
      <c r="I756" s="24">
        <v>34581</v>
      </c>
      <c r="J756" s="27">
        <v>503</v>
      </c>
      <c r="K756" s="25">
        <v>0.34</v>
      </c>
      <c r="L756" s="22" t="s">
        <v>45</v>
      </c>
      <c r="M756" s="23" t="s">
        <v>1134</v>
      </c>
    </row>
    <row r="757" spans="1:13" x14ac:dyDescent="0.35">
      <c r="A757" s="22" t="s">
        <v>910</v>
      </c>
      <c r="B757" s="22" t="s">
        <v>1737</v>
      </c>
      <c r="C757" s="22" t="s">
        <v>77</v>
      </c>
      <c r="D757" s="22" t="s">
        <v>24</v>
      </c>
      <c r="E757" s="22" t="s">
        <v>1102</v>
      </c>
      <c r="F757" s="22" t="s">
        <v>25</v>
      </c>
      <c r="G757" s="22" t="s">
        <v>21</v>
      </c>
      <c r="H757" s="22">
        <v>54</v>
      </c>
      <c r="I757" s="24">
        <v>39843</v>
      </c>
      <c r="J757" s="27">
        <v>846</v>
      </c>
      <c r="K757" s="25">
        <v>0</v>
      </c>
      <c r="L757" s="22" t="s">
        <v>17</v>
      </c>
      <c r="M757" s="23" t="s">
        <v>54</v>
      </c>
    </row>
    <row r="758" spans="1:13" x14ac:dyDescent="0.35">
      <c r="A758" s="22" t="s">
        <v>911</v>
      </c>
      <c r="B758" s="22" t="s">
        <v>1838</v>
      </c>
      <c r="C758" s="22" t="s">
        <v>55</v>
      </c>
      <c r="D758" s="22" t="s">
        <v>13</v>
      </c>
      <c r="E758" s="22" t="s">
        <v>1102</v>
      </c>
      <c r="F758" s="22" t="s">
        <v>15</v>
      </c>
      <c r="G758" s="22" t="s">
        <v>21</v>
      </c>
      <c r="H758" s="22">
        <v>26</v>
      </c>
      <c r="I758" s="24">
        <v>44920</v>
      </c>
      <c r="J758" s="27">
        <v>855</v>
      </c>
      <c r="K758" s="25">
        <v>0</v>
      </c>
      <c r="L758" s="22" t="s">
        <v>30</v>
      </c>
      <c r="M758" s="23" t="s">
        <v>31</v>
      </c>
    </row>
    <row r="759" spans="1:13" x14ac:dyDescent="0.35">
      <c r="A759" s="22" t="s">
        <v>912</v>
      </c>
      <c r="B759" s="22" t="s">
        <v>1839</v>
      </c>
      <c r="C759" s="22" t="s">
        <v>12</v>
      </c>
      <c r="D759" s="22" t="s">
        <v>39</v>
      </c>
      <c r="E759" s="22" t="s">
        <v>29</v>
      </c>
      <c r="F759" s="22" t="s">
        <v>15</v>
      </c>
      <c r="G759" s="22" t="s">
        <v>44</v>
      </c>
      <c r="H759" s="22">
        <v>29</v>
      </c>
      <c r="I759" s="24">
        <v>44237</v>
      </c>
      <c r="J759" s="27">
        <v>839</v>
      </c>
      <c r="K759" s="25">
        <v>0.36</v>
      </c>
      <c r="L759" s="22" t="s">
        <v>17</v>
      </c>
      <c r="M759" s="23" t="s">
        <v>35</v>
      </c>
    </row>
    <row r="760" spans="1:13" x14ac:dyDescent="0.35">
      <c r="A760" s="22" t="s">
        <v>913</v>
      </c>
      <c r="B760" s="22" t="s">
        <v>1840</v>
      </c>
      <c r="C760" s="22" t="s">
        <v>12</v>
      </c>
      <c r="D760" s="22" t="s">
        <v>20</v>
      </c>
      <c r="E760" s="22" t="s">
        <v>29</v>
      </c>
      <c r="F760" s="22" t="s">
        <v>25</v>
      </c>
      <c r="G760" s="22" t="s">
        <v>16</v>
      </c>
      <c r="H760" s="22">
        <v>37</v>
      </c>
      <c r="I760" s="24">
        <v>42045</v>
      </c>
      <c r="J760" s="27">
        <v>834</v>
      </c>
      <c r="K760" s="25">
        <v>0.32</v>
      </c>
      <c r="L760" s="22" t="s">
        <v>17</v>
      </c>
      <c r="M760" s="23" t="s">
        <v>18</v>
      </c>
    </row>
    <row r="761" spans="1:13" x14ac:dyDescent="0.35">
      <c r="A761" s="22" t="s">
        <v>163</v>
      </c>
      <c r="B761" s="22" t="s">
        <v>1841</v>
      </c>
      <c r="C761" s="22" t="s">
        <v>36</v>
      </c>
      <c r="D761" s="22" t="s">
        <v>56</v>
      </c>
      <c r="E761" s="22" t="s">
        <v>14</v>
      </c>
      <c r="F761" s="22" t="s">
        <v>15</v>
      </c>
      <c r="G761" s="22" t="s">
        <v>41</v>
      </c>
      <c r="H761" s="22">
        <v>37</v>
      </c>
      <c r="I761" s="24">
        <v>40664</v>
      </c>
      <c r="J761" s="27">
        <v>625</v>
      </c>
      <c r="K761" s="25">
        <v>0.27</v>
      </c>
      <c r="L761" s="22" t="s">
        <v>17</v>
      </c>
      <c r="M761" s="23" t="s">
        <v>18</v>
      </c>
    </row>
    <row r="762" spans="1:13" x14ac:dyDescent="0.35">
      <c r="A762" s="22" t="s">
        <v>914</v>
      </c>
      <c r="B762" s="22" t="s">
        <v>1842</v>
      </c>
      <c r="C762" s="22" t="s">
        <v>1111</v>
      </c>
      <c r="D762" s="22" t="s">
        <v>39</v>
      </c>
      <c r="E762" s="22" t="s">
        <v>14</v>
      </c>
      <c r="F762" s="22" t="s">
        <v>25</v>
      </c>
      <c r="G762" s="22" t="s">
        <v>44</v>
      </c>
      <c r="H762" s="22">
        <v>62</v>
      </c>
      <c r="I762" s="24">
        <v>36700</v>
      </c>
      <c r="J762" s="27">
        <v>903</v>
      </c>
      <c r="K762" s="25">
        <v>0.14000000000000001</v>
      </c>
      <c r="L762" s="22" t="s">
        <v>45</v>
      </c>
      <c r="M762" s="23" t="s">
        <v>1134</v>
      </c>
    </row>
    <row r="763" spans="1:13" x14ac:dyDescent="0.35">
      <c r="A763" s="22" t="s">
        <v>915</v>
      </c>
      <c r="B763" s="22" t="s">
        <v>1843</v>
      </c>
      <c r="C763" s="22" t="s">
        <v>27</v>
      </c>
      <c r="D763" s="22" t="s">
        <v>28</v>
      </c>
      <c r="E763" s="22" t="s">
        <v>29</v>
      </c>
      <c r="F763" s="22" t="s">
        <v>25</v>
      </c>
      <c r="G763" s="22" t="s">
        <v>21</v>
      </c>
      <c r="H763" s="22">
        <v>53</v>
      </c>
      <c r="I763" s="24">
        <v>36129</v>
      </c>
      <c r="J763" s="27">
        <v>846</v>
      </c>
      <c r="K763" s="25">
        <v>0</v>
      </c>
      <c r="L763" s="22" t="s">
        <v>17</v>
      </c>
      <c r="M763" s="23" t="s">
        <v>18</v>
      </c>
    </row>
    <row r="764" spans="1:13" x14ac:dyDescent="0.35">
      <c r="A764" s="22" t="s">
        <v>916</v>
      </c>
      <c r="B764" s="22" t="s">
        <v>1844</v>
      </c>
      <c r="C764" s="22" t="s">
        <v>38</v>
      </c>
      <c r="D764" s="22" t="s">
        <v>39</v>
      </c>
      <c r="E764" s="22" t="s">
        <v>33</v>
      </c>
      <c r="F764" s="22" t="s">
        <v>25</v>
      </c>
      <c r="G764" s="22" t="s">
        <v>44</v>
      </c>
      <c r="H764" s="22">
        <v>65</v>
      </c>
      <c r="I764" s="24">
        <v>38329</v>
      </c>
      <c r="J764" s="27">
        <v>770</v>
      </c>
      <c r="K764" s="25">
        <v>0</v>
      </c>
      <c r="L764" s="22" t="s">
        <v>17</v>
      </c>
      <c r="M764" s="23" t="s">
        <v>35</v>
      </c>
    </row>
    <row r="765" spans="1:13" x14ac:dyDescent="0.35">
      <c r="A765" s="22" t="s">
        <v>917</v>
      </c>
      <c r="B765" s="22" t="s">
        <v>1845</v>
      </c>
      <c r="C765" s="22" t="s">
        <v>12</v>
      </c>
      <c r="D765" s="22" t="s">
        <v>24</v>
      </c>
      <c r="E765" s="22" t="s">
        <v>33</v>
      </c>
      <c r="F765" s="22" t="s">
        <v>25</v>
      </c>
      <c r="G765" s="22" t="s">
        <v>44</v>
      </c>
      <c r="H765" s="22">
        <v>36</v>
      </c>
      <c r="I765" s="24">
        <v>44266</v>
      </c>
      <c r="J765" s="27">
        <v>682</v>
      </c>
      <c r="K765" s="25">
        <v>0.34</v>
      </c>
      <c r="L765" s="22" t="s">
        <v>45</v>
      </c>
      <c r="M765" s="23" t="s">
        <v>1134</v>
      </c>
    </row>
    <row r="766" spans="1:13" x14ac:dyDescent="0.35">
      <c r="A766" s="22" t="s">
        <v>918</v>
      </c>
      <c r="B766" s="22" t="s">
        <v>1846</v>
      </c>
      <c r="C766" s="22" t="s">
        <v>38</v>
      </c>
      <c r="D766" s="22" t="s">
        <v>39</v>
      </c>
      <c r="E766" s="22" t="s">
        <v>1102</v>
      </c>
      <c r="F766" s="22" t="s">
        <v>15</v>
      </c>
      <c r="G766" s="22" t="s">
        <v>44</v>
      </c>
      <c r="H766" s="22">
        <v>46</v>
      </c>
      <c r="I766" s="24">
        <v>40499</v>
      </c>
      <c r="J766" s="27">
        <v>818</v>
      </c>
      <c r="K766" s="25">
        <v>0</v>
      </c>
      <c r="L766" s="22" t="s">
        <v>45</v>
      </c>
      <c r="M766" s="23" t="s">
        <v>1134</v>
      </c>
    </row>
    <row r="767" spans="1:13" x14ac:dyDescent="0.35">
      <c r="A767" s="22" t="s">
        <v>919</v>
      </c>
      <c r="B767" s="22" t="s">
        <v>1847</v>
      </c>
      <c r="C767" s="22" t="s">
        <v>67</v>
      </c>
      <c r="D767" s="22" t="s">
        <v>24</v>
      </c>
      <c r="E767" s="22" t="s">
        <v>1102</v>
      </c>
      <c r="F767" s="22" t="s">
        <v>15</v>
      </c>
      <c r="G767" s="22" t="s">
        <v>44</v>
      </c>
      <c r="H767" s="22">
        <v>55</v>
      </c>
      <c r="I767" s="24">
        <v>43449</v>
      </c>
      <c r="J767" s="27">
        <v>566</v>
      </c>
      <c r="K767" s="25">
        <v>0</v>
      </c>
      <c r="L767" s="22" t="s">
        <v>45</v>
      </c>
      <c r="M767" s="23" t="s">
        <v>66</v>
      </c>
    </row>
    <row r="768" spans="1:13" x14ac:dyDescent="0.35">
      <c r="A768" s="22" t="s">
        <v>920</v>
      </c>
      <c r="B768" s="22" t="s">
        <v>1848</v>
      </c>
      <c r="C768" s="22" t="s">
        <v>27</v>
      </c>
      <c r="D768" s="22" t="s">
        <v>28</v>
      </c>
      <c r="E768" s="22" t="s">
        <v>1102</v>
      </c>
      <c r="F768" s="22" t="s">
        <v>15</v>
      </c>
      <c r="G768" s="22" t="s">
        <v>41</v>
      </c>
      <c r="H768" s="22">
        <v>63</v>
      </c>
      <c r="I768" s="24">
        <v>41551</v>
      </c>
      <c r="J768" s="27">
        <v>946</v>
      </c>
      <c r="K768" s="25">
        <v>0</v>
      </c>
      <c r="L768" s="22" t="s">
        <v>17</v>
      </c>
      <c r="M768" s="23" t="s">
        <v>40</v>
      </c>
    </row>
    <row r="769" spans="1:13" x14ac:dyDescent="0.35">
      <c r="A769" s="22" t="s">
        <v>193</v>
      </c>
      <c r="B769" s="22" t="s">
        <v>1849</v>
      </c>
      <c r="C769" s="22" t="s">
        <v>83</v>
      </c>
      <c r="D769" s="22" t="s">
        <v>28</v>
      </c>
      <c r="E769" s="22" t="s">
        <v>14</v>
      </c>
      <c r="F769" s="22" t="s">
        <v>15</v>
      </c>
      <c r="G769" s="22" t="s">
        <v>21</v>
      </c>
      <c r="H769" s="22">
        <v>54</v>
      </c>
      <c r="I769" s="24">
        <v>37677</v>
      </c>
      <c r="J769" s="27">
        <v>861</v>
      </c>
      <c r="K769" s="25">
        <v>0</v>
      </c>
      <c r="L769" s="22" t="s">
        <v>30</v>
      </c>
      <c r="M769" s="23" t="s">
        <v>61</v>
      </c>
    </row>
    <row r="770" spans="1:13" x14ac:dyDescent="0.35">
      <c r="A770" s="22" t="s">
        <v>92</v>
      </c>
      <c r="B770" s="22" t="s">
        <v>1850</v>
      </c>
      <c r="C770" s="22" t="s">
        <v>60</v>
      </c>
      <c r="D770" s="22" t="s">
        <v>24</v>
      </c>
      <c r="E770" s="22" t="s">
        <v>14</v>
      </c>
      <c r="F770" s="22" t="s">
        <v>15</v>
      </c>
      <c r="G770" s="22" t="s">
        <v>16</v>
      </c>
      <c r="H770" s="22">
        <v>26</v>
      </c>
      <c r="I770" s="24">
        <v>43879</v>
      </c>
      <c r="J770" s="27">
        <v>547</v>
      </c>
      <c r="K770" s="25">
        <v>0</v>
      </c>
      <c r="L770" s="22" t="s">
        <v>17</v>
      </c>
      <c r="M770" s="23" t="s">
        <v>40</v>
      </c>
    </row>
    <row r="771" spans="1:13" x14ac:dyDescent="0.35">
      <c r="A771" s="22" t="s">
        <v>921</v>
      </c>
      <c r="B771" s="22" t="s">
        <v>1851</v>
      </c>
      <c r="C771" s="22" t="s">
        <v>38</v>
      </c>
      <c r="D771" s="22" t="s">
        <v>56</v>
      </c>
      <c r="E771" s="22" t="s">
        <v>29</v>
      </c>
      <c r="F771" s="22" t="s">
        <v>25</v>
      </c>
      <c r="G771" s="22" t="s">
        <v>16</v>
      </c>
      <c r="H771" s="22">
        <v>26</v>
      </c>
      <c r="I771" s="24">
        <v>44688</v>
      </c>
      <c r="J771" s="27">
        <v>755</v>
      </c>
      <c r="K771" s="25">
        <v>0</v>
      </c>
      <c r="L771" s="22" t="s">
        <v>17</v>
      </c>
      <c r="M771" s="23" t="s">
        <v>26</v>
      </c>
    </row>
    <row r="772" spans="1:13" x14ac:dyDescent="0.35">
      <c r="A772" s="22" t="s">
        <v>922</v>
      </c>
      <c r="B772" s="22" t="s">
        <v>1852</v>
      </c>
      <c r="C772" s="22" t="s">
        <v>55</v>
      </c>
      <c r="D772" s="22" t="s">
        <v>43</v>
      </c>
      <c r="E772" s="22" t="s">
        <v>29</v>
      </c>
      <c r="F772" s="22" t="s">
        <v>15</v>
      </c>
      <c r="G772" s="22" t="s">
        <v>44</v>
      </c>
      <c r="H772" s="22">
        <v>34</v>
      </c>
      <c r="I772" s="24">
        <v>41007</v>
      </c>
      <c r="J772" s="27">
        <v>581</v>
      </c>
      <c r="K772" s="25">
        <v>0</v>
      </c>
      <c r="L772" s="22" t="s">
        <v>45</v>
      </c>
      <c r="M772" s="23" t="s">
        <v>66</v>
      </c>
    </row>
    <row r="773" spans="1:13" x14ac:dyDescent="0.35">
      <c r="A773" s="22" t="s">
        <v>923</v>
      </c>
      <c r="B773" s="22" t="s">
        <v>1853</v>
      </c>
      <c r="C773" s="22" t="s">
        <v>12</v>
      </c>
      <c r="D773" s="22" t="s">
        <v>28</v>
      </c>
      <c r="E773" s="22" t="s">
        <v>33</v>
      </c>
      <c r="F773" s="22" t="s">
        <v>15</v>
      </c>
      <c r="G773" s="22" t="s">
        <v>21</v>
      </c>
      <c r="H773" s="22">
        <v>48</v>
      </c>
      <c r="I773" s="24">
        <v>39912</v>
      </c>
      <c r="J773" s="27">
        <v>615</v>
      </c>
      <c r="K773" s="25">
        <v>0.33</v>
      </c>
      <c r="L773" s="22" t="s">
        <v>30</v>
      </c>
      <c r="M773" s="23" t="s">
        <v>61</v>
      </c>
    </row>
    <row r="774" spans="1:13" x14ac:dyDescent="0.35">
      <c r="A774" s="22" t="s">
        <v>924</v>
      </c>
      <c r="B774" s="22" t="s">
        <v>1854</v>
      </c>
      <c r="C774" s="22" t="s">
        <v>23</v>
      </c>
      <c r="D774" s="22" t="s">
        <v>24</v>
      </c>
      <c r="E774" s="22" t="s">
        <v>33</v>
      </c>
      <c r="F774" s="22" t="s">
        <v>25</v>
      </c>
      <c r="G774" s="22" t="s">
        <v>16</v>
      </c>
      <c r="H774" s="22">
        <v>52</v>
      </c>
      <c r="I774" s="24">
        <v>43363</v>
      </c>
      <c r="J774" s="27">
        <v>501</v>
      </c>
      <c r="K774" s="25">
        <v>0</v>
      </c>
      <c r="L774" s="22" t="s">
        <v>17</v>
      </c>
      <c r="M774" s="23" t="s">
        <v>22</v>
      </c>
    </row>
    <row r="775" spans="1:13" x14ac:dyDescent="0.35">
      <c r="A775" s="22" t="s">
        <v>925</v>
      </c>
      <c r="B775" s="22" t="s">
        <v>1855</v>
      </c>
      <c r="C775" s="22" t="s">
        <v>57</v>
      </c>
      <c r="D775" s="22" t="s">
        <v>56</v>
      </c>
      <c r="E775" s="22" t="s">
        <v>1102</v>
      </c>
      <c r="F775" s="22" t="s">
        <v>15</v>
      </c>
      <c r="G775" s="22" t="s">
        <v>44</v>
      </c>
      <c r="H775" s="22">
        <v>45</v>
      </c>
      <c r="I775" s="24">
        <v>38084</v>
      </c>
      <c r="J775" s="27">
        <v>591</v>
      </c>
      <c r="K775" s="25">
        <v>0</v>
      </c>
      <c r="L775" s="22" t="s">
        <v>45</v>
      </c>
      <c r="M775" s="23" t="s">
        <v>1134</v>
      </c>
    </row>
    <row r="776" spans="1:13" x14ac:dyDescent="0.35">
      <c r="A776" s="22" t="s">
        <v>926</v>
      </c>
      <c r="B776" s="22" t="s">
        <v>1205</v>
      </c>
      <c r="C776" s="22" t="s">
        <v>53</v>
      </c>
      <c r="D776" s="22" t="s">
        <v>13</v>
      </c>
      <c r="E776" s="22" t="s">
        <v>1102</v>
      </c>
      <c r="F776" s="22" t="s">
        <v>15</v>
      </c>
      <c r="G776" s="22" t="s">
        <v>44</v>
      </c>
      <c r="H776" s="22">
        <v>51</v>
      </c>
      <c r="I776" s="24">
        <v>41162</v>
      </c>
      <c r="J776" s="27">
        <v>533</v>
      </c>
      <c r="K776" s="25">
        <v>0.08</v>
      </c>
      <c r="L776" s="22" t="s">
        <v>17</v>
      </c>
      <c r="M776" s="23" t="s">
        <v>35</v>
      </c>
    </row>
    <row r="777" spans="1:13" x14ac:dyDescent="0.35">
      <c r="A777" s="22" t="s">
        <v>927</v>
      </c>
      <c r="B777" s="22" t="s">
        <v>1856</v>
      </c>
      <c r="C777" s="22" t="s">
        <v>74</v>
      </c>
      <c r="D777" s="22" t="s">
        <v>43</v>
      </c>
      <c r="E777" s="22" t="s">
        <v>1102</v>
      </c>
      <c r="F777" s="22" t="s">
        <v>15</v>
      </c>
      <c r="G777" s="22" t="s">
        <v>21</v>
      </c>
      <c r="H777" s="22">
        <v>43</v>
      </c>
      <c r="I777" s="24">
        <v>38990</v>
      </c>
      <c r="J777" s="27">
        <v>616</v>
      </c>
      <c r="K777" s="25">
        <v>0</v>
      </c>
      <c r="L777" s="22" t="s">
        <v>17</v>
      </c>
      <c r="M777" s="23" t="s">
        <v>40</v>
      </c>
    </row>
    <row r="778" spans="1:13" x14ac:dyDescent="0.35">
      <c r="A778" s="22" t="s">
        <v>928</v>
      </c>
      <c r="B778" s="22" t="s">
        <v>1857</v>
      </c>
      <c r="C778" s="22" t="s">
        <v>36</v>
      </c>
      <c r="D778" s="22" t="s">
        <v>56</v>
      </c>
      <c r="E778" s="22" t="s">
        <v>29</v>
      </c>
      <c r="F778" s="22" t="s">
        <v>25</v>
      </c>
      <c r="G778" s="22" t="s">
        <v>16</v>
      </c>
      <c r="H778" s="22">
        <v>54</v>
      </c>
      <c r="I778" s="24">
        <v>38029</v>
      </c>
      <c r="J778" s="27">
        <v>911</v>
      </c>
      <c r="K778" s="25">
        <v>0.16</v>
      </c>
      <c r="L778" s="22" t="s">
        <v>17</v>
      </c>
      <c r="M778" s="23" t="s">
        <v>22</v>
      </c>
    </row>
    <row r="779" spans="1:13" x14ac:dyDescent="0.35">
      <c r="A779" s="22" t="s">
        <v>929</v>
      </c>
      <c r="B779" s="22" t="s">
        <v>1858</v>
      </c>
      <c r="C779" s="22" t="s">
        <v>38</v>
      </c>
      <c r="D779" s="22" t="s">
        <v>43</v>
      </c>
      <c r="E779" s="22" t="s">
        <v>14</v>
      </c>
      <c r="F779" s="22" t="s">
        <v>15</v>
      </c>
      <c r="G779" s="22" t="s">
        <v>16</v>
      </c>
      <c r="H779" s="22">
        <v>54</v>
      </c>
      <c r="I779" s="24">
        <v>43446</v>
      </c>
      <c r="J779" s="27">
        <v>577</v>
      </c>
      <c r="K779" s="25">
        <v>0</v>
      </c>
      <c r="L779" s="22" t="s">
        <v>17</v>
      </c>
      <c r="M779" s="23" t="s">
        <v>26</v>
      </c>
    </row>
    <row r="780" spans="1:13" x14ac:dyDescent="0.35">
      <c r="A780" s="22" t="s">
        <v>930</v>
      </c>
      <c r="B780" s="22" t="s">
        <v>1859</v>
      </c>
      <c r="C780" s="22" t="s">
        <v>12</v>
      </c>
      <c r="D780" s="22" t="s">
        <v>56</v>
      </c>
      <c r="E780" s="22" t="s">
        <v>1102</v>
      </c>
      <c r="F780" s="22" t="s">
        <v>25</v>
      </c>
      <c r="G780" s="22" t="s">
        <v>16</v>
      </c>
      <c r="H780" s="22">
        <v>25</v>
      </c>
      <c r="I780" s="24">
        <v>44841</v>
      </c>
      <c r="J780" s="27">
        <v>720</v>
      </c>
      <c r="K780" s="25">
        <v>0.33</v>
      </c>
      <c r="L780" s="22" t="s">
        <v>17</v>
      </c>
      <c r="M780" s="23" t="s">
        <v>54</v>
      </c>
    </row>
    <row r="781" spans="1:13" x14ac:dyDescent="0.35">
      <c r="A781" s="22" t="s">
        <v>223</v>
      </c>
      <c r="B781" s="22" t="s">
        <v>1860</v>
      </c>
      <c r="C781" s="22" t="s">
        <v>55</v>
      </c>
      <c r="D781" s="22" t="s">
        <v>56</v>
      </c>
      <c r="E781" s="22" t="s">
        <v>33</v>
      </c>
      <c r="F781" s="22" t="s">
        <v>25</v>
      </c>
      <c r="G781" s="22" t="s">
        <v>44</v>
      </c>
      <c r="H781" s="22">
        <v>65</v>
      </c>
      <c r="I781" s="24">
        <v>35842</v>
      </c>
      <c r="J781" s="27">
        <v>864</v>
      </c>
      <c r="K781" s="25">
        <v>0</v>
      </c>
      <c r="L781" s="22" t="s">
        <v>45</v>
      </c>
      <c r="M781" s="23" t="s">
        <v>1134</v>
      </c>
    </row>
    <row r="782" spans="1:13" x14ac:dyDescent="0.35">
      <c r="A782" s="22" t="s">
        <v>931</v>
      </c>
      <c r="B782" s="22" t="s">
        <v>1861</v>
      </c>
      <c r="C782" s="22" t="s">
        <v>69</v>
      </c>
      <c r="D782" s="22" t="s">
        <v>28</v>
      </c>
      <c r="E782" s="22" t="s">
        <v>33</v>
      </c>
      <c r="F782" s="22" t="s">
        <v>25</v>
      </c>
      <c r="G782" s="22" t="s">
        <v>44</v>
      </c>
      <c r="H782" s="22">
        <v>40</v>
      </c>
      <c r="I782" s="24">
        <v>41831</v>
      </c>
      <c r="J782" s="27">
        <v>942</v>
      </c>
      <c r="K782" s="25">
        <v>0</v>
      </c>
      <c r="L782" s="22" t="s">
        <v>17</v>
      </c>
      <c r="M782" s="23" t="s">
        <v>40</v>
      </c>
    </row>
    <row r="783" spans="1:13" x14ac:dyDescent="0.35">
      <c r="A783" s="22" t="s">
        <v>131</v>
      </c>
      <c r="B783" s="22" t="s">
        <v>1862</v>
      </c>
      <c r="C783" s="22" t="s">
        <v>58</v>
      </c>
      <c r="D783" s="22" t="s">
        <v>28</v>
      </c>
      <c r="E783" s="22" t="s">
        <v>29</v>
      </c>
      <c r="F783" s="22" t="s">
        <v>25</v>
      </c>
      <c r="G783" s="22" t="s">
        <v>21</v>
      </c>
      <c r="H783" s="22">
        <v>31</v>
      </c>
      <c r="I783" s="24">
        <v>42106</v>
      </c>
      <c r="J783" s="27">
        <v>535</v>
      </c>
      <c r="K783" s="25">
        <v>0</v>
      </c>
      <c r="L783" s="22" t="s">
        <v>30</v>
      </c>
      <c r="M783" s="23" t="s">
        <v>52</v>
      </c>
    </row>
    <row r="784" spans="1:13" x14ac:dyDescent="0.35">
      <c r="A784" s="22" t="s">
        <v>932</v>
      </c>
      <c r="B784" s="22" t="s">
        <v>1863</v>
      </c>
      <c r="C784" s="22" t="s">
        <v>71</v>
      </c>
      <c r="D784" s="22" t="s">
        <v>24</v>
      </c>
      <c r="E784" s="22" t="s">
        <v>14</v>
      </c>
      <c r="F784" s="22" t="s">
        <v>25</v>
      </c>
      <c r="G784" s="22" t="s">
        <v>41</v>
      </c>
      <c r="H784" s="22">
        <v>45</v>
      </c>
      <c r="I784" s="24">
        <v>38550</v>
      </c>
      <c r="J784" s="27">
        <v>965</v>
      </c>
      <c r="K784" s="25">
        <v>0</v>
      </c>
      <c r="L784" s="22" t="s">
        <v>17</v>
      </c>
      <c r="M784" s="23" t="s">
        <v>22</v>
      </c>
    </row>
    <row r="785" spans="1:13" x14ac:dyDescent="0.35">
      <c r="A785" s="22" t="s">
        <v>933</v>
      </c>
      <c r="B785" s="22" t="s">
        <v>1864</v>
      </c>
      <c r="C785" s="22" t="s">
        <v>57</v>
      </c>
      <c r="D785" s="22" t="s">
        <v>43</v>
      </c>
      <c r="E785" s="22" t="s">
        <v>14</v>
      </c>
      <c r="F785" s="22" t="s">
        <v>25</v>
      </c>
      <c r="G785" s="22" t="s">
        <v>16</v>
      </c>
      <c r="H785" s="22">
        <v>40</v>
      </c>
      <c r="I785" s="24">
        <v>44454</v>
      </c>
      <c r="J785" s="27">
        <v>755</v>
      </c>
      <c r="K785" s="25">
        <v>0</v>
      </c>
      <c r="L785" s="22" t="s">
        <v>17</v>
      </c>
      <c r="M785" s="23" t="s">
        <v>22</v>
      </c>
    </row>
    <row r="786" spans="1:13" x14ac:dyDescent="0.35">
      <c r="A786" s="22" t="s">
        <v>934</v>
      </c>
      <c r="B786" s="22" t="s">
        <v>1865</v>
      </c>
      <c r="C786" s="22" t="s">
        <v>53</v>
      </c>
      <c r="D786" s="22" t="s">
        <v>39</v>
      </c>
      <c r="E786" s="22" t="s">
        <v>33</v>
      </c>
      <c r="F786" s="22" t="s">
        <v>25</v>
      </c>
      <c r="G786" s="22" t="s">
        <v>21</v>
      </c>
      <c r="H786" s="22">
        <v>25</v>
      </c>
      <c r="I786" s="24">
        <v>44538</v>
      </c>
      <c r="J786" s="27">
        <v>534</v>
      </c>
      <c r="K786" s="25">
        <v>0.06</v>
      </c>
      <c r="L786" s="22" t="s">
        <v>30</v>
      </c>
      <c r="M786" s="23" t="s">
        <v>31</v>
      </c>
    </row>
    <row r="787" spans="1:13" x14ac:dyDescent="0.35">
      <c r="A787" s="22" t="s">
        <v>935</v>
      </c>
      <c r="B787" s="22" t="s">
        <v>1866</v>
      </c>
      <c r="C787" s="22" t="s">
        <v>1111</v>
      </c>
      <c r="D787" s="22" t="s">
        <v>24</v>
      </c>
      <c r="E787" s="22" t="s">
        <v>14</v>
      </c>
      <c r="F787" s="22" t="s">
        <v>25</v>
      </c>
      <c r="G787" s="22" t="s">
        <v>44</v>
      </c>
      <c r="H787" s="22">
        <v>53</v>
      </c>
      <c r="I787" s="24">
        <v>36304</v>
      </c>
      <c r="J787" s="27">
        <v>905</v>
      </c>
      <c r="K787" s="25">
        <v>0.13</v>
      </c>
      <c r="L787" s="22" t="s">
        <v>17</v>
      </c>
      <c r="M787" s="23" t="s">
        <v>18</v>
      </c>
    </row>
    <row r="788" spans="1:13" x14ac:dyDescent="0.35">
      <c r="A788" s="22" t="s">
        <v>936</v>
      </c>
      <c r="B788" s="22" t="s">
        <v>1867</v>
      </c>
      <c r="C788" s="22" t="s">
        <v>36</v>
      </c>
      <c r="D788" s="22" t="s">
        <v>39</v>
      </c>
      <c r="E788" s="22" t="s">
        <v>29</v>
      </c>
      <c r="F788" s="22" t="s">
        <v>15</v>
      </c>
      <c r="G788" s="22" t="s">
        <v>44</v>
      </c>
      <c r="H788" s="22">
        <v>49</v>
      </c>
      <c r="I788" s="24">
        <v>41313</v>
      </c>
      <c r="J788" s="27">
        <v>724</v>
      </c>
      <c r="K788" s="25">
        <v>0.22</v>
      </c>
      <c r="L788" s="22" t="s">
        <v>17</v>
      </c>
      <c r="M788" s="23" t="s">
        <v>22</v>
      </c>
    </row>
    <row r="789" spans="1:13" x14ac:dyDescent="0.35">
      <c r="A789" s="22" t="s">
        <v>937</v>
      </c>
      <c r="B789" s="22" t="s">
        <v>1868</v>
      </c>
      <c r="C789" s="22" t="s">
        <v>12</v>
      </c>
      <c r="D789" s="22" t="s">
        <v>56</v>
      </c>
      <c r="E789" s="22" t="s">
        <v>14</v>
      </c>
      <c r="F789" s="22" t="s">
        <v>15</v>
      </c>
      <c r="G789" s="22" t="s">
        <v>21</v>
      </c>
      <c r="H789" s="22">
        <v>31</v>
      </c>
      <c r="I789" s="24">
        <v>44861</v>
      </c>
      <c r="J789" s="27">
        <v>826</v>
      </c>
      <c r="K789" s="25">
        <v>0.4</v>
      </c>
      <c r="L789" s="22" t="s">
        <v>17</v>
      </c>
      <c r="M789" s="23" t="s">
        <v>40</v>
      </c>
    </row>
    <row r="790" spans="1:13" x14ac:dyDescent="0.35">
      <c r="A790" s="22" t="s">
        <v>938</v>
      </c>
      <c r="B790" s="22" t="s">
        <v>1869</v>
      </c>
      <c r="C790" s="22" t="s">
        <v>32</v>
      </c>
      <c r="D790" s="22" t="s">
        <v>24</v>
      </c>
      <c r="E790" s="22" t="s">
        <v>1102</v>
      </c>
      <c r="F790" s="22" t="s">
        <v>15</v>
      </c>
      <c r="G790" s="22" t="s">
        <v>16</v>
      </c>
      <c r="H790" s="22">
        <v>33</v>
      </c>
      <c r="I790" s="24">
        <v>44139</v>
      </c>
      <c r="J790" s="27">
        <v>755</v>
      </c>
      <c r="K790" s="25">
        <v>0</v>
      </c>
      <c r="L790" s="22" t="s">
        <v>17</v>
      </c>
      <c r="M790" s="23" t="s">
        <v>40</v>
      </c>
    </row>
    <row r="791" spans="1:13" x14ac:dyDescent="0.35">
      <c r="A791" s="22" t="s">
        <v>95</v>
      </c>
      <c r="B791" s="22" t="s">
        <v>1870</v>
      </c>
      <c r="C791" s="22" t="s">
        <v>36</v>
      </c>
      <c r="D791" s="22" t="s">
        <v>56</v>
      </c>
      <c r="E791" s="22" t="s">
        <v>29</v>
      </c>
      <c r="F791" s="22" t="s">
        <v>25</v>
      </c>
      <c r="G791" s="22" t="s">
        <v>44</v>
      </c>
      <c r="H791" s="22">
        <v>40</v>
      </c>
      <c r="I791" s="24">
        <v>44531</v>
      </c>
      <c r="J791" s="27">
        <v>545</v>
      </c>
      <c r="K791" s="25">
        <v>0.25</v>
      </c>
      <c r="L791" s="22" t="s">
        <v>17</v>
      </c>
      <c r="M791" s="23" t="s">
        <v>22</v>
      </c>
    </row>
    <row r="792" spans="1:13" x14ac:dyDescent="0.35">
      <c r="A792" s="22" t="s">
        <v>939</v>
      </c>
      <c r="B792" s="22" t="s">
        <v>1871</v>
      </c>
      <c r="C792" s="22" t="s">
        <v>67</v>
      </c>
      <c r="D792" s="22" t="s">
        <v>24</v>
      </c>
      <c r="E792" s="22" t="s">
        <v>33</v>
      </c>
      <c r="F792" s="22" t="s">
        <v>15</v>
      </c>
      <c r="G792" s="22" t="s">
        <v>21</v>
      </c>
      <c r="H792" s="22">
        <v>29</v>
      </c>
      <c r="I792" s="24">
        <v>44069</v>
      </c>
      <c r="J792" s="27">
        <v>962</v>
      </c>
      <c r="K792" s="25">
        <v>0</v>
      </c>
      <c r="L792" s="22" t="s">
        <v>17</v>
      </c>
      <c r="M792" s="23" t="s">
        <v>26</v>
      </c>
    </row>
    <row r="793" spans="1:13" x14ac:dyDescent="0.35">
      <c r="A793" s="22" t="s">
        <v>940</v>
      </c>
      <c r="B793" s="22" t="s">
        <v>1872</v>
      </c>
      <c r="C793" s="22" t="s">
        <v>51</v>
      </c>
      <c r="D793" s="22" t="s">
        <v>28</v>
      </c>
      <c r="E793" s="22" t="s">
        <v>1102</v>
      </c>
      <c r="F793" s="22" t="s">
        <v>25</v>
      </c>
      <c r="G793" s="22" t="s">
        <v>21</v>
      </c>
      <c r="H793" s="22">
        <v>51</v>
      </c>
      <c r="I793" s="24">
        <v>38188</v>
      </c>
      <c r="J793" s="27">
        <v>713</v>
      </c>
      <c r="K793" s="25">
        <v>0</v>
      </c>
      <c r="L793" s="22" t="s">
        <v>30</v>
      </c>
      <c r="M793" s="23" t="s">
        <v>65</v>
      </c>
    </row>
    <row r="794" spans="1:13" x14ac:dyDescent="0.35">
      <c r="A794" s="22" t="s">
        <v>941</v>
      </c>
      <c r="B794" s="22" t="s">
        <v>1873</v>
      </c>
      <c r="C794" s="22" t="s">
        <v>57</v>
      </c>
      <c r="D794" s="22" t="s">
        <v>43</v>
      </c>
      <c r="E794" s="22" t="s">
        <v>33</v>
      </c>
      <c r="F794" s="22" t="s">
        <v>15</v>
      </c>
      <c r="G794" s="22" t="s">
        <v>21</v>
      </c>
      <c r="H794" s="22">
        <v>31</v>
      </c>
      <c r="I794" s="24">
        <v>44519</v>
      </c>
      <c r="J794" s="27">
        <v>947</v>
      </c>
      <c r="K794" s="25">
        <v>0</v>
      </c>
      <c r="L794" s="22" t="s">
        <v>17</v>
      </c>
      <c r="M794" s="23" t="s">
        <v>18</v>
      </c>
    </row>
    <row r="795" spans="1:13" x14ac:dyDescent="0.35">
      <c r="A795" s="22" t="s">
        <v>942</v>
      </c>
      <c r="B795" s="22" t="s">
        <v>1874</v>
      </c>
      <c r="C795" s="22" t="s">
        <v>38</v>
      </c>
      <c r="D795" s="22" t="s">
        <v>56</v>
      </c>
      <c r="E795" s="22" t="s">
        <v>1102</v>
      </c>
      <c r="F795" s="22" t="s">
        <v>15</v>
      </c>
      <c r="G795" s="22" t="s">
        <v>21</v>
      </c>
      <c r="H795" s="22">
        <v>44</v>
      </c>
      <c r="I795" s="24">
        <v>39897</v>
      </c>
      <c r="J795" s="27">
        <v>904</v>
      </c>
      <c r="K795" s="25">
        <v>0</v>
      </c>
      <c r="L795" s="22" t="s">
        <v>17</v>
      </c>
      <c r="M795" s="23" t="s">
        <v>18</v>
      </c>
    </row>
    <row r="796" spans="1:13" x14ac:dyDescent="0.35">
      <c r="A796" s="22" t="s">
        <v>943</v>
      </c>
      <c r="B796" s="22" t="s">
        <v>154</v>
      </c>
      <c r="C796" s="22" t="s">
        <v>74</v>
      </c>
      <c r="D796" s="22" t="s">
        <v>43</v>
      </c>
      <c r="E796" s="22" t="s">
        <v>33</v>
      </c>
      <c r="F796" s="22" t="s">
        <v>15</v>
      </c>
      <c r="G796" s="22" t="s">
        <v>16</v>
      </c>
      <c r="H796" s="22">
        <v>38</v>
      </c>
      <c r="I796" s="24">
        <v>44705</v>
      </c>
      <c r="J796" s="27">
        <v>627</v>
      </c>
      <c r="K796" s="25">
        <v>0</v>
      </c>
      <c r="L796" s="22" t="s">
        <v>17</v>
      </c>
      <c r="M796" s="23" t="s">
        <v>54</v>
      </c>
    </row>
    <row r="797" spans="1:13" x14ac:dyDescent="0.35">
      <c r="A797" s="22" t="s">
        <v>944</v>
      </c>
      <c r="B797" s="22" t="s">
        <v>1875</v>
      </c>
      <c r="C797" s="22" t="s">
        <v>53</v>
      </c>
      <c r="D797" s="22" t="s">
        <v>56</v>
      </c>
      <c r="E797" s="22" t="s">
        <v>29</v>
      </c>
      <c r="F797" s="22" t="s">
        <v>15</v>
      </c>
      <c r="G797" s="22" t="s">
        <v>21</v>
      </c>
      <c r="H797" s="22">
        <v>29</v>
      </c>
      <c r="I797" s="24">
        <v>44593</v>
      </c>
      <c r="J797" s="27">
        <v>584</v>
      </c>
      <c r="K797" s="25">
        <v>0.08</v>
      </c>
      <c r="L797" s="22" t="s">
        <v>30</v>
      </c>
      <c r="M797" s="23" t="s">
        <v>52</v>
      </c>
    </row>
    <row r="798" spans="1:13" x14ac:dyDescent="0.35">
      <c r="A798" s="22" t="s">
        <v>243</v>
      </c>
      <c r="B798" s="22" t="s">
        <v>1876</v>
      </c>
      <c r="C798" s="22" t="s">
        <v>57</v>
      </c>
      <c r="D798" s="22" t="s">
        <v>56</v>
      </c>
      <c r="E798" s="22" t="s">
        <v>29</v>
      </c>
      <c r="F798" s="22" t="s">
        <v>15</v>
      </c>
      <c r="G798" s="22" t="s">
        <v>21</v>
      </c>
      <c r="H798" s="22">
        <v>49</v>
      </c>
      <c r="I798" s="24">
        <v>44238</v>
      </c>
      <c r="J798" s="27">
        <v>611</v>
      </c>
      <c r="K798" s="25">
        <v>0</v>
      </c>
      <c r="L798" s="22" t="s">
        <v>17</v>
      </c>
      <c r="M798" s="23" t="s">
        <v>54</v>
      </c>
    </row>
    <row r="799" spans="1:13" x14ac:dyDescent="0.35">
      <c r="A799" s="22" t="s">
        <v>945</v>
      </c>
      <c r="B799" s="22" t="s">
        <v>1877</v>
      </c>
      <c r="C799" s="22" t="s">
        <v>1111</v>
      </c>
      <c r="D799" s="22" t="s">
        <v>43</v>
      </c>
      <c r="E799" s="22" t="s">
        <v>14</v>
      </c>
      <c r="F799" s="22" t="s">
        <v>15</v>
      </c>
      <c r="G799" s="22" t="s">
        <v>21</v>
      </c>
      <c r="H799" s="22">
        <v>44</v>
      </c>
      <c r="I799" s="24">
        <v>43229</v>
      </c>
      <c r="J799" s="27">
        <v>534</v>
      </c>
      <c r="K799" s="25">
        <v>0.15</v>
      </c>
      <c r="L799" s="22" t="s">
        <v>17</v>
      </c>
      <c r="M799" s="23" t="s">
        <v>26</v>
      </c>
    </row>
    <row r="800" spans="1:13" x14ac:dyDescent="0.35">
      <c r="A800" s="22" t="s">
        <v>247</v>
      </c>
      <c r="B800" s="22" t="s">
        <v>1878</v>
      </c>
      <c r="C800" s="22" t="s">
        <v>69</v>
      </c>
      <c r="D800" s="22" t="s">
        <v>28</v>
      </c>
      <c r="E800" s="22" t="s">
        <v>1102</v>
      </c>
      <c r="F800" s="22" t="s">
        <v>25</v>
      </c>
      <c r="G800" s="22" t="s">
        <v>44</v>
      </c>
      <c r="H800" s="22">
        <v>45</v>
      </c>
      <c r="I800" s="24">
        <v>37692</v>
      </c>
      <c r="J800" s="27">
        <v>918</v>
      </c>
      <c r="K800" s="25">
        <v>0</v>
      </c>
      <c r="L800" s="22" t="s">
        <v>17</v>
      </c>
      <c r="M800" s="23" t="s">
        <v>35</v>
      </c>
    </row>
    <row r="801" spans="1:13" x14ac:dyDescent="0.35">
      <c r="A801" s="22" t="s">
        <v>205</v>
      </c>
      <c r="B801" s="22" t="s">
        <v>1550</v>
      </c>
      <c r="C801" s="22" t="s">
        <v>57</v>
      </c>
      <c r="D801" s="22" t="s">
        <v>43</v>
      </c>
      <c r="E801" s="22" t="s">
        <v>1102</v>
      </c>
      <c r="F801" s="22" t="s">
        <v>25</v>
      </c>
      <c r="G801" s="22" t="s">
        <v>44</v>
      </c>
      <c r="H801" s="22">
        <v>58</v>
      </c>
      <c r="I801" s="24">
        <v>39223</v>
      </c>
      <c r="J801" s="27">
        <v>708</v>
      </c>
      <c r="K801" s="25">
        <v>0</v>
      </c>
      <c r="L801" s="22" t="s">
        <v>17</v>
      </c>
      <c r="M801" s="23" t="s">
        <v>40</v>
      </c>
    </row>
    <row r="802" spans="1:13" x14ac:dyDescent="0.35">
      <c r="A802" s="22" t="s">
        <v>146</v>
      </c>
      <c r="B802" s="22" t="s">
        <v>1879</v>
      </c>
      <c r="C802" s="22" t="s">
        <v>38</v>
      </c>
      <c r="D802" s="22" t="s">
        <v>56</v>
      </c>
      <c r="E802" s="22" t="s">
        <v>1102</v>
      </c>
      <c r="F802" s="22" t="s">
        <v>25</v>
      </c>
      <c r="G802" s="22" t="s">
        <v>21</v>
      </c>
      <c r="H802" s="22">
        <v>29</v>
      </c>
      <c r="I802" s="24">
        <v>43798</v>
      </c>
      <c r="J802" s="27">
        <v>519</v>
      </c>
      <c r="K802" s="25">
        <v>0</v>
      </c>
      <c r="L802" s="22" t="s">
        <v>30</v>
      </c>
      <c r="M802" s="23" t="s">
        <v>65</v>
      </c>
    </row>
    <row r="803" spans="1:13" x14ac:dyDescent="0.35">
      <c r="A803" s="22" t="s">
        <v>158</v>
      </c>
      <c r="B803" s="22" t="s">
        <v>1880</v>
      </c>
      <c r="C803" s="22" t="s">
        <v>55</v>
      </c>
      <c r="D803" s="22" t="s">
        <v>39</v>
      </c>
      <c r="E803" s="22" t="s">
        <v>29</v>
      </c>
      <c r="F803" s="22" t="s">
        <v>15</v>
      </c>
      <c r="G803" s="22" t="s">
        <v>44</v>
      </c>
      <c r="H803" s="22">
        <v>25</v>
      </c>
      <c r="I803" s="24">
        <v>44432</v>
      </c>
      <c r="J803" s="27">
        <v>683</v>
      </c>
      <c r="K803" s="25">
        <v>0</v>
      </c>
      <c r="L803" s="22" t="s">
        <v>45</v>
      </c>
      <c r="M803" s="23" t="s">
        <v>66</v>
      </c>
    </row>
    <row r="804" spans="1:13" x14ac:dyDescent="0.35">
      <c r="A804" s="22" t="s">
        <v>946</v>
      </c>
      <c r="B804" s="22" t="s">
        <v>1881</v>
      </c>
      <c r="C804" s="22" t="s">
        <v>36</v>
      </c>
      <c r="D804" s="22" t="s">
        <v>28</v>
      </c>
      <c r="E804" s="22" t="s">
        <v>33</v>
      </c>
      <c r="F804" s="22" t="s">
        <v>15</v>
      </c>
      <c r="G804" s="22" t="s">
        <v>16</v>
      </c>
      <c r="H804" s="22">
        <v>62</v>
      </c>
      <c r="I804" s="24">
        <v>34694</v>
      </c>
      <c r="J804" s="27">
        <v>604</v>
      </c>
      <c r="K804" s="25">
        <v>0.2</v>
      </c>
      <c r="L804" s="22" t="s">
        <v>17</v>
      </c>
      <c r="M804" s="23" t="s">
        <v>22</v>
      </c>
    </row>
    <row r="805" spans="1:13" x14ac:dyDescent="0.35">
      <c r="A805" s="22" t="s">
        <v>947</v>
      </c>
      <c r="B805" s="22" t="s">
        <v>1882</v>
      </c>
      <c r="C805" s="22" t="s">
        <v>53</v>
      </c>
      <c r="D805" s="22" t="s">
        <v>13</v>
      </c>
      <c r="E805" s="22" t="s">
        <v>33</v>
      </c>
      <c r="F805" s="22" t="s">
        <v>25</v>
      </c>
      <c r="G805" s="22" t="s">
        <v>44</v>
      </c>
      <c r="H805" s="22">
        <v>33</v>
      </c>
      <c r="I805" s="24">
        <v>42695</v>
      </c>
      <c r="J805" s="27">
        <v>952</v>
      </c>
      <c r="K805" s="25">
        <v>0.06</v>
      </c>
      <c r="L805" s="22" t="s">
        <v>17</v>
      </c>
      <c r="M805" s="23" t="s">
        <v>26</v>
      </c>
    </row>
    <row r="806" spans="1:13" x14ac:dyDescent="0.35">
      <c r="A806" s="22" t="s">
        <v>948</v>
      </c>
      <c r="B806" s="22" t="s">
        <v>1883</v>
      </c>
      <c r="C806" s="22" t="s">
        <v>53</v>
      </c>
      <c r="D806" s="22" t="s">
        <v>56</v>
      </c>
      <c r="E806" s="22" t="s">
        <v>33</v>
      </c>
      <c r="F806" s="22" t="s">
        <v>25</v>
      </c>
      <c r="G806" s="22" t="s">
        <v>44</v>
      </c>
      <c r="H806" s="22">
        <v>56</v>
      </c>
      <c r="I806" s="24">
        <v>42364</v>
      </c>
      <c r="J806" s="27">
        <v>806</v>
      </c>
      <c r="K806" s="25">
        <v>0.08</v>
      </c>
      <c r="L806" s="22" t="s">
        <v>17</v>
      </c>
      <c r="M806" s="23" t="s">
        <v>26</v>
      </c>
    </row>
    <row r="807" spans="1:13" x14ac:dyDescent="0.35">
      <c r="A807" s="22" t="s">
        <v>949</v>
      </c>
      <c r="B807" s="22" t="s">
        <v>184</v>
      </c>
      <c r="C807" s="22" t="s">
        <v>53</v>
      </c>
      <c r="D807" s="22" t="s">
        <v>13</v>
      </c>
      <c r="E807" s="22" t="s">
        <v>29</v>
      </c>
      <c r="F807" s="22" t="s">
        <v>15</v>
      </c>
      <c r="G807" s="22" t="s">
        <v>44</v>
      </c>
      <c r="H807" s="22">
        <v>45</v>
      </c>
      <c r="I807" s="24">
        <v>40450</v>
      </c>
      <c r="J807" s="27">
        <v>933</v>
      </c>
      <c r="K807" s="25">
        <v>0.05</v>
      </c>
      <c r="L807" s="22" t="s">
        <v>17</v>
      </c>
      <c r="M807" s="23" t="s">
        <v>18</v>
      </c>
    </row>
    <row r="808" spans="1:13" x14ac:dyDescent="0.35">
      <c r="A808" s="22" t="s">
        <v>950</v>
      </c>
      <c r="B808" s="22" t="s">
        <v>1884</v>
      </c>
      <c r="C808" s="22" t="s">
        <v>53</v>
      </c>
      <c r="D808" s="22" t="s">
        <v>20</v>
      </c>
      <c r="E808" s="22" t="s">
        <v>14</v>
      </c>
      <c r="F808" s="22" t="s">
        <v>15</v>
      </c>
      <c r="G808" s="22" t="s">
        <v>44</v>
      </c>
      <c r="H808" s="22">
        <v>28</v>
      </c>
      <c r="I808" s="24">
        <v>44266</v>
      </c>
      <c r="J808" s="27">
        <v>956</v>
      </c>
      <c r="K808" s="25">
        <v>0.05</v>
      </c>
      <c r="L808" s="22" t="s">
        <v>45</v>
      </c>
      <c r="M808" s="23" t="s">
        <v>1134</v>
      </c>
    </row>
    <row r="809" spans="1:13" x14ac:dyDescent="0.35">
      <c r="A809" s="22" t="s">
        <v>951</v>
      </c>
      <c r="B809" s="22" t="s">
        <v>1885</v>
      </c>
      <c r="C809" s="22" t="s">
        <v>1111</v>
      </c>
      <c r="D809" s="22" t="s">
        <v>20</v>
      </c>
      <c r="E809" s="22" t="s">
        <v>33</v>
      </c>
      <c r="F809" s="22" t="s">
        <v>15</v>
      </c>
      <c r="G809" s="22" t="s">
        <v>21</v>
      </c>
      <c r="H809" s="22">
        <v>30</v>
      </c>
      <c r="I809" s="24">
        <v>43542</v>
      </c>
      <c r="J809" s="27">
        <v>585</v>
      </c>
      <c r="K809" s="25">
        <v>0.11</v>
      </c>
      <c r="L809" s="22" t="s">
        <v>17</v>
      </c>
      <c r="M809" s="23" t="s">
        <v>54</v>
      </c>
    </row>
    <row r="810" spans="1:13" x14ac:dyDescent="0.35">
      <c r="A810" s="22" t="s">
        <v>169</v>
      </c>
      <c r="B810" s="22" t="s">
        <v>1101</v>
      </c>
      <c r="C810" s="22" t="s">
        <v>57</v>
      </c>
      <c r="D810" s="22" t="s">
        <v>39</v>
      </c>
      <c r="E810" s="22" t="s">
        <v>14</v>
      </c>
      <c r="F810" s="22" t="s">
        <v>15</v>
      </c>
      <c r="G810" s="22" t="s">
        <v>21</v>
      </c>
      <c r="H810" s="22">
        <v>45</v>
      </c>
      <c r="I810" s="24">
        <v>37240</v>
      </c>
      <c r="J810" s="27">
        <v>680</v>
      </c>
      <c r="K810" s="25">
        <v>0</v>
      </c>
      <c r="L810" s="22" t="s">
        <v>17</v>
      </c>
      <c r="M810" s="23" t="s">
        <v>54</v>
      </c>
    </row>
    <row r="811" spans="1:13" x14ac:dyDescent="0.35">
      <c r="A811" s="22" t="s">
        <v>952</v>
      </c>
      <c r="B811" s="22" t="s">
        <v>1886</v>
      </c>
      <c r="C811" s="22" t="s">
        <v>73</v>
      </c>
      <c r="D811" s="22" t="s">
        <v>24</v>
      </c>
      <c r="E811" s="22" t="s">
        <v>1102</v>
      </c>
      <c r="F811" s="22" t="s">
        <v>25</v>
      </c>
      <c r="G811" s="22" t="s">
        <v>44</v>
      </c>
      <c r="H811" s="22">
        <v>33</v>
      </c>
      <c r="I811" s="24">
        <v>42707</v>
      </c>
      <c r="J811" s="27">
        <v>737</v>
      </c>
      <c r="K811" s="25">
        <v>0</v>
      </c>
      <c r="L811" s="22" t="s">
        <v>17</v>
      </c>
      <c r="M811" s="23" t="s">
        <v>26</v>
      </c>
    </row>
    <row r="812" spans="1:13" x14ac:dyDescent="0.35">
      <c r="A812" s="22" t="s">
        <v>953</v>
      </c>
      <c r="B812" s="22" t="s">
        <v>1887</v>
      </c>
      <c r="C812" s="22" t="s">
        <v>12</v>
      </c>
      <c r="D812" s="22" t="s">
        <v>56</v>
      </c>
      <c r="E812" s="22" t="s">
        <v>33</v>
      </c>
      <c r="F812" s="22" t="s">
        <v>25</v>
      </c>
      <c r="G812" s="22" t="s">
        <v>16</v>
      </c>
      <c r="H812" s="22">
        <v>41</v>
      </c>
      <c r="I812" s="24">
        <v>40627</v>
      </c>
      <c r="J812" s="27">
        <v>952</v>
      </c>
      <c r="K812" s="25">
        <v>0.39</v>
      </c>
      <c r="L812" s="22" t="s">
        <v>17</v>
      </c>
      <c r="M812" s="23" t="s">
        <v>18</v>
      </c>
    </row>
    <row r="813" spans="1:13" x14ac:dyDescent="0.35">
      <c r="A813" s="22" t="s">
        <v>111</v>
      </c>
      <c r="B813" s="22" t="s">
        <v>1888</v>
      </c>
      <c r="C813" s="22" t="s">
        <v>1111</v>
      </c>
      <c r="D813" s="22" t="s">
        <v>43</v>
      </c>
      <c r="E813" s="22" t="s">
        <v>1102</v>
      </c>
      <c r="F813" s="22" t="s">
        <v>25</v>
      </c>
      <c r="G813" s="22" t="s">
        <v>21</v>
      </c>
      <c r="H813" s="22">
        <v>33</v>
      </c>
      <c r="I813" s="24">
        <v>42042</v>
      </c>
      <c r="J813" s="27">
        <v>938</v>
      </c>
      <c r="K813" s="25">
        <v>0.15</v>
      </c>
      <c r="L813" s="22" t="s">
        <v>17</v>
      </c>
      <c r="M813" s="23" t="s">
        <v>18</v>
      </c>
    </row>
    <row r="814" spans="1:13" x14ac:dyDescent="0.35">
      <c r="A814" s="22" t="s">
        <v>954</v>
      </c>
      <c r="B814" s="22" t="s">
        <v>1889</v>
      </c>
      <c r="C814" s="22" t="s">
        <v>53</v>
      </c>
      <c r="D814" s="22" t="s">
        <v>39</v>
      </c>
      <c r="E814" s="22" t="s">
        <v>33</v>
      </c>
      <c r="F814" s="22" t="s">
        <v>15</v>
      </c>
      <c r="G814" s="22" t="s">
        <v>21</v>
      </c>
      <c r="H814" s="22">
        <v>48</v>
      </c>
      <c r="I814" s="24">
        <v>41355</v>
      </c>
      <c r="J814" s="27">
        <v>893</v>
      </c>
      <c r="K814" s="25">
        <v>7.0000000000000007E-2</v>
      </c>
      <c r="L814" s="22" t="s">
        <v>17</v>
      </c>
      <c r="M814" s="23" t="s">
        <v>40</v>
      </c>
    </row>
    <row r="815" spans="1:13" x14ac:dyDescent="0.35">
      <c r="A815" s="22" t="s">
        <v>955</v>
      </c>
      <c r="B815" s="22" t="s">
        <v>181</v>
      </c>
      <c r="C815" s="22" t="s">
        <v>12</v>
      </c>
      <c r="D815" s="22" t="s">
        <v>20</v>
      </c>
      <c r="E815" s="22" t="s">
        <v>29</v>
      </c>
      <c r="F815" s="22" t="s">
        <v>15</v>
      </c>
      <c r="G815" s="22" t="s">
        <v>44</v>
      </c>
      <c r="H815" s="22">
        <v>48</v>
      </c>
      <c r="I815" s="24">
        <v>41481</v>
      </c>
      <c r="J815" s="27">
        <v>534</v>
      </c>
      <c r="K815" s="25">
        <v>0.37</v>
      </c>
      <c r="L815" s="22" t="s">
        <v>17</v>
      </c>
      <c r="M815" s="23" t="s">
        <v>35</v>
      </c>
    </row>
    <row r="816" spans="1:13" x14ac:dyDescent="0.35">
      <c r="A816" s="22" t="s">
        <v>956</v>
      </c>
      <c r="B816" s="22" t="s">
        <v>1890</v>
      </c>
      <c r="C816" s="22" t="s">
        <v>12</v>
      </c>
      <c r="D816" s="22" t="s">
        <v>20</v>
      </c>
      <c r="E816" s="22" t="s">
        <v>1102</v>
      </c>
      <c r="F816" s="22" t="s">
        <v>15</v>
      </c>
      <c r="G816" s="22" t="s">
        <v>16</v>
      </c>
      <c r="H816" s="22">
        <v>41</v>
      </c>
      <c r="I816" s="24">
        <v>39212</v>
      </c>
      <c r="J816" s="27">
        <v>809</v>
      </c>
      <c r="K816" s="25">
        <v>0.33</v>
      </c>
      <c r="L816" s="22" t="s">
        <v>17</v>
      </c>
      <c r="M816" s="23" t="s">
        <v>54</v>
      </c>
    </row>
    <row r="817" spans="1:13" x14ac:dyDescent="0.35">
      <c r="A817" s="22" t="s">
        <v>957</v>
      </c>
      <c r="B817" s="22" t="s">
        <v>1891</v>
      </c>
      <c r="C817" s="22" t="s">
        <v>58</v>
      </c>
      <c r="D817" s="22" t="s">
        <v>28</v>
      </c>
      <c r="E817" s="22" t="s">
        <v>1102</v>
      </c>
      <c r="F817" s="22" t="s">
        <v>15</v>
      </c>
      <c r="G817" s="22" t="s">
        <v>16</v>
      </c>
      <c r="H817" s="22">
        <v>37</v>
      </c>
      <c r="I817" s="24">
        <v>44815</v>
      </c>
      <c r="J817" s="27">
        <v>991</v>
      </c>
      <c r="K817" s="25">
        <v>0</v>
      </c>
      <c r="L817" s="22" t="s">
        <v>17</v>
      </c>
      <c r="M817" s="23" t="s">
        <v>54</v>
      </c>
    </row>
    <row r="818" spans="1:13" x14ac:dyDescent="0.35">
      <c r="A818" s="22" t="s">
        <v>244</v>
      </c>
      <c r="B818" s="22" t="s">
        <v>1892</v>
      </c>
      <c r="C818" s="22" t="s">
        <v>42</v>
      </c>
      <c r="D818" s="22" t="s">
        <v>43</v>
      </c>
      <c r="E818" s="22" t="s">
        <v>14</v>
      </c>
      <c r="F818" s="22" t="s">
        <v>25</v>
      </c>
      <c r="G818" s="22" t="s">
        <v>44</v>
      </c>
      <c r="H818" s="22">
        <v>55</v>
      </c>
      <c r="I818" s="24">
        <v>37892</v>
      </c>
      <c r="J818" s="27">
        <v>607</v>
      </c>
      <c r="K818" s="25">
        <v>0</v>
      </c>
      <c r="L818" s="22" t="s">
        <v>45</v>
      </c>
      <c r="M818" s="23" t="s">
        <v>66</v>
      </c>
    </row>
    <row r="819" spans="1:13" x14ac:dyDescent="0.35">
      <c r="A819" s="22" t="s">
        <v>958</v>
      </c>
      <c r="B819" s="22" t="s">
        <v>1893</v>
      </c>
      <c r="C819" s="22" t="s">
        <v>1111</v>
      </c>
      <c r="D819" s="22" t="s">
        <v>39</v>
      </c>
      <c r="E819" s="22" t="s">
        <v>29</v>
      </c>
      <c r="F819" s="22" t="s">
        <v>15</v>
      </c>
      <c r="G819" s="22" t="s">
        <v>21</v>
      </c>
      <c r="H819" s="22">
        <v>37</v>
      </c>
      <c r="I819" s="24">
        <v>44320</v>
      </c>
      <c r="J819" s="27">
        <v>892</v>
      </c>
      <c r="K819" s="25">
        <v>0.12</v>
      </c>
      <c r="L819" s="22" t="s">
        <v>17</v>
      </c>
      <c r="M819" s="23" t="s">
        <v>40</v>
      </c>
    </row>
    <row r="820" spans="1:13" x14ac:dyDescent="0.35">
      <c r="A820" s="22" t="s">
        <v>959</v>
      </c>
      <c r="B820" s="22" t="s">
        <v>1894</v>
      </c>
      <c r="C820" s="22" t="s">
        <v>19</v>
      </c>
      <c r="D820" s="22" t="s">
        <v>20</v>
      </c>
      <c r="E820" s="22" t="s">
        <v>14</v>
      </c>
      <c r="F820" s="22" t="s">
        <v>15</v>
      </c>
      <c r="G820" s="22" t="s">
        <v>44</v>
      </c>
      <c r="H820" s="22">
        <v>58</v>
      </c>
      <c r="I820" s="24">
        <v>36554</v>
      </c>
      <c r="J820" s="27">
        <v>701</v>
      </c>
      <c r="K820" s="25">
        <v>0</v>
      </c>
      <c r="L820" s="22" t="s">
        <v>17</v>
      </c>
      <c r="M820" s="23" t="s">
        <v>35</v>
      </c>
    </row>
    <row r="821" spans="1:13" x14ac:dyDescent="0.35">
      <c r="A821" s="22" t="s">
        <v>960</v>
      </c>
      <c r="B821" s="22" t="s">
        <v>1895</v>
      </c>
      <c r="C821" s="22" t="s">
        <v>36</v>
      </c>
      <c r="D821" s="22" t="s">
        <v>20</v>
      </c>
      <c r="E821" s="22" t="s">
        <v>14</v>
      </c>
      <c r="F821" s="22" t="s">
        <v>15</v>
      </c>
      <c r="G821" s="22" t="s">
        <v>41</v>
      </c>
      <c r="H821" s="22">
        <v>51</v>
      </c>
      <c r="I821" s="24">
        <v>42016</v>
      </c>
      <c r="J821" s="27">
        <v>675</v>
      </c>
      <c r="K821" s="25">
        <v>0.27</v>
      </c>
      <c r="L821" s="22" t="s">
        <v>17</v>
      </c>
      <c r="M821" s="23" t="s">
        <v>40</v>
      </c>
    </row>
    <row r="822" spans="1:13" x14ac:dyDescent="0.35">
      <c r="A822" s="22" t="s">
        <v>961</v>
      </c>
      <c r="B822" s="22" t="s">
        <v>1896</v>
      </c>
      <c r="C822" s="22" t="s">
        <v>50</v>
      </c>
      <c r="D822" s="22" t="s">
        <v>28</v>
      </c>
      <c r="E822" s="22" t="s">
        <v>29</v>
      </c>
      <c r="F822" s="22" t="s">
        <v>15</v>
      </c>
      <c r="G822" s="22" t="s">
        <v>21</v>
      </c>
      <c r="H822" s="22">
        <v>37</v>
      </c>
      <c r="I822" s="24">
        <v>41573</v>
      </c>
      <c r="J822" s="27">
        <v>1000</v>
      </c>
      <c r="K822" s="25">
        <v>0</v>
      </c>
      <c r="L822" s="22" t="s">
        <v>17</v>
      </c>
      <c r="M822" s="23" t="s">
        <v>22</v>
      </c>
    </row>
    <row r="823" spans="1:13" x14ac:dyDescent="0.35">
      <c r="A823" s="22" t="s">
        <v>962</v>
      </c>
      <c r="B823" s="22" t="s">
        <v>1897</v>
      </c>
      <c r="C823" s="22" t="s">
        <v>36</v>
      </c>
      <c r="D823" s="22" t="s">
        <v>13</v>
      </c>
      <c r="E823" s="22" t="s">
        <v>1102</v>
      </c>
      <c r="F823" s="22" t="s">
        <v>15</v>
      </c>
      <c r="G823" s="22" t="s">
        <v>21</v>
      </c>
      <c r="H823" s="22">
        <v>43</v>
      </c>
      <c r="I823" s="24">
        <v>38724</v>
      </c>
      <c r="J823" s="27">
        <v>532</v>
      </c>
      <c r="K823" s="25">
        <v>0.24</v>
      </c>
      <c r="L823" s="22" t="s">
        <v>30</v>
      </c>
      <c r="M823" s="23" t="s">
        <v>52</v>
      </c>
    </row>
    <row r="824" spans="1:13" x14ac:dyDescent="0.35">
      <c r="A824" s="22" t="s">
        <v>963</v>
      </c>
      <c r="B824" s="22" t="s">
        <v>1898</v>
      </c>
      <c r="C824" s="22" t="s">
        <v>74</v>
      </c>
      <c r="D824" s="22" t="s">
        <v>43</v>
      </c>
      <c r="E824" s="22" t="s">
        <v>14</v>
      </c>
      <c r="F824" s="22" t="s">
        <v>15</v>
      </c>
      <c r="G824" s="22" t="s">
        <v>16</v>
      </c>
      <c r="H824" s="22">
        <v>26</v>
      </c>
      <c r="I824" s="24">
        <v>44728</v>
      </c>
      <c r="J824" s="27">
        <v>516</v>
      </c>
      <c r="K824" s="25">
        <v>0</v>
      </c>
      <c r="L824" s="22" t="s">
        <v>17</v>
      </c>
      <c r="M824" s="23" t="s">
        <v>26</v>
      </c>
    </row>
    <row r="825" spans="1:13" x14ac:dyDescent="0.35">
      <c r="A825" s="22" t="s">
        <v>118</v>
      </c>
      <c r="B825" s="22" t="s">
        <v>1899</v>
      </c>
      <c r="C825" s="22" t="s">
        <v>74</v>
      </c>
      <c r="D825" s="22" t="s">
        <v>43</v>
      </c>
      <c r="E825" s="22" t="s">
        <v>14</v>
      </c>
      <c r="F825" s="22" t="s">
        <v>25</v>
      </c>
      <c r="G825" s="22" t="s">
        <v>16</v>
      </c>
      <c r="H825" s="22">
        <v>35</v>
      </c>
      <c r="I825" s="24">
        <v>42606</v>
      </c>
      <c r="J825" s="27">
        <v>614</v>
      </c>
      <c r="K825" s="25">
        <v>0</v>
      </c>
      <c r="L825" s="22" t="s">
        <v>17</v>
      </c>
      <c r="M825" s="23" t="s">
        <v>40</v>
      </c>
    </row>
    <row r="826" spans="1:13" x14ac:dyDescent="0.35">
      <c r="A826" s="22" t="s">
        <v>964</v>
      </c>
      <c r="B826" s="22" t="s">
        <v>1900</v>
      </c>
      <c r="C826" s="22" t="s">
        <v>38</v>
      </c>
      <c r="D826" s="22" t="s">
        <v>56</v>
      </c>
      <c r="E826" s="22" t="s">
        <v>29</v>
      </c>
      <c r="F826" s="22" t="s">
        <v>25</v>
      </c>
      <c r="G826" s="22" t="s">
        <v>21</v>
      </c>
      <c r="H826" s="22">
        <v>61</v>
      </c>
      <c r="I826" s="24">
        <v>35717</v>
      </c>
      <c r="J826" s="27">
        <v>591</v>
      </c>
      <c r="K826" s="25">
        <v>0</v>
      </c>
      <c r="L826" s="22" t="s">
        <v>30</v>
      </c>
      <c r="M826" s="23" t="s">
        <v>61</v>
      </c>
    </row>
    <row r="827" spans="1:13" x14ac:dyDescent="0.35">
      <c r="A827" s="22" t="s">
        <v>965</v>
      </c>
      <c r="B827" s="22" t="s">
        <v>1901</v>
      </c>
      <c r="C827" s="22" t="s">
        <v>36</v>
      </c>
      <c r="D827" s="22" t="s">
        <v>13</v>
      </c>
      <c r="E827" s="22" t="s">
        <v>1102</v>
      </c>
      <c r="F827" s="22" t="s">
        <v>25</v>
      </c>
      <c r="G827" s="22" t="s">
        <v>21</v>
      </c>
      <c r="H827" s="22">
        <v>59</v>
      </c>
      <c r="I827" s="24">
        <v>39487</v>
      </c>
      <c r="J827" s="27">
        <v>979</v>
      </c>
      <c r="K827" s="25">
        <v>0.3</v>
      </c>
      <c r="L827" s="22" t="s">
        <v>17</v>
      </c>
      <c r="M827" s="23" t="s">
        <v>35</v>
      </c>
    </row>
    <row r="828" spans="1:13" x14ac:dyDescent="0.35">
      <c r="A828" s="22" t="s">
        <v>966</v>
      </c>
      <c r="B828" s="22" t="s">
        <v>1183</v>
      </c>
      <c r="C828" s="22" t="s">
        <v>38</v>
      </c>
      <c r="D828" s="22" t="s">
        <v>13</v>
      </c>
      <c r="E828" s="22" t="s">
        <v>33</v>
      </c>
      <c r="F828" s="22" t="s">
        <v>15</v>
      </c>
      <c r="G828" s="22" t="s">
        <v>21</v>
      </c>
      <c r="H828" s="22">
        <v>65</v>
      </c>
      <c r="I828" s="24">
        <v>35621</v>
      </c>
      <c r="J828" s="27">
        <v>984</v>
      </c>
      <c r="K828" s="25">
        <v>0</v>
      </c>
      <c r="L828" s="22" t="s">
        <v>30</v>
      </c>
      <c r="M828" s="23" t="s">
        <v>31</v>
      </c>
    </row>
    <row r="829" spans="1:13" x14ac:dyDescent="0.35">
      <c r="A829" s="22" t="s">
        <v>967</v>
      </c>
      <c r="B829" s="22" t="s">
        <v>1902</v>
      </c>
      <c r="C829" s="22" t="s">
        <v>53</v>
      </c>
      <c r="D829" s="22" t="s">
        <v>20</v>
      </c>
      <c r="E829" s="22" t="s">
        <v>29</v>
      </c>
      <c r="F829" s="22" t="s">
        <v>15</v>
      </c>
      <c r="G829" s="22" t="s">
        <v>16</v>
      </c>
      <c r="H829" s="22">
        <v>55</v>
      </c>
      <c r="I829" s="24">
        <v>38369</v>
      </c>
      <c r="J829" s="27">
        <v>775</v>
      </c>
      <c r="K829" s="25">
        <v>0.05</v>
      </c>
      <c r="L829" s="22" t="s">
        <v>17</v>
      </c>
      <c r="M829" s="23" t="s">
        <v>35</v>
      </c>
    </row>
    <row r="830" spans="1:13" x14ac:dyDescent="0.35">
      <c r="A830" s="22" t="s">
        <v>968</v>
      </c>
      <c r="B830" s="22" t="s">
        <v>1903</v>
      </c>
      <c r="C830" s="22" t="s">
        <v>74</v>
      </c>
      <c r="D830" s="22" t="s">
        <v>43</v>
      </c>
      <c r="E830" s="22" t="s">
        <v>1102</v>
      </c>
      <c r="F830" s="22" t="s">
        <v>25</v>
      </c>
      <c r="G830" s="22" t="s">
        <v>21</v>
      </c>
      <c r="H830" s="22">
        <v>51</v>
      </c>
      <c r="I830" s="24">
        <v>36302</v>
      </c>
      <c r="J830" s="27">
        <v>972</v>
      </c>
      <c r="K830" s="25">
        <v>0</v>
      </c>
      <c r="L830" s="22" t="s">
        <v>30</v>
      </c>
      <c r="M830" s="23" t="s">
        <v>61</v>
      </c>
    </row>
    <row r="831" spans="1:13" x14ac:dyDescent="0.35">
      <c r="A831" s="22" t="s">
        <v>969</v>
      </c>
      <c r="B831" s="22" t="s">
        <v>1904</v>
      </c>
      <c r="C831" s="22" t="s">
        <v>53</v>
      </c>
      <c r="D831" s="22" t="s">
        <v>56</v>
      </c>
      <c r="E831" s="22" t="s">
        <v>1102</v>
      </c>
      <c r="F831" s="22" t="s">
        <v>25</v>
      </c>
      <c r="G831" s="22" t="s">
        <v>16</v>
      </c>
      <c r="H831" s="22">
        <v>53</v>
      </c>
      <c r="I831" s="24">
        <v>41861</v>
      </c>
      <c r="J831" s="27">
        <v>879</v>
      </c>
      <c r="K831" s="25">
        <v>0.06</v>
      </c>
      <c r="L831" s="22" t="s">
        <v>17</v>
      </c>
      <c r="M831" s="23" t="s">
        <v>22</v>
      </c>
    </row>
    <row r="832" spans="1:13" x14ac:dyDescent="0.35">
      <c r="A832" s="22" t="s">
        <v>78</v>
      </c>
      <c r="B832" s="22" t="s">
        <v>1905</v>
      </c>
      <c r="C832" s="22" t="s">
        <v>53</v>
      </c>
      <c r="D832" s="22" t="s">
        <v>24</v>
      </c>
      <c r="E832" s="22" t="s">
        <v>14</v>
      </c>
      <c r="F832" s="22" t="s">
        <v>15</v>
      </c>
      <c r="G832" s="22" t="s">
        <v>44</v>
      </c>
      <c r="H832" s="22">
        <v>47</v>
      </c>
      <c r="I832" s="24">
        <v>36552</v>
      </c>
      <c r="J832" s="27">
        <v>912</v>
      </c>
      <c r="K832" s="25">
        <v>0.05</v>
      </c>
      <c r="L832" s="22" t="s">
        <v>17</v>
      </c>
      <c r="M832" s="23" t="s">
        <v>54</v>
      </c>
    </row>
    <row r="833" spans="1:13" x14ac:dyDescent="0.35">
      <c r="A833" s="22" t="s">
        <v>96</v>
      </c>
      <c r="B833" s="22" t="s">
        <v>1906</v>
      </c>
      <c r="C833" s="22" t="s">
        <v>53</v>
      </c>
      <c r="D833" s="22" t="s">
        <v>56</v>
      </c>
      <c r="E833" s="22" t="s">
        <v>29</v>
      </c>
      <c r="F833" s="22" t="s">
        <v>25</v>
      </c>
      <c r="G833" s="22" t="s">
        <v>21</v>
      </c>
      <c r="H833" s="22">
        <v>53</v>
      </c>
      <c r="I833" s="24">
        <v>34311</v>
      </c>
      <c r="J833" s="27">
        <v>985</v>
      </c>
      <c r="K833" s="25">
        <v>0.1</v>
      </c>
      <c r="L833" s="22" t="s">
        <v>30</v>
      </c>
      <c r="M833" s="23" t="s">
        <v>52</v>
      </c>
    </row>
    <row r="834" spans="1:13" x14ac:dyDescent="0.35">
      <c r="A834" s="22" t="s">
        <v>970</v>
      </c>
      <c r="B834" s="22" t="s">
        <v>1907</v>
      </c>
      <c r="C834" s="22" t="s">
        <v>19</v>
      </c>
      <c r="D834" s="22" t="s">
        <v>20</v>
      </c>
      <c r="E834" s="22" t="s">
        <v>1102</v>
      </c>
      <c r="F834" s="22" t="s">
        <v>25</v>
      </c>
      <c r="G834" s="22" t="s">
        <v>21</v>
      </c>
      <c r="H834" s="22">
        <v>38</v>
      </c>
      <c r="I834" s="24">
        <v>40190</v>
      </c>
      <c r="J834" s="27">
        <v>693</v>
      </c>
      <c r="K834" s="25">
        <v>0</v>
      </c>
      <c r="L834" s="22" t="s">
        <v>30</v>
      </c>
      <c r="M834" s="23" t="s">
        <v>65</v>
      </c>
    </row>
    <row r="835" spans="1:13" x14ac:dyDescent="0.35">
      <c r="A835" s="22" t="s">
        <v>971</v>
      </c>
      <c r="B835" s="22" t="s">
        <v>1908</v>
      </c>
      <c r="C835" s="22" t="s">
        <v>63</v>
      </c>
      <c r="D835" s="22" t="s">
        <v>20</v>
      </c>
      <c r="E835" s="22" t="s">
        <v>29</v>
      </c>
      <c r="F835" s="22" t="s">
        <v>25</v>
      </c>
      <c r="G835" s="22" t="s">
        <v>21</v>
      </c>
      <c r="H835" s="22">
        <v>28</v>
      </c>
      <c r="I835" s="24">
        <v>44211</v>
      </c>
      <c r="J835" s="27">
        <v>636</v>
      </c>
      <c r="K835" s="25">
        <v>0</v>
      </c>
      <c r="L835" s="22" t="s">
        <v>17</v>
      </c>
      <c r="M835" s="23" t="s">
        <v>22</v>
      </c>
    </row>
    <row r="836" spans="1:13" x14ac:dyDescent="0.35">
      <c r="A836" s="22" t="s">
        <v>972</v>
      </c>
      <c r="B836" s="22" t="s">
        <v>1909</v>
      </c>
      <c r="C836" s="22" t="s">
        <v>57</v>
      </c>
      <c r="D836" s="22" t="s">
        <v>43</v>
      </c>
      <c r="E836" s="22" t="s">
        <v>29</v>
      </c>
      <c r="F836" s="22" t="s">
        <v>15</v>
      </c>
      <c r="G836" s="22" t="s">
        <v>44</v>
      </c>
      <c r="H836" s="22">
        <v>32</v>
      </c>
      <c r="I836" s="24">
        <v>41890</v>
      </c>
      <c r="J836" s="27">
        <v>659</v>
      </c>
      <c r="K836" s="25">
        <v>0</v>
      </c>
      <c r="L836" s="22" t="s">
        <v>45</v>
      </c>
      <c r="M836" s="23" t="s">
        <v>1134</v>
      </c>
    </row>
    <row r="837" spans="1:13" x14ac:dyDescent="0.35">
      <c r="A837" s="22" t="s">
        <v>973</v>
      </c>
      <c r="B837" s="22" t="s">
        <v>1910</v>
      </c>
      <c r="C837" s="22" t="s">
        <v>62</v>
      </c>
      <c r="D837" s="22" t="s">
        <v>24</v>
      </c>
      <c r="E837" s="22" t="s">
        <v>1102</v>
      </c>
      <c r="F837" s="22" t="s">
        <v>15</v>
      </c>
      <c r="G837" s="22" t="s">
        <v>21</v>
      </c>
      <c r="H837" s="22">
        <v>52</v>
      </c>
      <c r="I837" s="24">
        <v>44857</v>
      </c>
      <c r="J837" s="27">
        <v>915</v>
      </c>
      <c r="K837" s="25">
        <v>0</v>
      </c>
      <c r="L837" s="22" t="s">
        <v>30</v>
      </c>
      <c r="M837" s="23" t="s">
        <v>65</v>
      </c>
    </row>
    <row r="838" spans="1:13" x14ac:dyDescent="0.35">
      <c r="A838" s="22" t="s">
        <v>178</v>
      </c>
      <c r="B838" s="22" t="s">
        <v>1911</v>
      </c>
      <c r="C838" s="22" t="s">
        <v>38</v>
      </c>
      <c r="D838" s="22" t="s">
        <v>39</v>
      </c>
      <c r="E838" s="22" t="s">
        <v>29</v>
      </c>
      <c r="F838" s="22" t="s">
        <v>15</v>
      </c>
      <c r="G838" s="22" t="s">
        <v>16</v>
      </c>
      <c r="H838" s="22">
        <v>64</v>
      </c>
      <c r="I838" s="24">
        <v>37754</v>
      </c>
      <c r="J838" s="27">
        <v>862</v>
      </c>
      <c r="K838" s="25">
        <v>0</v>
      </c>
      <c r="L838" s="22" t="s">
        <v>17</v>
      </c>
      <c r="M838" s="23" t="s">
        <v>22</v>
      </c>
    </row>
    <row r="839" spans="1:13" x14ac:dyDescent="0.35">
      <c r="A839" s="22" t="s">
        <v>974</v>
      </c>
      <c r="B839" s="22" t="s">
        <v>1759</v>
      </c>
      <c r="C839" s="22" t="s">
        <v>53</v>
      </c>
      <c r="D839" s="22" t="s">
        <v>56</v>
      </c>
      <c r="E839" s="22" t="s">
        <v>33</v>
      </c>
      <c r="F839" s="22" t="s">
        <v>25</v>
      </c>
      <c r="G839" s="22" t="s">
        <v>21</v>
      </c>
      <c r="H839" s="22">
        <v>55</v>
      </c>
      <c r="I839" s="24">
        <v>39144</v>
      </c>
      <c r="J839" s="27">
        <v>796</v>
      </c>
      <c r="K839" s="25">
        <v>7.0000000000000007E-2</v>
      </c>
      <c r="L839" s="22" t="s">
        <v>30</v>
      </c>
      <c r="M839" s="23" t="s">
        <v>31</v>
      </c>
    </row>
    <row r="840" spans="1:13" x14ac:dyDescent="0.35">
      <c r="A840" s="22" t="s">
        <v>975</v>
      </c>
      <c r="B840" s="22" t="s">
        <v>1912</v>
      </c>
      <c r="C840" s="22" t="s">
        <v>12</v>
      </c>
      <c r="D840" s="22" t="s">
        <v>13</v>
      </c>
      <c r="E840" s="22" t="s">
        <v>29</v>
      </c>
      <c r="F840" s="22" t="s">
        <v>15</v>
      </c>
      <c r="G840" s="22" t="s">
        <v>21</v>
      </c>
      <c r="H840" s="22">
        <v>38</v>
      </c>
      <c r="I840" s="24">
        <v>41748</v>
      </c>
      <c r="J840" s="27">
        <v>720</v>
      </c>
      <c r="K840" s="25">
        <v>0.39</v>
      </c>
      <c r="L840" s="22" t="s">
        <v>30</v>
      </c>
      <c r="M840" s="23" t="s">
        <v>61</v>
      </c>
    </row>
    <row r="841" spans="1:13" x14ac:dyDescent="0.35">
      <c r="A841" s="22" t="s">
        <v>976</v>
      </c>
      <c r="B841" s="22" t="s">
        <v>1913</v>
      </c>
      <c r="C841" s="22" t="s">
        <v>58</v>
      </c>
      <c r="D841" s="22" t="s">
        <v>28</v>
      </c>
      <c r="E841" s="22" t="s">
        <v>1102</v>
      </c>
      <c r="F841" s="22" t="s">
        <v>15</v>
      </c>
      <c r="G841" s="22" t="s">
        <v>44</v>
      </c>
      <c r="H841" s="22">
        <v>30</v>
      </c>
      <c r="I841" s="24">
        <v>43877</v>
      </c>
      <c r="J841" s="27">
        <v>697</v>
      </c>
      <c r="K841" s="25">
        <v>0</v>
      </c>
      <c r="L841" s="22" t="s">
        <v>45</v>
      </c>
      <c r="M841" s="23" t="s">
        <v>1134</v>
      </c>
    </row>
    <row r="842" spans="1:13" x14ac:dyDescent="0.35">
      <c r="A842" s="22" t="s">
        <v>977</v>
      </c>
      <c r="B842" s="22" t="s">
        <v>1914</v>
      </c>
      <c r="C842" s="22" t="s">
        <v>38</v>
      </c>
      <c r="D842" s="22" t="s">
        <v>43</v>
      </c>
      <c r="E842" s="22" t="s">
        <v>14</v>
      </c>
      <c r="F842" s="22" t="s">
        <v>25</v>
      </c>
      <c r="G842" s="22" t="s">
        <v>21</v>
      </c>
      <c r="H842" s="22">
        <v>43</v>
      </c>
      <c r="I842" s="24">
        <v>43412</v>
      </c>
      <c r="J842" s="27">
        <v>865</v>
      </c>
      <c r="K842" s="25">
        <v>0</v>
      </c>
      <c r="L842" s="22" t="s">
        <v>30</v>
      </c>
      <c r="M842" s="23" t="s">
        <v>61</v>
      </c>
    </row>
    <row r="843" spans="1:13" x14ac:dyDescent="0.35">
      <c r="A843" s="22" t="s">
        <v>218</v>
      </c>
      <c r="B843" s="22" t="s">
        <v>1915</v>
      </c>
      <c r="C843" s="22" t="s">
        <v>12</v>
      </c>
      <c r="D843" s="22" t="s">
        <v>13</v>
      </c>
      <c r="E843" s="22" t="s">
        <v>33</v>
      </c>
      <c r="F843" s="22" t="s">
        <v>25</v>
      </c>
      <c r="G843" s="22" t="s">
        <v>21</v>
      </c>
      <c r="H843" s="22">
        <v>40</v>
      </c>
      <c r="I843" s="24">
        <v>40242</v>
      </c>
      <c r="J843" s="27">
        <v>653</v>
      </c>
      <c r="K843" s="25">
        <v>0.33</v>
      </c>
      <c r="L843" s="22" t="s">
        <v>30</v>
      </c>
      <c r="M843" s="23" t="s">
        <v>52</v>
      </c>
    </row>
    <row r="844" spans="1:13" x14ac:dyDescent="0.35">
      <c r="A844" s="22" t="s">
        <v>168</v>
      </c>
      <c r="B844" s="22" t="s">
        <v>1916</v>
      </c>
      <c r="C844" s="22" t="s">
        <v>51</v>
      </c>
      <c r="D844" s="22" t="s">
        <v>28</v>
      </c>
      <c r="E844" s="22" t="s">
        <v>29</v>
      </c>
      <c r="F844" s="22" t="s">
        <v>25</v>
      </c>
      <c r="G844" s="22" t="s">
        <v>16</v>
      </c>
      <c r="H844" s="22">
        <v>55</v>
      </c>
      <c r="I844" s="24">
        <v>42075</v>
      </c>
      <c r="J844" s="27">
        <v>906</v>
      </c>
      <c r="K844" s="25">
        <v>0</v>
      </c>
      <c r="L844" s="22" t="s">
        <v>17</v>
      </c>
      <c r="M844" s="23" t="s">
        <v>18</v>
      </c>
    </row>
    <row r="845" spans="1:13" x14ac:dyDescent="0.35">
      <c r="A845" s="22" t="s">
        <v>978</v>
      </c>
      <c r="B845" s="22" t="s">
        <v>1917</v>
      </c>
      <c r="C845" s="22" t="s">
        <v>34</v>
      </c>
      <c r="D845" s="22" t="s">
        <v>24</v>
      </c>
      <c r="E845" s="22" t="s">
        <v>14</v>
      </c>
      <c r="F845" s="22" t="s">
        <v>15</v>
      </c>
      <c r="G845" s="22" t="s">
        <v>16</v>
      </c>
      <c r="H845" s="22">
        <v>36</v>
      </c>
      <c r="I845" s="24">
        <v>40333</v>
      </c>
      <c r="J845" s="27">
        <v>617</v>
      </c>
      <c r="K845" s="25">
        <v>0</v>
      </c>
      <c r="L845" s="22" t="s">
        <v>17</v>
      </c>
      <c r="M845" s="23" t="s">
        <v>22</v>
      </c>
    </row>
    <row r="846" spans="1:13" x14ac:dyDescent="0.35">
      <c r="A846" s="22" t="s">
        <v>236</v>
      </c>
      <c r="B846" s="22" t="s">
        <v>1918</v>
      </c>
      <c r="C846" s="22" t="s">
        <v>1111</v>
      </c>
      <c r="D846" s="22" t="s">
        <v>20</v>
      </c>
      <c r="E846" s="22" t="s">
        <v>14</v>
      </c>
      <c r="F846" s="22" t="s">
        <v>25</v>
      </c>
      <c r="G846" s="22" t="s">
        <v>44</v>
      </c>
      <c r="H846" s="22">
        <v>47</v>
      </c>
      <c r="I846" s="24">
        <v>36889</v>
      </c>
      <c r="J846" s="27">
        <v>994</v>
      </c>
      <c r="K846" s="25">
        <v>0.12</v>
      </c>
      <c r="L846" s="22" t="s">
        <v>17</v>
      </c>
      <c r="M846" s="23" t="s">
        <v>22</v>
      </c>
    </row>
    <row r="847" spans="1:13" x14ac:dyDescent="0.35">
      <c r="A847" s="22" t="s">
        <v>979</v>
      </c>
      <c r="B847" s="22" t="s">
        <v>1919</v>
      </c>
      <c r="C847" s="22" t="s">
        <v>62</v>
      </c>
      <c r="D847" s="22" t="s">
        <v>24</v>
      </c>
      <c r="E847" s="22" t="s">
        <v>14</v>
      </c>
      <c r="F847" s="22" t="s">
        <v>15</v>
      </c>
      <c r="G847" s="22" t="s">
        <v>21</v>
      </c>
      <c r="H847" s="22">
        <v>59</v>
      </c>
      <c r="I847" s="24">
        <v>39589</v>
      </c>
      <c r="J847" s="27">
        <v>675</v>
      </c>
      <c r="K847" s="25">
        <v>0</v>
      </c>
      <c r="L847" s="22" t="s">
        <v>17</v>
      </c>
      <c r="M847" s="23" t="s">
        <v>35</v>
      </c>
    </row>
    <row r="848" spans="1:13" x14ac:dyDescent="0.35">
      <c r="A848" s="22" t="s">
        <v>80</v>
      </c>
      <c r="B848" s="22" t="s">
        <v>1920</v>
      </c>
      <c r="C848" s="22" t="s">
        <v>32</v>
      </c>
      <c r="D848" s="22" t="s">
        <v>24</v>
      </c>
      <c r="E848" s="22" t="s">
        <v>33</v>
      </c>
      <c r="F848" s="22" t="s">
        <v>15</v>
      </c>
      <c r="G848" s="22" t="s">
        <v>16</v>
      </c>
      <c r="H848" s="22">
        <v>40</v>
      </c>
      <c r="I848" s="24">
        <v>39510</v>
      </c>
      <c r="J848" s="27">
        <v>669</v>
      </c>
      <c r="K848" s="25">
        <v>0</v>
      </c>
      <c r="L848" s="22" t="s">
        <v>17</v>
      </c>
      <c r="M848" s="23" t="s">
        <v>54</v>
      </c>
    </row>
    <row r="849" spans="1:13" x14ac:dyDescent="0.35">
      <c r="A849" s="22" t="s">
        <v>980</v>
      </c>
      <c r="B849" s="22" t="s">
        <v>1921</v>
      </c>
      <c r="C849" s="22" t="s">
        <v>50</v>
      </c>
      <c r="D849" s="22" t="s">
        <v>28</v>
      </c>
      <c r="E849" s="22" t="s">
        <v>29</v>
      </c>
      <c r="F849" s="22" t="s">
        <v>15</v>
      </c>
      <c r="G849" s="22" t="s">
        <v>44</v>
      </c>
      <c r="H849" s="22">
        <v>53</v>
      </c>
      <c r="I849" s="24">
        <v>39920</v>
      </c>
      <c r="J849" s="27">
        <v>904</v>
      </c>
      <c r="K849" s="25">
        <v>0</v>
      </c>
      <c r="L849" s="22" t="s">
        <v>17</v>
      </c>
      <c r="M849" s="23" t="s">
        <v>26</v>
      </c>
    </row>
    <row r="850" spans="1:13" x14ac:dyDescent="0.35">
      <c r="A850" s="22" t="s">
        <v>106</v>
      </c>
      <c r="B850" s="22" t="s">
        <v>1922</v>
      </c>
      <c r="C850" s="22" t="s">
        <v>36</v>
      </c>
      <c r="D850" s="22" t="s">
        <v>24</v>
      </c>
      <c r="E850" s="22" t="s">
        <v>33</v>
      </c>
      <c r="F850" s="22" t="s">
        <v>15</v>
      </c>
      <c r="G850" s="22" t="s">
        <v>21</v>
      </c>
      <c r="H850" s="22">
        <v>50</v>
      </c>
      <c r="I850" s="24">
        <v>40655</v>
      </c>
      <c r="J850" s="27">
        <v>968</v>
      </c>
      <c r="K850" s="25">
        <v>0.2</v>
      </c>
      <c r="L850" s="22" t="s">
        <v>30</v>
      </c>
      <c r="M850" s="23" t="s">
        <v>52</v>
      </c>
    </row>
    <row r="851" spans="1:13" x14ac:dyDescent="0.35">
      <c r="A851" s="22" t="s">
        <v>981</v>
      </c>
      <c r="B851" s="22" t="s">
        <v>1923</v>
      </c>
      <c r="C851" s="22" t="s">
        <v>48</v>
      </c>
      <c r="D851" s="22" t="s">
        <v>24</v>
      </c>
      <c r="E851" s="22" t="s">
        <v>1102</v>
      </c>
      <c r="F851" s="22" t="s">
        <v>15</v>
      </c>
      <c r="G851" s="22" t="s">
        <v>16</v>
      </c>
      <c r="H851" s="22">
        <v>52</v>
      </c>
      <c r="I851" s="24">
        <v>41667</v>
      </c>
      <c r="J851" s="27">
        <v>549</v>
      </c>
      <c r="K851" s="25">
        <v>0.1</v>
      </c>
      <c r="L851" s="22" t="s">
        <v>17</v>
      </c>
      <c r="M851" s="23" t="s">
        <v>54</v>
      </c>
    </row>
    <row r="852" spans="1:13" x14ac:dyDescent="0.35">
      <c r="A852" s="22" t="s">
        <v>982</v>
      </c>
      <c r="B852" s="22" t="s">
        <v>1924</v>
      </c>
      <c r="C852" s="22" t="s">
        <v>69</v>
      </c>
      <c r="D852" s="22" t="s">
        <v>28</v>
      </c>
      <c r="E852" s="22" t="s">
        <v>29</v>
      </c>
      <c r="F852" s="22" t="s">
        <v>15</v>
      </c>
      <c r="G852" s="22" t="s">
        <v>41</v>
      </c>
      <c r="H852" s="22">
        <v>40</v>
      </c>
      <c r="I852" s="24">
        <v>40642</v>
      </c>
      <c r="J852" s="27">
        <v>633</v>
      </c>
      <c r="K852" s="25">
        <v>0</v>
      </c>
      <c r="L852" s="22" t="s">
        <v>17</v>
      </c>
      <c r="M852" s="23" t="s">
        <v>35</v>
      </c>
    </row>
    <row r="853" spans="1:13" x14ac:dyDescent="0.35">
      <c r="A853" s="22" t="s">
        <v>983</v>
      </c>
      <c r="B853" s="22" t="s">
        <v>1925</v>
      </c>
      <c r="C853" s="22" t="s">
        <v>12</v>
      </c>
      <c r="D853" s="22" t="s">
        <v>39</v>
      </c>
      <c r="E853" s="22" t="s">
        <v>14</v>
      </c>
      <c r="F853" s="22" t="s">
        <v>15</v>
      </c>
      <c r="G853" s="22" t="s">
        <v>16</v>
      </c>
      <c r="H853" s="22">
        <v>39</v>
      </c>
      <c r="I853" s="24">
        <v>44474</v>
      </c>
      <c r="J853" s="27">
        <v>967</v>
      </c>
      <c r="K853" s="25">
        <v>0.33</v>
      </c>
      <c r="L853" s="22" t="s">
        <v>17</v>
      </c>
      <c r="M853" s="23" t="s">
        <v>54</v>
      </c>
    </row>
    <row r="854" spans="1:13" x14ac:dyDescent="0.35">
      <c r="A854" s="22" t="s">
        <v>984</v>
      </c>
      <c r="B854" s="22" t="s">
        <v>1926</v>
      </c>
      <c r="C854" s="22" t="s">
        <v>47</v>
      </c>
      <c r="D854" s="22" t="s">
        <v>24</v>
      </c>
      <c r="E854" s="22" t="s">
        <v>29</v>
      </c>
      <c r="F854" s="22" t="s">
        <v>25</v>
      </c>
      <c r="G854" s="22" t="s">
        <v>44</v>
      </c>
      <c r="H854" s="22">
        <v>31</v>
      </c>
      <c r="I854" s="24">
        <v>42025</v>
      </c>
      <c r="J854" s="27">
        <v>647</v>
      </c>
      <c r="K854" s="25">
        <v>0</v>
      </c>
      <c r="L854" s="22" t="s">
        <v>45</v>
      </c>
      <c r="M854" s="23" t="s">
        <v>66</v>
      </c>
    </row>
    <row r="855" spans="1:13" x14ac:dyDescent="0.35">
      <c r="A855" s="22" t="s">
        <v>109</v>
      </c>
      <c r="B855" s="22" t="s">
        <v>1927</v>
      </c>
      <c r="C855" s="22" t="s">
        <v>53</v>
      </c>
      <c r="D855" s="22" t="s">
        <v>56</v>
      </c>
      <c r="E855" s="22" t="s">
        <v>33</v>
      </c>
      <c r="F855" s="22" t="s">
        <v>15</v>
      </c>
      <c r="G855" s="22" t="s">
        <v>21</v>
      </c>
      <c r="H855" s="22">
        <v>30</v>
      </c>
      <c r="I855" s="24">
        <v>43450</v>
      </c>
      <c r="J855" s="27">
        <v>664</v>
      </c>
      <c r="K855" s="25">
        <v>0.05</v>
      </c>
      <c r="L855" s="22" t="s">
        <v>17</v>
      </c>
      <c r="M855" s="23" t="s">
        <v>22</v>
      </c>
    </row>
    <row r="856" spans="1:13" x14ac:dyDescent="0.35">
      <c r="A856" s="22" t="s">
        <v>124</v>
      </c>
      <c r="B856" s="22" t="s">
        <v>1928</v>
      </c>
      <c r="C856" s="22" t="s">
        <v>38</v>
      </c>
      <c r="D856" s="22" t="s">
        <v>56</v>
      </c>
      <c r="E856" s="22" t="s">
        <v>14</v>
      </c>
      <c r="F856" s="22" t="s">
        <v>25</v>
      </c>
      <c r="G856" s="22" t="s">
        <v>44</v>
      </c>
      <c r="H856" s="22">
        <v>47</v>
      </c>
      <c r="I856" s="24">
        <v>39347</v>
      </c>
      <c r="J856" s="27">
        <v>943</v>
      </c>
      <c r="K856" s="25">
        <v>0</v>
      </c>
      <c r="L856" s="22" t="s">
        <v>17</v>
      </c>
      <c r="M856" s="23" t="s">
        <v>40</v>
      </c>
    </row>
    <row r="857" spans="1:13" x14ac:dyDescent="0.35">
      <c r="A857" s="22" t="s">
        <v>213</v>
      </c>
      <c r="B857" s="22" t="s">
        <v>1929</v>
      </c>
      <c r="C857" s="22" t="s">
        <v>50</v>
      </c>
      <c r="D857" s="22" t="s">
        <v>28</v>
      </c>
      <c r="E857" s="22" t="s">
        <v>14</v>
      </c>
      <c r="F857" s="22" t="s">
        <v>15</v>
      </c>
      <c r="G857" s="22" t="s">
        <v>16</v>
      </c>
      <c r="H857" s="22">
        <v>46</v>
      </c>
      <c r="I857" s="24">
        <v>43797</v>
      </c>
      <c r="J857" s="27">
        <v>528</v>
      </c>
      <c r="K857" s="25">
        <v>0</v>
      </c>
      <c r="L857" s="22" t="s">
        <v>17</v>
      </c>
      <c r="M857" s="23" t="s">
        <v>40</v>
      </c>
    </row>
    <row r="858" spans="1:13" x14ac:dyDescent="0.35">
      <c r="A858" s="22" t="s">
        <v>985</v>
      </c>
      <c r="B858" s="22" t="s">
        <v>1930</v>
      </c>
      <c r="C858" s="22" t="s">
        <v>68</v>
      </c>
      <c r="D858" s="22" t="s">
        <v>20</v>
      </c>
      <c r="E858" s="22" t="s">
        <v>29</v>
      </c>
      <c r="F858" s="22" t="s">
        <v>15</v>
      </c>
      <c r="G858" s="22" t="s">
        <v>44</v>
      </c>
      <c r="H858" s="22">
        <v>43</v>
      </c>
      <c r="I858" s="24">
        <v>38971</v>
      </c>
      <c r="J858" s="27">
        <v>803</v>
      </c>
      <c r="K858" s="25">
        <v>0</v>
      </c>
      <c r="L858" s="22" t="s">
        <v>45</v>
      </c>
      <c r="M858" s="23" t="s">
        <v>1134</v>
      </c>
    </row>
    <row r="859" spans="1:13" x14ac:dyDescent="0.35">
      <c r="A859" s="22" t="s">
        <v>986</v>
      </c>
      <c r="B859" s="22" t="s">
        <v>1931</v>
      </c>
      <c r="C859" s="22" t="s">
        <v>53</v>
      </c>
      <c r="D859" s="22" t="s">
        <v>39</v>
      </c>
      <c r="E859" s="22" t="s">
        <v>29</v>
      </c>
      <c r="F859" s="22" t="s">
        <v>15</v>
      </c>
      <c r="G859" s="22" t="s">
        <v>16</v>
      </c>
      <c r="H859" s="22">
        <v>28</v>
      </c>
      <c r="I859" s="24">
        <v>43948</v>
      </c>
      <c r="J859" s="27">
        <v>705</v>
      </c>
      <c r="K859" s="25">
        <v>0.1</v>
      </c>
      <c r="L859" s="22" t="s">
        <v>17</v>
      </c>
      <c r="M859" s="23" t="s">
        <v>26</v>
      </c>
    </row>
    <row r="860" spans="1:13" x14ac:dyDescent="0.35">
      <c r="A860" s="22" t="s">
        <v>987</v>
      </c>
      <c r="B860" s="22" t="s">
        <v>1932</v>
      </c>
      <c r="C860" s="22" t="s">
        <v>71</v>
      </c>
      <c r="D860" s="22" t="s">
        <v>24</v>
      </c>
      <c r="E860" s="22" t="s">
        <v>1102</v>
      </c>
      <c r="F860" s="22" t="s">
        <v>25</v>
      </c>
      <c r="G860" s="22" t="s">
        <v>21</v>
      </c>
      <c r="H860" s="22">
        <v>47</v>
      </c>
      <c r="I860" s="24">
        <v>38607</v>
      </c>
      <c r="J860" s="27">
        <v>535</v>
      </c>
      <c r="K860" s="25">
        <v>0</v>
      </c>
      <c r="L860" s="22" t="s">
        <v>30</v>
      </c>
      <c r="M860" s="23" t="s">
        <v>52</v>
      </c>
    </row>
    <row r="861" spans="1:13" x14ac:dyDescent="0.35">
      <c r="A861" s="22" t="s">
        <v>105</v>
      </c>
      <c r="B861" s="22" t="s">
        <v>1933</v>
      </c>
      <c r="C861" s="22" t="s">
        <v>12</v>
      </c>
      <c r="D861" s="22" t="s">
        <v>24</v>
      </c>
      <c r="E861" s="22" t="s">
        <v>14</v>
      </c>
      <c r="F861" s="22" t="s">
        <v>15</v>
      </c>
      <c r="G861" s="22" t="s">
        <v>44</v>
      </c>
      <c r="H861" s="22">
        <v>43</v>
      </c>
      <c r="I861" s="24">
        <v>41237</v>
      </c>
      <c r="J861" s="27">
        <v>807</v>
      </c>
      <c r="K861" s="25">
        <v>0.32</v>
      </c>
      <c r="L861" s="22" t="s">
        <v>45</v>
      </c>
      <c r="M861" s="23" t="s">
        <v>66</v>
      </c>
    </row>
    <row r="862" spans="1:13" x14ac:dyDescent="0.35">
      <c r="A862" s="22" t="s">
        <v>142</v>
      </c>
      <c r="B862" s="22" t="s">
        <v>1934</v>
      </c>
      <c r="C862" s="22" t="s">
        <v>53</v>
      </c>
      <c r="D862" s="22" t="s">
        <v>13</v>
      </c>
      <c r="E862" s="22" t="s">
        <v>33</v>
      </c>
      <c r="F862" s="22" t="s">
        <v>15</v>
      </c>
      <c r="G862" s="22" t="s">
        <v>41</v>
      </c>
      <c r="H862" s="22">
        <v>42</v>
      </c>
      <c r="I862" s="24">
        <v>40918</v>
      </c>
      <c r="J862" s="27">
        <v>658</v>
      </c>
      <c r="K862" s="25">
        <v>0.09</v>
      </c>
      <c r="L862" s="22" t="s">
        <v>17</v>
      </c>
      <c r="M862" s="23" t="s">
        <v>40</v>
      </c>
    </row>
    <row r="863" spans="1:13" x14ac:dyDescent="0.35">
      <c r="A863" s="22" t="s">
        <v>988</v>
      </c>
      <c r="B863" s="22" t="s">
        <v>1935</v>
      </c>
      <c r="C863" s="22" t="s">
        <v>36</v>
      </c>
      <c r="D863" s="22" t="s">
        <v>24</v>
      </c>
      <c r="E863" s="22" t="s">
        <v>14</v>
      </c>
      <c r="F863" s="22" t="s">
        <v>25</v>
      </c>
      <c r="G863" s="22" t="s">
        <v>21</v>
      </c>
      <c r="H863" s="22">
        <v>45</v>
      </c>
      <c r="I863" s="24">
        <v>40097</v>
      </c>
      <c r="J863" s="27">
        <v>647</v>
      </c>
      <c r="K863" s="25">
        <v>0.3</v>
      </c>
      <c r="L863" s="22" t="s">
        <v>30</v>
      </c>
      <c r="M863" s="23" t="s">
        <v>65</v>
      </c>
    </row>
    <row r="864" spans="1:13" x14ac:dyDescent="0.35">
      <c r="A864" s="22" t="s">
        <v>989</v>
      </c>
      <c r="B864" s="22" t="s">
        <v>1936</v>
      </c>
      <c r="C864" s="22" t="s">
        <v>70</v>
      </c>
      <c r="D864" s="22" t="s">
        <v>28</v>
      </c>
      <c r="E864" s="22" t="s">
        <v>29</v>
      </c>
      <c r="F864" s="22" t="s">
        <v>15</v>
      </c>
      <c r="G864" s="22" t="s">
        <v>16</v>
      </c>
      <c r="H864" s="22">
        <v>37</v>
      </c>
      <c r="I864" s="24">
        <v>40261</v>
      </c>
      <c r="J864" s="27">
        <v>618</v>
      </c>
      <c r="K864" s="25">
        <v>0</v>
      </c>
      <c r="L864" s="22" t="s">
        <v>17</v>
      </c>
      <c r="M864" s="23" t="s">
        <v>18</v>
      </c>
    </row>
    <row r="865" spans="1:13" x14ac:dyDescent="0.35">
      <c r="A865" s="22" t="s">
        <v>990</v>
      </c>
      <c r="B865" s="22" t="s">
        <v>1098</v>
      </c>
      <c r="C865" s="22" t="s">
        <v>12</v>
      </c>
      <c r="D865" s="22" t="s">
        <v>24</v>
      </c>
      <c r="E865" s="22" t="s">
        <v>29</v>
      </c>
      <c r="F865" s="22" t="s">
        <v>15</v>
      </c>
      <c r="G865" s="22" t="s">
        <v>44</v>
      </c>
      <c r="H865" s="22">
        <v>46</v>
      </c>
      <c r="I865" s="24">
        <v>44076</v>
      </c>
      <c r="J865" s="27">
        <v>561</v>
      </c>
      <c r="K865" s="25">
        <v>0.32</v>
      </c>
      <c r="L865" s="22" t="s">
        <v>45</v>
      </c>
      <c r="M865" s="23" t="s">
        <v>1134</v>
      </c>
    </row>
    <row r="866" spans="1:13" x14ac:dyDescent="0.35">
      <c r="A866" s="22" t="s">
        <v>991</v>
      </c>
      <c r="B866" s="22" t="s">
        <v>1937</v>
      </c>
      <c r="C866" s="22" t="s">
        <v>68</v>
      </c>
      <c r="D866" s="22" t="s">
        <v>20</v>
      </c>
      <c r="E866" s="22" t="s">
        <v>1102</v>
      </c>
      <c r="F866" s="22" t="s">
        <v>15</v>
      </c>
      <c r="G866" s="22" t="s">
        <v>21</v>
      </c>
      <c r="H866" s="22">
        <v>49</v>
      </c>
      <c r="I866" s="24">
        <v>41927</v>
      </c>
      <c r="J866" s="27">
        <v>846</v>
      </c>
      <c r="K866" s="25">
        <v>0</v>
      </c>
      <c r="L866" s="22" t="s">
        <v>30</v>
      </c>
      <c r="M866" s="23" t="s">
        <v>52</v>
      </c>
    </row>
    <row r="867" spans="1:13" x14ac:dyDescent="0.35">
      <c r="A867" s="22" t="s">
        <v>992</v>
      </c>
      <c r="B867" s="22" t="s">
        <v>1938</v>
      </c>
      <c r="C867" s="22" t="s">
        <v>1111</v>
      </c>
      <c r="D867" s="22" t="s">
        <v>20</v>
      </c>
      <c r="E867" s="22" t="s">
        <v>29</v>
      </c>
      <c r="F867" s="22" t="s">
        <v>15</v>
      </c>
      <c r="G867" s="22" t="s">
        <v>16</v>
      </c>
      <c r="H867" s="22">
        <v>53</v>
      </c>
      <c r="I867" s="24">
        <v>39626</v>
      </c>
      <c r="J867" s="27">
        <v>940</v>
      </c>
      <c r="K867" s="25">
        <v>0.13</v>
      </c>
      <c r="L867" s="22" t="s">
        <v>17</v>
      </c>
      <c r="M867" s="23" t="s">
        <v>18</v>
      </c>
    </row>
    <row r="868" spans="1:13" x14ac:dyDescent="0.35">
      <c r="A868" s="22" t="s">
        <v>993</v>
      </c>
      <c r="B868" s="22" t="s">
        <v>1939</v>
      </c>
      <c r="C868" s="22" t="s">
        <v>77</v>
      </c>
      <c r="D868" s="22" t="s">
        <v>24</v>
      </c>
      <c r="E868" s="22" t="s">
        <v>33</v>
      </c>
      <c r="F868" s="22" t="s">
        <v>15</v>
      </c>
      <c r="G868" s="22" t="s">
        <v>21</v>
      </c>
      <c r="H868" s="22">
        <v>61</v>
      </c>
      <c r="I868" s="24">
        <v>40334</v>
      </c>
      <c r="J868" s="27">
        <v>730</v>
      </c>
      <c r="K868" s="25">
        <v>0</v>
      </c>
      <c r="L868" s="22" t="s">
        <v>30</v>
      </c>
      <c r="M868" s="23" t="s">
        <v>31</v>
      </c>
    </row>
    <row r="869" spans="1:13" x14ac:dyDescent="0.35">
      <c r="A869" s="22" t="s">
        <v>994</v>
      </c>
      <c r="B869" s="22" t="s">
        <v>1940</v>
      </c>
      <c r="C869" s="22" t="s">
        <v>55</v>
      </c>
      <c r="D869" s="22" t="s">
        <v>56</v>
      </c>
      <c r="E869" s="22" t="s">
        <v>33</v>
      </c>
      <c r="F869" s="22" t="s">
        <v>15</v>
      </c>
      <c r="G869" s="22" t="s">
        <v>21</v>
      </c>
      <c r="H869" s="22">
        <v>46</v>
      </c>
      <c r="I869" s="24">
        <v>37059</v>
      </c>
      <c r="J869" s="27">
        <v>691</v>
      </c>
      <c r="K869" s="25">
        <v>0</v>
      </c>
      <c r="L869" s="22" t="s">
        <v>17</v>
      </c>
      <c r="M869" s="23" t="s">
        <v>18</v>
      </c>
    </row>
    <row r="870" spans="1:13" x14ac:dyDescent="0.35">
      <c r="A870" s="22" t="s">
        <v>995</v>
      </c>
      <c r="B870" s="22" t="s">
        <v>1941</v>
      </c>
      <c r="C870" s="22" t="s">
        <v>12</v>
      </c>
      <c r="D870" s="22" t="s">
        <v>43</v>
      </c>
      <c r="E870" s="22" t="s">
        <v>33</v>
      </c>
      <c r="F870" s="22" t="s">
        <v>15</v>
      </c>
      <c r="G870" s="22" t="s">
        <v>16</v>
      </c>
      <c r="H870" s="22">
        <v>58</v>
      </c>
      <c r="I870" s="24">
        <v>42666</v>
      </c>
      <c r="J870" s="27">
        <v>961</v>
      </c>
      <c r="K870" s="25">
        <v>0.3</v>
      </c>
      <c r="L870" s="22" t="s">
        <v>17</v>
      </c>
      <c r="M870" s="23" t="s">
        <v>40</v>
      </c>
    </row>
    <row r="871" spans="1:13" x14ac:dyDescent="0.35">
      <c r="A871" s="22" t="s">
        <v>996</v>
      </c>
      <c r="B871" s="22" t="s">
        <v>1942</v>
      </c>
      <c r="C871" s="22" t="s">
        <v>36</v>
      </c>
      <c r="D871" s="22" t="s">
        <v>28</v>
      </c>
      <c r="E871" s="22" t="s">
        <v>14</v>
      </c>
      <c r="F871" s="22" t="s">
        <v>25</v>
      </c>
      <c r="G871" s="22" t="s">
        <v>16</v>
      </c>
      <c r="H871" s="22">
        <v>34</v>
      </c>
      <c r="I871" s="24">
        <v>44636</v>
      </c>
      <c r="J871" s="27">
        <v>593</v>
      </c>
      <c r="K871" s="25">
        <v>0.19</v>
      </c>
      <c r="L871" s="22" t="s">
        <v>17</v>
      </c>
      <c r="M871" s="23" t="s">
        <v>35</v>
      </c>
    </row>
    <row r="872" spans="1:13" x14ac:dyDescent="0.35">
      <c r="A872" s="22" t="s">
        <v>150</v>
      </c>
      <c r="B872" s="22" t="s">
        <v>1943</v>
      </c>
      <c r="C872" s="22" t="s">
        <v>48</v>
      </c>
      <c r="D872" s="22" t="s">
        <v>24</v>
      </c>
      <c r="E872" s="22" t="s">
        <v>33</v>
      </c>
      <c r="F872" s="22" t="s">
        <v>15</v>
      </c>
      <c r="G872" s="22" t="s">
        <v>41</v>
      </c>
      <c r="H872" s="22">
        <v>54</v>
      </c>
      <c r="I872" s="24">
        <v>36814</v>
      </c>
      <c r="J872" s="27">
        <v>662</v>
      </c>
      <c r="K872" s="25">
        <v>0.05</v>
      </c>
      <c r="L872" s="22" t="s">
        <v>17</v>
      </c>
      <c r="M872" s="23" t="s">
        <v>18</v>
      </c>
    </row>
    <row r="873" spans="1:13" x14ac:dyDescent="0.35">
      <c r="A873" s="22" t="s">
        <v>997</v>
      </c>
      <c r="B873" s="22" t="s">
        <v>1944</v>
      </c>
      <c r="C873" s="22" t="s">
        <v>42</v>
      </c>
      <c r="D873" s="22" t="s">
        <v>43</v>
      </c>
      <c r="E873" s="22" t="s">
        <v>1102</v>
      </c>
      <c r="F873" s="22" t="s">
        <v>25</v>
      </c>
      <c r="G873" s="22" t="s">
        <v>21</v>
      </c>
      <c r="H873" s="22">
        <v>41</v>
      </c>
      <c r="I873" s="24">
        <v>39840</v>
      </c>
      <c r="J873" s="27">
        <v>967</v>
      </c>
      <c r="K873" s="25">
        <v>0</v>
      </c>
      <c r="L873" s="22" t="s">
        <v>30</v>
      </c>
      <c r="M873" s="23" t="s">
        <v>61</v>
      </c>
    </row>
    <row r="874" spans="1:13" x14ac:dyDescent="0.35">
      <c r="A874" s="22" t="s">
        <v>998</v>
      </c>
      <c r="B874" s="22" t="s">
        <v>1945</v>
      </c>
      <c r="C874" s="22" t="s">
        <v>59</v>
      </c>
      <c r="D874" s="22" t="s">
        <v>24</v>
      </c>
      <c r="E874" s="22" t="s">
        <v>1102</v>
      </c>
      <c r="F874" s="22" t="s">
        <v>15</v>
      </c>
      <c r="G874" s="22" t="s">
        <v>21</v>
      </c>
      <c r="H874" s="22">
        <v>28</v>
      </c>
      <c r="I874" s="24">
        <v>44510</v>
      </c>
      <c r="J874" s="27">
        <v>965</v>
      </c>
      <c r="K874" s="25">
        <v>0</v>
      </c>
      <c r="L874" s="22" t="s">
        <v>30</v>
      </c>
      <c r="M874" s="23" t="s">
        <v>31</v>
      </c>
    </row>
    <row r="875" spans="1:13" x14ac:dyDescent="0.35">
      <c r="A875" s="22" t="s">
        <v>134</v>
      </c>
      <c r="B875" s="22" t="s">
        <v>173</v>
      </c>
      <c r="C875" s="22" t="s">
        <v>70</v>
      </c>
      <c r="D875" s="22" t="s">
        <v>28</v>
      </c>
      <c r="E875" s="22" t="s">
        <v>29</v>
      </c>
      <c r="F875" s="22" t="s">
        <v>25</v>
      </c>
      <c r="G875" s="22" t="s">
        <v>41</v>
      </c>
      <c r="H875" s="22">
        <v>62</v>
      </c>
      <c r="I875" s="24">
        <v>38898</v>
      </c>
      <c r="J875" s="27">
        <v>586</v>
      </c>
      <c r="K875" s="25">
        <v>0</v>
      </c>
      <c r="L875" s="22" t="s">
        <v>17</v>
      </c>
      <c r="M875" s="23" t="s">
        <v>35</v>
      </c>
    </row>
    <row r="876" spans="1:13" x14ac:dyDescent="0.35">
      <c r="A876" s="22" t="s">
        <v>999</v>
      </c>
      <c r="B876" s="22" t="s">
        <v>1946</v>
      </c>
      <c r="C876" s="22" t="s">
        <v>36</v>
      </c>
      <c r="D876" s="22" t="s">
        <v>20</v>
      </c>
      <c r="E876" s="22" t="s">
        <v>33</v>
      </c>
      <c r="F876" s="22" t="s">
        <v>25</v>
      </c>
      <c r="G876" s="22" t="s">
        <v>16</v>
      </c>
      <c r="H876" s="22">
        <v>59</v>
      </c>
      <c r="I876" s="24">
        <v>44744</v>
      </c>
      <c r="J876" s="27">
        <v>532</v>
      </c>
      <c r="K876" s="25">
        <v>0.26</v>
      </c>
      <c r="L876" s="22" t="s">
        <v>17</v>
      </c>
      <c r="M876" s="23" t="s">
        <v>18</v>
      </c>
    </row>
    <row r="877" spans="1:13" x14ac:dyDescent="0.35">
      <c r="A877" s="22" t="s">
        <v>120</v>
      </c>
      <c r="B877" s="22" t="s">
        <v>1947</v>
      </c>
      <c r="C877" s="22" t="s">
        <v>36</v>
      </c>
      <c r="D877" s="22" t="s">
        <v>39</v>
      </c>
      <c r="E877" s="22" t="s">
        <v>33</v>
      </c>
      <c r="F877" s="22" t="s">
        <v>15</v>
      </c>
      <c r="G877" s="22" t="s">
        <v>16</v>
      </c>
      <c r="H877" s="22">
        <v>35</v>
      </c>
      <c r="I877" s="24">
        <v>41067</v>
      </c>
      <c r="J877" s="27">
        <v>762</v>
      </c>
      <c r="K877" s="25">
        <v>0.27</v>
      </c>
      <c r="L877" s="22" t="s">
        <v>17</v>
      </c>
      <c r="M877" s="23" t="s">
        <v>35</v>
      </c>
    </row>
    <row r="878" spans="1:13" x14ac:dyDescent="0.35">
      <c r="A878" s="22" t="s">
        <v>1000</v>
      </c>
      <c r="B878" s="22" t="s">
        <v>1948</v>
      </c>
      <c r="C878" s="22" t="s">
        <v>55</v>
      </c>
      <c r="D878" s="22" t="s">
        <v>39</v>
      </c>
      <c r="E878" s="22" t="s">
        <v>33</v>
      </c>
      <c r="F878" s="22" t="s">
        <v>25</v>
      </c>
      <c r="G878" s="22" t="s">
        <v>44</v>
      </c>
      <c r="H878" s="22">
        <v>31</v>
      </c>
      <c r="I878" s="24">
        <v>43970</v>
      </c>
      <c r="J878" s="27">
        <v>854</v>
      </c>
      <c r="K878" s="25">
        <v>0</v>
      </c>
      <c r="L878" s="22" t="s">
        <v>17</v>
      </c>
      <c r="M878" s="23" t="s">
        <v>54</v>
      </c>
    </row>
    <row r="879" spans="1:13" x14ac:dyDescent="0.35">
      <c r="A879" s="22" t="s">
        <v>1001</v>
      </c>
      <c r="B879" s="22" t="s">
        <v>1949</v>
      </c>
      <c r="C879" s="22" t="s">
        <v>53</v>
      </c>
      <c r="D879" s="22" t="s">
        <v>24</v>
      </c>
      <c r="E879" s="22" t="s">
        <v>1102</v>
      </c>
      <c r="F879" s="22" t="s">
        <v>25</v>
      </c>
      <c r="G879" s="22" t="s">
        <v>21</v>
      </c>
      <c r="H879" s="22">
        <v>55</v>
      </c>
      <c r="I879" s="24">
        <v>34527</v>
      </c>
      <c r="J879" s="27">
        <v>630</v>
      </c>
      <c r="K879" s="25">
        <v>0.08</v>
      </c>
      <c r="L879" s="22" t="s">
        <v>30</v>
      </c>
      <c r="M879" s="23" t="s">
        <v>61</v>
      </c>
    </row>
    <row r="880" spans="1:13" x14ac:dyDescent="0.35">
      <c r="A880" s="22" t="s">
        <v>1002</v>
      </c>
      <c r="B880" s="22" t="s">
        <v>1950</v>
      </c>
      <c r="C880" s="22" t="s">
        <v>51</v>
      </c>
      <c r="D880" s="22" t="s">
        <v>28</v>
      </c>
      <c r="E880" s="22" t="s">
        <v>14</v>
      </c>
      <c r="F880" s="22" t="s">
        <v>25</v>
      </c>
      <c r="G880" s="22" t="s">
        <v>21</v>
      </c>
      <c r="H880" s="22">
        <v>46</v>
      </c>
      <c r="I880" s="24">
        <v>36889</v>
      </c>
      <c r="J880" s="27">
        <v>925</v>
      </c>
      <c r="K880" s="25">
        <v>0</v>
      </c>
      <c r="L880" s="22" t="s">
        <v>30</v>
      </c>
      <c r="M880" s="23" t="s">
        <v>31</v>
      </c>
    </row>
    <row r="881" spans="1:13" x14ac:dyDescent="0.35">
      <c r="A881" s="22" t="s">
        <v>227</v>
      </c>
      <c r="B881" s="22" t="s">
        <v>1951</v>
      </c>
      <c r="C881" s="22" t="s">
        <v>69</v>
      </c>
      <c r="D881" s="22" t="s">
        <v>28</v>
      </c>
      <c r="E881" s="22" t="s">
        <v>29</v>
      </c>
      <c r="F881" s="22" t="s">
        <v>25</v>
      </c>
      <c r="G881" s="22" t="s">
        <v>44</v>
      </c>
      <c r="H881" s="22">
        <v>36</v>
      </c>
      <c r="I881" s="24">
        <v>41026</v>
      </c>
      <c r="J881" s="27">
        <v>570</v>
      </c>
      <c r="K881" s="25">
        <v>0</v>
      </c>
      <c r="L881" s="22" t="s">
        <v>17</v>
      </c>
      <c r="M881" s="23" t="s">
        <v>22</v>
      </c>
    </row>
    <row r="882" spans="1:13" x14ac:dyDescent="0.35">
      <c r="A882" s="22" t="s">
        <v>1003</v>
      </c>
      <c r="B882" s="22" t="s">
        <v>1952</v>
      </c>
      <c r="C882" s="22" t="s">
        <v>1111</v>
      </c>
      <c r="D882" s="22" t="s">
        <v>43</v>
      </c>
      <c r="E882" s="22" t="s">
        <v>14</v>
      </c>
      <c r="F882" s="22" t="s">
        <v>25</v>
      </c>
      <c r="G882" s="22" t="s">
        <v>21</v>
      </c>
      <c r="H882" s="22">
        <v>27</v>
      </c>
      <c r="I882" s="24">
        <v>44417</v>
      </c>
      <c r="J882" s="27">
        <v>738</v>
      </c>
      <c r="K882" s="25">
        <v>0.12</v>
      </c>
      <c r="L882" s="22" t="s">
        <v>17</v>
      </c>
      <c r="M882" s="23" t="s">
        <v>35</v>
      </c>
    </row>
    <row r="883" spans="1:13" x14ac:dyDescent="0.35">
      <c r="A883" s="22" t="s">
        <v>1004</v>
      </c>
      <c r="B883" s="22" t="s">
        <v>1953</v>
      </c>
      <c r="C883" s="22" t="s">
        <v>74</v>
      </c>
      <c r="D883" s="22" t="s">
        <v>43</v>
      </c>
      <c r="E883" s="22" t="s">
        <v>1102</v>
      </c>
      <c r="F883" s="22" t="s">
        <v>15</v>
      </c>
      <c r="G883" s="22" t="s">
        <v>21</v>
      </c>
      <c r="H883" s="22">
        <v>50</v>
      </c>
      <c r="I883" s="24">
        <v>42708</v>
      </c>
      <c r="J883" s="27">
        <v>700</v>
      </c>
      <c r="K883" s="25">
        <v>0</v>
      </c>
      <c r="L883" s="22" t="s">
        <v>30</v>
      </c>
      <c r="M883" s="23" t="s">
        <v>65</v>
      </c>
    </row>
    <row r="884" spans="1:13" x14ac:dyDescent="0.35">
      <c r="A884" s="22" t="s">
        <v>229</v>
      </c>
      <c r="B884" s="22" t="s">
        <v>1954</v>
      </c>
      <c r="C884" s="22" t="s">
        <v>57</v>
      </c>
      <c r="D884" s="22" t="s">
        <v>56</v>
      </c>
      <c r="E884" s="22" t="s">
        <v>29</v>
      </c>
      <c r="F884" s="22" t="s">
        <v>25</v>
      </c>
      <c r="G884" s="22" t="s">
        <v>16</v>
      </c>
      <c r="H884" s="22">
        <v>27</v>
      </c>
      <c r="I884" s="24">
        <v>44567</v>
      </c>
      <c r="J884" s="27">
        <v>995</v>
      </c>
      <c r="K884" s="25">
        <v>0</v>
      </c>
      <c r="L884" s="22" t="s">
        <v>17</v>
      </c>
      <c r="M884" s="23" t="s">
        <v>26</v>
      </c>
    </row>
    <row r="885" spans="1:13" x14ac:dyDescent="0.35">
      <c r="A885" s="22" t="s">
        <v>1005</v>
      </c>
      <c r="B885" s="22" t="s">
        <v>1955</v>
      </c>
      <c r="C885" s="22" t="s">
        <v>53</v>
      </c>
      <c r="D885" s="22" t="s">
        <v>39</v>
      </c>
      <c r="E885" s="22" t="s">
        <v>1102</v>
      </c>
      <c r="F885" s="22" t="s">
        <v>25</v>
      </c>
      <c r="G885" s="22" t="s">
        <v>16</v>
      </c>
      <c r="H885" s="22">
        <v>25</v>
      </c>
      <c r="I885" s="24">
        <v>44884</v>
      </c>
      <c r="J885" s="27">
        <v>521</v>
      </c>
      <c r="K885" s="25">
        <v>0.08</v>
      </c>
      <c r="L885" s="22" t="s">
        <v>17</v>
      </c>
      <c r="M885" s="23" t="s">
        <v>26</v>
      </c>
    </row>
    <row r="886" spans="1:13" x14ac:dyDescent="0.35">
      <c r="A886" s="22" t="s">
        <v>1006</v>
      </c>
      <c r="B886" s="22" t="s">
        <v>1956</v>
      </c>
      <c r="C886" s="22" t="s">
        <v>57</v>
      </c>
      <c r="D886" s="22" t="s">
        <v>56</v>
      </c>
      <c r="E886" s="22" t="s">
        <v>33</v>
      </c>
      <c r="F886" s="22" t="s">
        <v>25</v>
      </c>
      <c r="G886" s="22" t="s">
        <v>21</v>
      </c>
      <c r="H886" s="22">
        <v>42</v>
      </c>
      <c r="I886" s="24">
        <v>41980</v>
      </c>
      <c r="J886" s="27">
        <v>918</v>
      </c>
      <c r="K886" s="25">
        <v>0</v>
      </c>
      <c r="L886" s="22" t="s">
        <v>30</v>
      </c>
      <c r="M886" s="23" t="s">
        <v>52</v>
      </c>
    </row>
    <row r="887" spans="1:13" x14ac:dyDescent="0.35">
      <c r="A887" s="22" t="s">
        <v>1007</v>
      </c>
      <c r="B887" s="22" t="s">
        <v>1957</v>
      </c>
      <c r="C887" s="22" t="s">
        <v>42</v>
      </c>
      <c r="D887" s="22" t="s">
        <v>43</v>
      </c>
      <c r="E887" s="22" t="s">
        <v>1102</v>
      </c>
      <c r="F887" s="22" t="s">
        <v>15</v>
      </c>
      <c r="G887" s="22" t="s">
        <v>44</v>
      </c>
      <c r="H887" s="22">
        <v>65</v>
      </c>
      <c r="I887" s="24">
        <v>35753</v>
      </c>
      <c r="J887" s="27">
        <v>666</v>
      </c>
      <c r="K887" s="25">
        <v>0</v>
      </c>
      <c r="L887" s="22" t="s">
        <v>45</v>
      </c>
      <c r="M887" s="23" t="s">
        <v>46</v>
      </c>
    </row>
    <row r="888" spans="1:13" x14ac:dyDescent="0.35">
      <c r="A888" s="22" t="s">
        <v>272</v>
      </c>
      <c r="B888" s="22" t="s">
        <v>1958</v>
      </c>
      <c r="C888" s="22" t="s">
        <v>1111</v>
      </c>
      <c r="D888" s="22" t="s">
        <v>20</v>
      </c>
      <c r="E888" s="22" t="s">
        <v>1102</v>
      </c>
      <c r="F888" s="22" t="s">
        <v>25</v>
      </c>
      <c r="G888" s="22" t="s">
        <v>21</v>
      </c>
      <c r="H888" s="22">
        <v>57</v>
      </c>
      <c r="I888" s="24">
        <v>40979</v>
      </c>
      <c r="J888" s="27">
        <v>970</v>
      </c>
      <c r="K888" s="25">
        <v>0.11</v>
      </c>
      <c r="L888" s="22" t="s">
        <v>17</v>
      </c>
      <c r="M888" s="23" t="s">
        <v>22</v>
      </c>
    </row>
    <row r="889" spans="1:13" x14ac:dyDescent="0.35">
      <c r="A889" s="22" t="s">
        <v>266</v>
      </c>
      <c r="B889" s="22" t="s">
        <v>161</v>
      </c>
      <c r="C889" s="22" t="s">
        <v>53</v>
      </c>
      <c r="D889" s="22" t="s">
        <v>56</v>
      </c>
      <c r="E889" s="22" t="s">
        <v>33</v>
      </c>
      <c r="F889" s="22" t="s">
        <v>15</v>
      </c>
      <c r="G889" s="22" t="s">
        <v>16</v>
      </c>
      <c r="H889" s="22">
        <v>44</v>
      </c>
      <c r="I889" s="24">
        <v>40187</v>
      </c>
      <c r="J889" s="27">
        <v>626</v>
      </c>
      <c r="K889" s="25">
        <v>0.06</v>
      </c>
      <c r="L889" s="22" t="s">
        <v>17</v>
      </c>
      <c r="M889" s="23" t="s">
        <v>22</v>
      </c>
    </row>
    <row r="890" spans="1:13" x14ac:dyDescent="0.35">
      <c r="A890" s="22" t="s">
        <v>1008</v>
      </c>
      <c r="B890" s="22" t="s">
        <v>1959</v>
      </c>
      <c r="C890" s="22" t="s">
        <v>60</v>
      </c>
      <c r="D890" s="22" t="s">
        <v>24</v>
      </c>
      <c r="E890" s="22" t="s">
        <v>29</v>
      </c>
      <c r="F890" s="22" t="s">
        <v>15</v>
      </c>
      <c r="G890" s="22" t="s">
        <v>44</v>
      </c>
      <c r="H890" s="22">
        <v>37</v>
      </c>
      <c r="I890" s="24">
        <v>42724</v>
      </c>
      <c r="J890" s="27">
        <v>703</v>
      </c>
      <c r="K890" s="25">
        <v>0</v>
      </c>
      <c r="L890" s="22" t="s">
        <v>17</v>
      </c>
      <c r="M890" s="23" t="s">
        <v>40</v>
      </c>
    </row>
    <row r="891" spans="1:13" x14ac:dyDescent="0.35">
      <c r="A891" s="22" t="s">
        <v>1009</v>
      </c>
      <c r="B891" s="22" t="s">
        <v>1960</v>
      </c>
      <c r="C891" s="22" t="s">
        <v>77</v>
      </c>
      <c r="D891" s="22" t="s">
        <v>24</v>
      </c>
      <c r="E891" s="22" t="s">
        <v>14</v>
      </c>
      <c r="F891" s="22" t="s">
        <v>15</v>
      </c>
      <c r="G891" s="22" t="s">
        <v>21</v>
      </c>
      <c r="H891" s="22">
        <v>52</v>
      </c>
      <c r="I891" s="24">
        <v>43459</v>
      </c>
      <c r="J891" s="27">
        <v>725</v>
      </c>
      <c r="K891" s="25">
        <v>0</v>
      </c>
      <c r="L891" s="22" t="s">
        <v>17</v>
      </c>
      <c r="M891" s="23" t="s">
        <v>40</v>
      </c>
    </row>
    <row r="892" spans="1:13" x14ac:dyDescent="0.35">
      <c r="A892" s="22" t="s">
        <v>1010</v>
      </c>
      <c r="B892" s="22" t="s">
        <v>1961</v>
      </c>
      <c r="C892" s="22" t="s">
        <v>1111</v>
      </c>
      <c r="D892" s="22" t="s">
        <v>20</v>
      </c>
      <c r="E892" s="22" t="s">
        <v>29</v>
      </c>
      <c r="F892" s="22" t="s">
        <v>25</v>
      </c>
      <c r="G892" s="22" t="s">
        <v>44</v>
      </c>
      <c r="H892" s="22">
        <v>49</v>
      </c>
      <c r="I892" s="24">
        <v>41691</v>
      </c>
      <c r="J892" s="27">
        <v>862</v>
      </c>
      <c r="K892" s="25">
        <v>0.1</v>
      </c>
      <c r="L892" s="22" t="s">
        <v>45</v>
      </c>
      <c r="M892" s="23" t="s">
        <v>1134</v>
      </c>
    </row>
    <row r="893" spans="1:13" x14ac:dyDescent="0.35">
      <c r="A893" s="22" t="s">
        <v>1011</v>
      </c>
      <c r="B893" s="22" t="s">
        <v>1962</v>
      </c>
      <c r="C893" s="22" t="s">
        <v>62</v>
      </c>
      <c r="D893" s="22" t="s">
        <v>24</v>
      </c>
      <c r="E893" s="22" t="s">
        <v>14</v>
      </c>
      <c r="F893" s="22" t="s">
        <v>25</v>
      </c>
      <c r="G893" s="22" t="s">
        <v>44</v>
      </c>
      <c r="H893" s="22">
        <v>47</v>
      </c>
      <c r="I893" s="24">
        <v>37970</v>
      </c>
      <c r="J893" s="27">
        <v>737</v>
      </c>
      <c r="K893" s="25">
        <v>0</v>
      </c>
      <c r="L893" s="22" t="s">
        <v>45</v>
      </c>
      <c r="M893" s="23" t="s">
        <v>46</v>
      </c>
    </row>
    <row r="894" spans="1:13" x14ac:dyDescent="0.35">
      <c r="A894" s="22" t="s">
        <v>1012</v>
      </c>
      <c r="B894" s="22" t="s">
        <v>1963</v>
      </c>
      <c r="C894" s="22" t="s">
        <v>57</v>
      </c>
      <c r="D894" s="22" t="s">
        <v>56</v>
      </c>
      <c r="E894" s="22" t="s">
        <v>33</v>
      </c>
      <c r="F894" s="22" t="s">
        <v>15</v>
      </c>
      <c r="G894" s="22" t="s">
        <v>21</v>
      </c>
      <c r="H894" s="22">
        <v>42</v>
      </c>
      <c r="I894" s="24">
        <v>43552</v>
      </c>
      <c r="J894" s="27">
        <v>596</v>
      </c>
      <c r="K894" s="25">
        <v>0</v>
      </c>
      <c r="L894" s="22" t="s">
        <v>30</v>
      </c>
      <c r="M894" s="23" t="s">
        <v>31</v>
      </c>
    </row>
    <row r="895" spans="1:13" x14ac:dyDescent="0.35">
      <c r="A895" s="22" t="s">
        <v>202</v>
      </c>
      <c r="B895" s="22" t="s">
        <v>1964</v>
      </c>
      <c r="C895" s="22" t="s">
        <v>62</v>
      </c>
      <c r="D895" s="22" t="s">
        <v>24</v>
      </c>
      <c r="E895" s="22" t="s">
        <v>33</v>
      </c>
      <c r="F895" s="22" t="s">
        <v>25</v>
      </c>
      <c r="G895" s="22" t="s">
        <v>41</v>
      </c>
      <c r="H895" s="22">
        <v>61</v>
      </c>
      <c r="I895" s="24">
        <v>40884</v>
      </c>
      <c r="J895" s="27">
        <v>698</v>
      </c>
      <c r="K895" s="25">
        <v>0</v>
      </c>
      <c r="L895" s="22" t="s">
        <v>17</v>
      </c>
      <c r="M895" s="23" t="s">
        <v>18</v>
      </c>
    </row>
    <row r="896" spans="1:13" x14ac:dyDescent="0.35">
      <c r="A896" s="22" t="s">
        <v>1013</v>
      </c>
      <c r="B896" s="22" t="s">
        <v>1965</v>
      </c>
      <c r="C896" s="22" t="s">
        <v>38</v>
      </c>
      <c r="D896" s="22" t="s">
        <v>56</v>
      </c>
      <c r="E896" s="22" t="s">
        <v>29</v>
      </c>
      <c r="F896" s="22" t="s">
        <v>15</v>
      </c>
      <c r="G896" s="22" t="s">
        <v>21</v>
      </c>
      <c r="H896" s="22">
        <v>33</v>
      </c>
      <c r="I896" s="24">
        <v>43879</v>
      </c>
      <c r="J896" s="27">
        <v>633</v>
      </c>
      <c r="K896" s="25">
        <v>0</v>
      </c>
      <c r="L896" s="22" t="s">
        <v>30</v>
      </c>
      <c r="M896" s="23" t="s">
        <v>52</v>
      </c>
    </row>
    <row r="897" spans="1:13" x14ac:dyDescent="0.35">
      <c r="A897" s="22" t="s">
        <v>1014</v>
      </c>
      <c r="B897" s="22" t="s">
        <v>1966</v>
      </c>
      <c r="C897" s="22" t="s">
        <v>53</v>
      </c>
      <c r="D897" s="22" t="s">
        <v>20</v>
      </c>
      <c r="E897" s="22" t="s">
        <v>33</v>
      </c>
      <c r="F897" s="22" t="s">
        <v>25</v>
      </c>
      <c r="G897" s="22" t="s">
        <v>41</v>
      </c>
      <c r="H897" s="22">
        <v>45</v>
      </c>
      <c r="I897" s="24">
        <v>43300</v>
      </c>
      <c r="J897" s="27">
        <v>974</v>
      </c>
      <c r="K897" s="25">
        <v>0.09</v>
      </c>
      <c r="L897" s="22" t="s">
        <v>17</v>
      </c>
      <c r="M897" s="23" t="s">
        <v>26</v>
      </c>
    </row>
    <row r="898" spans="1:13" x14ac:dyDescent="0.35">
      <c r="A898" s="22" t="s">
        <v>1015</v>
      </c>
      <c r="B898" s="22" t="s">
        <v>1967</v>
      </c>
      <c r="C898" s="22" t="s">
        <v>53</v>
      </c>
      <c r="D898" s="22" t="s">
        <v>39</v>
      </c>
      <c r="E898" s="22" t="s">
        <v>1102</v>
      </c>
      <c r="F898" s="22" t="s">
        <v>25</v>
      </c>
      <c r="G898" s="22" t="s">
        <v>16</v>
      </c>
      <c r="H898" s="22">
        <v>30</v>
      </c>
      <c r="I898" s="24">
        <v>43751</v>
      </c>
      <c r="J898" s="27">
        <v>718</v>
      </c>
      <c r="K898" s="25">
        <v>0.06</v>
      </c>
      <c r="L898" s="22" t="s">
        <v>17</v>
      </c>
      <c r="M898" s="23" t="s">
        <v>54</v>
      </c>
    </row>
    <row r="899" spans="1:13" x14ac:dyDescent="0.35">
      <c r="A899" s="22" t="s">
        <v>220</v>
      </c>
      <c r="B899" s="22" t="s">
        <v>1968</v>
      </c>
      <c r="C899" s="22" t="s">
        <v>48</v>
      </c>
      <c r="D899" s="22" t="s">
        <v>24</v>
      </c>
      <c r="E899" s="22" t="s">
        <v>29</v>
      </c>
      <c r="F899" s="22" t="s">
        <v>25</v>
      </c>
      <c r="G899" s="22" t="s">
        <v>44</v>
      </c>
      <c r="H899" s="22">
        <v>53</v>
      </c>
      <c r="I899" s="24">
        <v>43207</v>
      </c>
      <c r="J899" s="27">
        <v>811</v>
      </c>
      <c r="K899" s="25">
        <v>7.0000000000000007E-2</v>
      </c>
      <c r="L899" s="22" t="s">
        <v>45</v>
      </c>
      <c r="M899" s="23" t="s">
        <v>1134</v>
      </c>
    </row>
    <row r="900" spans="1:13" x14ac:dyDescent="0.35">
      <c r="A900" s="22" t="s">
        <v>268</v>
      </c>
      <c r="B900" s="22" t="s">
        <v>1969</v>
      </c>
      <c r="C900" s="22" t="s">
        <v>53</v>
      </c>
      <c r="D900" s="22" t="s">
        <v>13</v>
      </c>
      <c r="E900" s="22" t="s">
        <v>14</v>
      </c>
      <c r="F900" s="22" t="s">
        <v>25</v>
      </c>
      <c r="G900" s="22" t="s">
        <v>44</v>
      </c>
      <c r="H900" s="22">
        <v>62</v>
      </c>
      <c r="I900" s="24">
        <v>35776</v>
      </c>
      <c r="J900" s="27">
        <v>736</v>
      </c>
      <c r="K900" s="25">
        <v>0.1</v>
      </c>
      <c r="L900" s="22" t="s">
        <v>17</v>
      </c>
      <c r="M900" s="23" t="s">
        <v>54</v>
      </c>
    </row>
    <row r="901" spans="1:13" x14ac:dyDescent="0.35">
      <c r="A901" s="22" t="s">
        <v>1016</v>
      </c>
      <c r="B901" s="22" t="s">
        <v>1970</v>
      </c>
      <c r="C901" s="22" t="s">
        <v>83</v>
      </c>
      <c r="D901" s="22" t="s">
        <v>28</v>
      </c>
      <c r="E901" s="22" t="s">
        <v>33</v>
      </c>
      <c r="F901" s="22" t="s">
        <v>15</v>
      </c>
      <c r="G901" s="22" t="s">
        <v>21</v>
      </c>
      <c r="H901" s="22">
        <v>37</v>
      </c>
      <c r="I901" s="24">
        <v>42846</v>
      </c>
      <c r="J901" s="27">
        <v>934</v>
      </c>
      <c r="K901" s="25">
        <v>0</v>
      </c>
      <c r="L901" s="22" t="s">
        <v>30</v>
      </c>
      <c r="M901" s="23" t="s">
        <v>65</v>
      </c>
    </row>
    <row r="902" spans="1:13" x14ac:dyDescent="0.35">
      <c r="A902" s="22" t="s">
        <v>1017</v>
      </c>
      <c r="B902" s="22" t="s">
        <v>1971</v>
      </c>
      <c r="C902" s="22" t="s">
        <v>32</v>
      </c>
      <c r="D902" s="22" t="s">
        <v>24</v>
      </c>
      <c r="E902" s="22" t="s">
        <v>14</v>
      </c>
      <c r="F902" s="22" t="s">
        <v>15</v>
      </c>
      <c r="G902" s="22" t="s">
        <v>44</v>
      </c>
      <c r="H902" s="22">
        <v>62</v>
      </c>
      <c r="I902" s="24">
        <v>34145</v>
      </c>
      <c r="J902" s="27">
        <v>933</v>
      </c>
      <c r="K902" s="25">
        <v>0</v>
      </c>
      <c r="L902" s="22" t="s">
        <v>17</v>
      </c>
      <c r="M902" s="23" t="s">
        <v>35</v>
      </c>
    </row>
    <row r="903" spans="1:13" x14ac:dyDescent="0.35">
      <c r="A903" s="22" t="s">
        <v>82</v>
      </c>
      <c r="B903" s="22" t="s">
        <v>1972</v>
      </c>
      <c r="C903" s="22" t="s">
        <v>68</v>
      </c>
      <c r="D903" s="22" t="s">
        <v>20</v>
      </c>
      <c r="E903" s="22" t="s">
        <v>14</v>
      </c>
      <c r="F903" s="22" t="s">
        <v>15</v>
      </c>
      <c r="G903" s="22" t="s">
        <v>44</v>
      </c>
      <c r="H903" s="22">
        <v>63</v>
      </c>
      <c r="I903" s="24">
        <v>37071</v>
      </c>
      <c r="J903" s="27">
        <v>653</v>
      </c>
      <c r="K903" s="25">
        <v>0</v>
      </c>
      <c r="L903" s="22" t="s">
        <v>45</v>
      </c>
      <c r="M903" s="23" t="s">
        <v>66</v>
      </c>
    </row>
    <row r="904" spans="1:13" x14ac:dyDescent="0.35">
      <c r="A904" s="22" t="s">
        <v>1018</v>
      </c>
      <c r="B904" s="22" t="s">
        <v>1973</v>
      </c>
      <c r="C904" s="22" t="s">
        <v>12</v>
      </c>
      <c r="D904" s="22" t="s">
        <v>13</v>
      </c>
      <c r="E904" s="22" t="s">
        <v>29</v>
      </c>
      <c r="F904" s="22" t="s">
        <v>15</v>
      </c>
      <c r="G904" s="22" t="s">
        <v>21</v>
      </c>
      <c r="H904" s="22">
        <v>39</v>
      </c>
      <c r="I904" s="24">
        <v>42849</v>
      </c>
      <c r="J904" s="27">
        <v>710</v>
      </c>
      <c r="K904" s="25">
        <v>0.39</v>
      </c>
      <c r="L904" s="22" t="s">
        <v>30</v>
      </c>
      <c r="M904" s="23" t="s">
        <v>31</v>
      </c>
    </row>
    <row r="905" spans="1:13" x14ac:dyDescent="0.35">
      <c r="A905" s="22" t="s">
        <v>1019</v>
      </c>
      <c r="B905" s="22" t="s">
        <v>1974</v>
      </c>
      <c r="C905" s="22" t="s">
        <v>53</v>
      </c>
      <c r="D905" s="22" t="s">
        <v>56</v>
      </c>
      <c r="E905" s="22" t="s">
        <v>33</v>
      </c>
      <c r="F905" s="22" t="s">
        <v>25</v>
      </c>
      <c r="G905" s="22" t="s">
        <v>41</v>
      </c>
      <c r="H905" s="22">
        <v>52</v>
      </c>
      <c r="I905" s="24">
        <v>37399</v>
      </c>
      <c r="J905" s="27">
        <v>999</v>
      </c>
      <c r="K905" s="25">
        <v>0.09</v>
      </c>
      <c r="L905" s="22" t="s">
        <v>17</v>
      </c>
      <c r="M905" s="23" t="s">
        <v>40</v>
      </c>
    </row>
    <row r="906" spans="1:13" x14ac:dyDescent="0.35">
      <c r="A906" s="22" t="s">
        <v>1020</v>
      </c>
      <c r="B906" s="22" t="s">
        <v>1975</v>
      </c>
      <c r="C906" s="22" t="s">
        <v>36</v>
      </c>
      <c r="D906" s="22" t="s">
        <v>39</v>
      </c>
      <c r="E906" s="22" t="s">
        <v>1102</v>
      </c>
      <c r="F906" s="22" t="s">
        <v>25</v>
      </c>
      <c r="G906" s="22" t="s">
        <v>21</v>
      </c>
      <c r="H906" s="22">
        <v>54</v>
      </c>
      <c r="I906" s="24">
        <v>40461</v>
      </c>
      <c r="J906" s="27">
        <v>655</v>
      </c>
      <c r="K906" s="25">
        <v>0.22</v>
      </c>
      <c r="L906" s="22" t="s">
        <v>30</v>
      </c>
      <c r="M906" s="23" t="s">
        <v>65</v>
      </c>
    </row>
    <row r="907" spans="1:13" x14ac:dyDescent="0.35">
      <c r="A907" s="22" t="s">
        <v>245</v>
      </c>
      <c r="B907" s="22" t="s">
        <v>1976</v>
      </c>
      <c r="C907" s="22" t="s">
        <v>12</v>
      </c>
      <c r="D907" s="22" t="s">
        <v>39</v>
      </c>
      <c r="E907" s="22" t="s">
        <v>29</v>
      </c>
      <c r="F907" s="22" t="s">
        <v>15</v>
      </c>
      <c r="G907" s="22" t="s">
        <v>16</v>
      </c>
      <c r="H907" s="22">
        <v>32</v>
      </c>
      <c r="I907" s="24">
        <v>42067</v>
      </c>
      <c r="J907" s="27">
        <v>802</v>
      </c>
      <c r="K907" s="25">
        <v>0.38</v>
      </c>
      <c r="L907" s="22" t="s">
        <v>17</v>
      </c>
      <c r="M907" s="23" t="s">
        <v>18</v>
      </c>
    </row>
    <row r="908" spans="1:13" x14ac:dyDescent="0.35">
      <c r="A908" s="22" t="s">
        <v>1021</v>
      </c>
      <c r="B908" s="22" t="s">
        <v>1977</v>
      </c>
      <c r="C908" s="22" t="s">
        <v>71</v>
      </c>
      <c r="D908" s="22" t="s">
        <v>24</v>
      </c>
      <c r="E908" s="22" t="s">
        <v>29</v>
      </c>
      <c r="F908" s="22" t="s">
        <v>25</v>
      </c>
      <c r="G908" s="22" t="s">
        <v>16</v>
      </c>
      <c r="H908" s="22">
        <v>56</v>
      </c>
      <c r="I908" s="24">
        <v>43171</v>
      </c>
      <c r="J908" s="27">
        <v>589</v>
      </c>
      <c r="K908" s="25">
        <v>0</v>
      </c>
      <c r="L908" s="22" t="s">
        <v>17</v>
      </c>
      <c r="M908" s="23" t="s">
        <v>54</v>
      </c>
    </row>
    <row r="909" spans="1:13" x14ac:dyDescent="0.35">
      <c r="A909" s="22" t="s">
        <v>1022</v>
      </c>
      <c r="B909" s="22" t="s">
        <v>1978</v>
      </c>
      <c r="C909" s="22" t="s">
        <v>38</v>
      </c>
      <c r="D909" s="22" t="s">
        <v>43</v>
      </c>
      <c r="E909" s="22" t="s">
        <v>33</v>
      </c>
      <c r="F909" s="22" t="s">
        <v>25</v>
      </c>
      <c r="G909" s="22" t="s">
        <v>16</v>
      </c>
      <c r="H909" s="22">
        <v>47</v>
      </c>
      <c r="I909" s="24">
        <v>40550</v>
      </c>
      <c r="J909" s="27">
        <v>803</v>
      </c>
      <c r="K909" s="25">
        <v>0</v>
      </c>
      <c r="L909" s="22" t="s">
        <v>17</v>
      </c>
      <c r="M909" s="23" t="s">
        <v>40</v>
      </c>
    </row>
    <row r="910" spans="1:13" x14ac:dyDescent="0.35">
      <c r="A910" s="22" t="s">
        <v>1023</v>
      </c>
      <c r="B910" s="22" t="s">
        <v>1979</v>
      </c>
      <c r="C910" s="22" t="s">
        <v>38</v>
      </c>
      <c r="D910" s="22" t="s">
        <v>43</v>
      </c>
      <c r="E910" s="22" t="s">
        <v>14</v>
      </c>
      <c r="F910" s="22" t="s">
        <v>15</v>
      </c>
      <c r="G910" s="22" t="s">
        <v>44</v>
      </c>
      <c r="H910" s="22">
        <v>45</v>
      </c>
      <c r="I910" s="24">
        <v>38674</v>
      </c>
      <c r="J910" s="27">
        <v>758</v>
      </c>
      <c r="K910" s="25">
        <v>0</v>
      </c>
      <c r="L910" s="22" t="s">
        <v>17</v>
      </c>
      <c r="M910" s="23" t="s">
        <v>35</v>
      </c>
    </row>
    <row r="911" spans="1:13" x14ac:dyDescent="0.35">
      <c r="A911" s="22" t="s">
        <v>1024</v>
      </c>
      <c r="B911" s="22" t="s">
        <v>1980</v>
      </c>
      <c r="C911" s="22" t="s">
        <v>1111</v>
      </c>
      <c r="D911" s="22" t="s">
        <v>13</v>
      </c>
      <c r="E911" s="22" t="s">
        <v>29</v>
      </c>
      <c r="F911" s="22" t="s">
        <v>15</v>
      </c>
      <c r="G911" s="22" t="s">
        <v>21</v>
      </c>
      <c r="H911" s="22">
        <v>56</v>
      </c>
      <c r="I911" s="24">
        <v>34820</v>
      </c>
      <c r="J911" s="27">
        <v>643</v>
      </c>
      <c r="K911" s="25">
        <v>0.13</v>
      </c>
      <c r="L911" s="22" t="s">
        <v>17</v>
      </c>
      <c r="M911" s="23" t="s">
        <v>54</v>
      </c>
    </row>
    <row r="912" spans="1:13" x14ac:dyDescent="0.35">
      <c r="A912" s="22" t="s">
        <v>1025</v>
      </c>
      <c r="B912" s="22" t="s">
        <v>1981</v>
      </c>
      <c r="C912" s="22" t="s">
        <v>1111</v>
      </c>
      <c r="D912" s="22" t="s">
        <v>13</v>
      </c>
      <c r="E912" s="22" t="s">
        <v>29</v>
      </c>
      <c r="F912" s="22" t="s">
        <v>25</v>
      </c>
      <c r="G912" s="22" t="s">
        <v>44</v>
      </c>
      <c r="H912" s="22">
        <v>38</v>
      </c>
      <c r="I912" s="24">
        <v>43463</v>
      </c>
      <c r="J912" s="27">
        <v>819</v>
      </c>
      <c r="K912" s="25">
        <v>0.12</v>
      </c>
      <c r="L912" s="22" t="s">
        <v>17</v>
      </c>
      <c r="M912" s="23" t="s">
        <v>40</v>
      </c>
    </row>
    <row r="913" spans="1:13" x14ac:dyDescent="0.35">
      <c r="A913" s="22" t="s">
        <v>1026</v>
      </c>
      <c r="B913" s="22" t="s">
        <v>1982</v>
      </c>
      <c r="C913" s="22" t="s">
        <v>53</v>
      </c>
      <c r="D913" s="22" t="s">
        <v>20</v>
      </c>
      <c r="E913" s="22" t="s">
        <v>14</v>
      </c>
      <c r="F913" s="22" t="s">
        <v>25</v>
      </c>
      <c r="G913" s="22" t="s">
        <v>16</v>
      </c>
      <c r="H913" s="22">
        <v>47</v>
      </c>
      <c r="I913" s="24">
        <v>38229</v>
      </c>
      <c r="J913" s="27">
        <v>849</v>
      </c>
      <c r="K913" s="25">
        <v>0.05</v>
      </c>
      <c r="L913" s="22" t="s">
        <v>17</v>
      </c>
      <c r="M913" s="23" t="s">
        <v>22</v>
      </c>
    </row>
    <row r="914" spans="1:13" x14ac:dyDescent="0.35">
      <c r="A914" s="22" t="s">
        <v>182</v>
      </c>
      <c r="B914" s="22" t="s">
        <v>1983</v>
      </c>
      <c r="C914" s="22" t="s">
        <v>63</v>
      </c>
      <c r="D914" s="22" t="s">
        <v>20</v>
      </c>
      <c r="E914" s="22" t="s">
        <v>1102</v>
      </c>
      <c r="F914" s="22" t="s">
        <v>25</v>
      </c>
      <c r="G914" s="22" t="s">
        <v>44</v>
      </c>
      <c r="H914" s="22">
        <v>51</v>
      </c>
      <c r="I914" s="24">
        <v>36644</v>
      </c>
      <c r="J914" s="27">
        <v>604</v>
      </c>
      <c r="K914" s="25">
        <v>0</v>
      </c>
      <c r="L914" s="22" t="s">
        <v>17</v>
      </c>
      <c r="M914" s="23" t="s">
        <v>40</v>
      </c>
    </row>
    <row r="915" spans="1:13" x14ac:dyDescent="0.35">
      <c r="A915" s="22" t="s">
        <v>1027</v>
      </c>
      <c r="B915" s="22" t="s">
        <v>1984</v>
      </c>
      <c r="C915" s="22" t="s">
        <v>23</v>
      </c>
      <c r="D915" s="22" t="s">
        <v>24</v>
      </c>
      <c r="E915" s="22" t="s">
        <v>14</v>
      </c>
      <c r="F915" s="22" t="s">
        <v>25</v>
      </c>
      <c r="G915" s="22" t="s">
        <v>16</v>
      </c>
      <c r="H915" s="22">
        <v>52</v>
      </c>
      <c r="I915" s="24">
        <v>34561</v>
      </c>
      <c r="J915" s="27">
        <v>569</v>
      </c>
      <c r="K915" s="25">
        <v>0</v>
      </c>
      <c r="L915" s="22" t="s">
        <v>17</v>
      </c>
      <c r="M915" s="23" t="s">
        <v>18</v>
      </c>
    </row>
    <row r="916" spans="1:13" x14ac:dyDescent="0.35">
      <c r="A916" s="22" t="s">
        <v>1028</v>
      </c>
      <c r="B916" s="22" t="s">
        <v>1985</v>
      </c>
      <c r="C916" s="22" t="s">
        <v>12</v>
      </c>
      <c r="D916" s="22" t="s">
        <v>56</v>
      </c>
      <c r="E916" s="22" t="s">
        <v>29</v>
      </c>
      <c r="F916" s="22" t="s">
        <v>15</v>
      </c>
      <c r="G916" s="22" t="s">
        <v>44</v>
      </c>
      <c r="H916" s="22">
        <v>56</v>
      </c>
      <c r="I916" s="24">
        <v>43380</v>
      </c>
      <c r="J916" s="27">
        <v>590</v>
      </c>
      <c r="K916" s="25">
        <v>0.32</v>
      </c>
      <c r="L916" s="22" t="s">
        <v>45</v>
      </c>
      <c r="M916" s="23" t="s">
        <v>66</v>
      </c>
    </row>
    <row r="917" spans="1:13" x14ac:dyDescent="0.35">
      <c r="A917" s="22" t="s">
        <v>209</v>
      </c>
      <c r="B917" s="22" t="s">
        <v>1986</v>
      </c>
      <c r="C917" s="22" t="s">
        <v>12</v>
      </c>
      <c r="D917" s="22" t="s">
        <v>13</v>
      </c>
      <c r="E917" s="22" t="s">
        <v>29</v>
      </c>
      <c r="F917" s="22" t="s">
        <v>25</v>
      </c>
      <c r="G917" s="22" t="s">
        <v>41</v>
      </c>
      <c r="H917" s="22">
        <v>37</v>
      </c>
      <c r="I917" s="24">
        <v>39949</v>
      </c>
      <c r="J917" s="27">
        <v>531</v>
      </c>
      <c r="K917" s="25">
        <v>0.35</v>
      </c>
      <c r="L917" s="22" t="s">
        <v>17</v>
      </c>
      <c r="M917" s="23" t="s">
        <v>22</v>
      </c>
    </row>
    <row r="918" spans="1:13" x14ac:dyDescent="0.35">
      <c r="A918" s="22" t="s">
        <v>1029</v>
      </c>
      <c r="B918" s="22" t="s">
        <v>1987</v>
      </c>
      <c r="C918" s="22" t="s">
        <v>59</v>
      </c>
      <c r="D918" s="22" t="s">
        <v>24</v>
      </c>
      <c r="E918" s="22" t="s">
        <v>29</v>
      </c>
      <c r="F918" s="22" t="s">
        <v>25</v>
      </c>
      <c r="G918" s="22" t="s">
        <v>16</v>
      </c>
      <c r="H918" s="22">
        <v>29</v>
      </c>
      <c r="I918" s="24">
        <v>44660</v>
      </c>
      <c r="J918" s="27">
        <v>674</v>
      </c>
      <c r="K918" s="25">
        <v>0</v>
      </c>
      <c r="L918" s="22" t="s">
        <v>17</v>
      </c>
      <c r="M918" s="23" t="s">
        <v>40</v>
      </c>
    </row>
    <row r="919" spans="1:13" x14ac:dyDescent="0.35">
      <c r="A919" s="22" t="s">
        <v>1030</v>
      </c>
      <c r="B919" s="22" t="s">
        <v>1988</v>
      </c>
      <c r="C919" s="22" t="s">
        <v>38</v>
      </c>
      <c r="D919" s="22" t="s">
        <v>43</v>
      </c>
      <c r="E919" s="22" t="s">
        <v>14</v>
      </c>
      <c r="F919" s="22" t="s">
        <v>15</v>
      </c>
      <c r="G919" s="22" t="s">
        <v>21</v>
      </c>
      <c r="H919" s="22">
        <v>59</v>
      </c>
      <c r="I919" s="24">
        <v>44245</v>
      </c>
      <c r="J919" s="27">
        <v>580</v>
      </c>
      <c r="K919" s="25">
        <v>0</v>
      </c>
      <c r="L919" s="22" t="s">
        <v>30</v>
      </c>
      <c r="M919" s="23" t="s">
        <v>65</v>
      </c>
    </row>
    <row r="920" spans="1:13" x14ac:dyDescent="0.35">
      <c r="A920" s="22" t="s">
        <v>234</v>
      </c>
      <c r="B920" s="22" t="s">
        <v>1989</v>
      </c>
      <c r="C920" s="22" t="s">
        <v>38</v>
      </c>
      <c r="D920" s="22" t="s">
        <v>39</v>
      </c>
      <c r="E920" s="22" t="s">
        <v>1102</v>
      </c>
      <c r="F920" s="22" t="s">
        <v>25</v>
      </c>
      <c r="G920" s="22" t="s">
        <v>21</v>
      </c>
      <c r="H920" s="22">
        <v>50</v>
      </c>
      <c r="I920" s="24">
        <v>35316</v>
      </c>
      <c r="J920" s="27">
        <v>582</v>
      </c>
      <c r="K920" s="25">
        <v>0</v>
      </c>
      <c r="L920" s="22" t="s">
        <v>17</v>
      </c>
      <c r="M920" s="23" t="s">
        <v>40</v>
      </c>
    </row>
    <row r="921" spans="1:13" x14ac:dyDescent="0.35">
      <c r="A921" s="22" t="s">
        <v>1031</v>
      </c>
      <c r="B921" s="22" t="s">
        <v>1990</v>
      </c>
      <c r="C921" s="22" t="s">
        <v>60</v>
      </c>
      <c r="D921" s="22" t="s">
        <v>24</v>
      </c>
      <c r="E921" s="22" t="s">
        <v>1102</v>
      </c>
      <c r="F921" s="22" t="s">
        <v>25</v>
      </c>
      <c r="G921" s="22" t="s">
        <v>21</v>
      </c>
      <c r="H921" s="22">
        <v>48</v>
      </c>
      <c r="I921" s="24">
        <v>40539</v>
      </c>
      <c r="J921" s="27">
        <v>539</v>
      </c>
      <c r="K921" s="25">
        <v>0</v>
      </c>
      <c r="L921" s="22" t="s">
        <v>30</v>
      </c>
      <c r="M921" s="23" t="s">
        <v>31</v>
      </c>
    </row>
    <row r="922" spans="1:13" x14ac:dyDescent="0.35">
      <c r="A922" s="22" t="s">
        <v>1032</v>
      </c>
      <c r="B922" s="22" t="s">
        <v>1991</v>
      </c>
      <c r="C922" s="22" t="s">
        <v>36</v>
      </c>
      <c r="D922" s="22" t="s">
        <v>39</v>
      </c>
      <c r="E922" s="22" t="s">
        <v>33</v>
      </c>
      <c r="F922" s="22" t="s">
        <v>15</v>
      </c>
      <c r="G922" s="22" t="s">
        <v>44</v>
      </c>
      <c r="H922" s="22">
        <v>44</v>
      </c>
      <c r="I922" s="24">
        <v>43162</v>
      </c>
      <c r="J922" s="27">
        <v>906</v>
      </c>
      <c r="K922" s="25">
        <v>0.28999999999999998</v>
      </c>
      <c r="L922" s="22" t="s">
        <v>45</v>
      </c>
      <c r="M922" s="23" t="s">
        <v>46</v>
      </c>
    </row>
    <row r="923" spans="1:13" x14ac:dyDescent="0.35">
      <c r="A923" s="22" t="s">
        <v>85</v>
      </c>
      <c r="B923" s="22" t="s">
        <v>1992</v>
      </c>
      <c r="C923" s="22" t="s">
        <v>57</v>
      </c>
      <c r="D923" s="22" t="s">
        <v>43</v>
      </c>
      <c r="E923" s="22" t="s">
        <v>1102</v>
      </c>
      <c r="F923" s="22" t="s">
        <v>25</v>
      </c>
      <c r="G923" s="22" t="s">
        <v>16</v>
      </c>
      <c r="H923" s="22">
        <v>29</v>
      </c>
      <c r="I923" s="24">
        <v>44395</v>
      </c>
      <c r="J923" s="27">
        <v>684</v>
      </c>
      <c r="K923" s="25">
        <v>0</v>
      </c>
      <c r="L923" s="22" t="s">
        <v>17</v>
      </c>
      <c r="M923" s="23" t="s">
        <v>54</v>
      </c>
    </row>
    <row r="924" spans="1:13" x14ac:dyDescent="0.35">
      <c r="A924" s="22" t="s">
        <v>1033</v>
      </c>
      <c r="B924" s="22" t="s">
        <v>1993</v>
      </c>
      <c r="C924" s="22" t="s">
        <v>1111</v>
      </c>
      <c r="D924" s="22" t="s">
        <v>24</v>
      </c>
      <c r="E924" s="22" t="s">
        <v>33</v>
      </c>
      <c r="F924" s="22" t="s">
        <v>25</v>
      </c>
      <c r="G924" s="22" t="s">
        <v>16</v>
      </c>
      <c r="H924" s="22">
        <v>60</v>
      </c>
      <c r="I924" s="24">
        <v>35255</v>
      </c>
      <c r="J924" s="27">
        <v>534</v>
      </c>
      <c r="K924" s="25">
        <v>0.13</v>
      </c>
      <c r="L924" s="22" t="s">
        <v>17</v>
      </c>
      <c r="M924" s="23" t="s">
        <v>22</v>
      </c>
    </row>
    <row r="925" spans="1:13" x14ac:dyDescent="0.35">
      <c r="A925" s="22" t="s">
        <v>1034</v>
      </c>
      <c r="B925" s="22" t="s">
        <v>1994</v>
      </c>
      <c r="C925" s="22" t="s">
        <v>12</v>
      </c>
      <c r="D925" s="22" t="s">
        <v>24</v>
      </c>
      <c r="E925" s="22" t="s">
        <v>14</v>
      </c>
      <c r="F925" s="22" t="s">
        <v>25</v>
      </c>
      <c r="G925" s="22" t="s">
        <v>21</v>
      </c>
      <c r="H925" s="22">
        <v>56</v>
      </c>
      <c r="I925" s="24">
        <v>40613</v>
      </c>
      <c r="J925" s="27">
        <v>577</v>
      </c>
      <c r="K925" s="25">
        <v>0.38</v>
      </c>
      <c r="L925" s="22" t="s">
        <v>17</v>
      </c>
      <c r="M925" s="23" t="s">
        <v>22</v>
      </c>
    </row>
    <row r="926" spans="1:13" x14ac:dyDescent="0.35">
      <c r="A926" s="22" t="s">
        <v>1035</v>
      </c>
      <c r="B926" s="22" t="s">
        <v>1995</v>
      </c>
      <c r="C926" s="22" t="s">
        <v>53</v>
      </c>
      <c r="D926" s="22" t="s">
        <v>39</v>
      </c>
      <c r="E926" s="22" t="s">
        <v>33</v>
      </c>
      <c r="F926" s="22" t="s">
        <v>15</v>
      </c>
      <c r="G926" s="22" t="s">
        <v>44</v>
      </c>
      <c r="H926" s="22">
        <v>31</v>
      </c>
      <c r="I926" s="24">
        <v>42296</v>
      </c>
      <c r="J926" s="27">
        <v>1000</v>
      </c>
      <c r="K926" s="25">
        <v>7.0000000000000007E-2</v>
      </c>
      <c r="L926" s="22" t="s">
        <v>45</v>
      </c>
      <c r="M926" s="23" t="s">
        <v>66</v>
      </c>
    </row>
    <row r="927" spans="1:13" x14ac:dyDescent="0.35">
      <c r="A927" s="22" t="s">
        <v>1036</v>
      </c>
      <c r="B927" s="22" t="s">
        <v>1996</v>
      </c>
      <c r="C927" s="22" t="s">
        <v>1111</v>
      </c>
      <c r="D927" s="22" t="s">
        <v>13</v>
      </c>
      <c r="E927" s="22" t="s">
        <v>29</v>
      </c>
      <c r="F927" s="22" t="s">
        <v>25</v>
      </c>
      <c r="G927" s="22" t="s">
        <v>21</v>
      </c>
      <c r="H927" s="22">
        <v>53</v>
      </c>
      <c r="I927" s="24">
        <v>42072</v>
      </c>
      <c r="J927" s="27">
        <v>976</v>
      </c>
      <c r="K927" s="25">
        <v>0.11</v>
      </c>
      <c r="L927" s="22" t="s">
        <v>30</v>
      </c>
      <c r="M927" s="23" t="s">
        <v>31</v>
      </c>
    </row>
    <row r="928" spans="1:13" x14ac:dyDescent="0.35">
      <c r="A928" s="22" t="s">
        <v>1037</v>
      </c>
      <c r="B928" s="22" t="s">
        <v>1997</v>
      </c>
      <c r="C928" s="22" t="s">
        <v>53</v>
      </c>
      <c r="D928" s="22" t="s">
        <v>56</v>
      </c>
      <c r="E928" s="22" t="s">
        <v>33</v>
      </c>
      <c r="F928" s="22" t="s">
        <v>25</v>
      </c>
      <c r="G928" s="22" t="s">
        <v>44</v>
      </c>
      <c r="H928" s="22">
        <v>26</v>
      </c>
      <c r="I928" s="24">
        <v>44914</v>
      </c>
      <c r="J928" s="27">
        <v>644</v>
      </c>
      <c r="K928" s="25">
        <v>0.1</v>
      </c>
      <c r="L928" s="22" t="s">
        <v>17</v>
      </c>
      <c r="M928" s="23" t="s">
        <v>22</v>
      </c>
    </row>
    <row r="929" spans="1:13" x14ac:dyDescent="0.35">
      <c r="A929" s="22" t="s">
        <v>1038</v>
      </c>
      <c r="B929" s="22" t="s">
        <v>1998</v>
      </c>
      <c r="C929" s="22" t="s">
        <v>12</v>
      </c>
      <c r="D929" s="22" t="s">
        <v>39</v>
      </c>
      <c r="E929" s="22" t="s">
        <v>14</v>
      </c>
      <c r="F929" s="22" t="s">
        <v>25</v>
      </c>
      <c r="G929" s="22" t="s">
        <v>21</v>
      </c>
      <c r="H929" s="22">
        <v>31</v>
      </c>
      <c r="I929" s="24">
        <v>44329</v>
      </c>
      <c r="J929" s="27">
        <v>626</v>
      </c>
      <c r="K929" s="25">
        <v>0.36</v>
      </c>
      <c r="L929" s="22" t="s">
        <v>17</v>
      </c>
      <c r="M929" s="23" t="s">
        <v>54</v>
      </c>
    </row>
    <row r="930" spans="1:13" x14ac:dyDescent="0.35">
      <c r="A930" s="22" t="s">
        <v>1039</v>
      </c>
      <c r="B930" s="22" t="s">
        <v>1999</v>
      </c>
      <c r="C930" s="22" t="s">
        <v>1111</v>
      </c>
      <c r="D930" s="22" t="s">
        <v>39</v>
      </c>
      <c r="E930" s="22" t="s">
        <v>29</v>
      </c>
      <c r="F930" s="22" t="s">
        <v>25</v>
      </c>
      <c r="G930" s="22" t="s">
        <v>44</v>
      </c>
      <c r="H930" s="22">
        <v>48</v>
      </c>
      <c r="I930" s="24">
        <v>43658</v>
      </c>
      <c r="J930" s="27">
        <v>613</v>
      </c>
      <c r="K930" s="25">
        <v>0.12</v>
      </c>
      <c r="L930" s="22" t="s">
        <v>17</v>
      </c>
      <c r="M930" s="23" t="s">
        <v>22</v>
      </c>
    </row>
    <row r="931" spans="1:13" x14ac:dyDescent="0.35">
      <c r="A931" s="22" t="s">
        <v>1040</v>
      </c>
      <c r="B931" s="22" t="s">
        <v>2000</v>
      </c>
      <c r="C931" s="22" t="s">
        <v>12</v>
      </c>
      <c r="D931" s="22" t="s">
        <v>39</v>
      </c>
      <c r="E931" s="22" t="s">
        <v>14</v>
      </c>
      <c r="F931" s="22" t="s">
        <v>25</v>
      </c>
      <c r="G931" s="22" t="s">
        <v>21</v>
      </c>
      <c r="H931" s="22">
        <v>61</v>
      </c>
      <c r="I931" s="24">
        <v>41749</v>
      </c>
      <c r="J931" s="27">
        <v>857</v>
      </c>
      <c r="K931" s="25">
        <v>0.34</v>
      </c>
      <c r="L931" s="22" t="s">
        <v>30</v>
      </c>
      <c r="M931" s="23" t="s">
        <v>61</v>
      </c>
    </row>
    <row r="932" spans="1:13" x14ac:dyDescent="0.35">
      <c r="A932" s="22" t="s">
        <v>1041</v>
      </c>
      <c r="B932" s="22" t="s">
        <v>2001</v>
      </c>
      <c r="C932" s="22" t="s">
        <v>12</v>
      </c>
      <c r="D932" s="22" t="s">
        <v>24</v>
      </c>
      <c r="E932" s="22" t="s">
        <v>14</v>
      </c>
      <c r="F932" s="22" t="s">
        <v>15</v>
      </c>
      <c r="G932" s="22" t="s">
        <v>16</v>
      </c>
      <c r="H932" s="22">
        <v>42</v>
      </c>
      <c r="I932" s="24">
        <v>40733</v>
      </c>
      <c r="J932" s="27">
        <v>745</v>
      </c>
      <c r="K932" s="25">
        <v>0.34</v>
      </c>
      <c r="L932" s="22" t="s">
        <v>17</v>
      </c>
      <c r="M932" s="23" t="s">
        <v>35</v>
      </c>
    </row>
    <row r="933" spans="1:13" x14ac:dyDescent="0.35">
      <c r="A933" s="22" t="s">
        <v>1042</v>
      </c>
      <c r="B933" s="22" t="s">
        <v>2002</v>
      </c>
      <c r="C933" s="22" t="s">
        <v>72</v>
      </c>
      <c r="D933" s="22" t="s">
        <v>24</v>
      </c>
      <c r="E933" s="22" t="s">
        <v>33</v>
      </c>
      <c r="F933" s="22" t="s">
        <v>15</v>
      </c>
      <c r="G933" s="22" t="s">
        <v>16</v>
      </c>
      <c r="H933" s="22">
        <v>50</v>
      </c>
      <c r="I933" s="24">
        <v>41624</v>
      </c>
      <c r="J933" s="27">
        <v>818</v>
      </c>
      <c r="K933" s="25">
        <v>0</v>
      </c>
      <c r="L933" s="22" t="s">
        <v>17</v>
      </c>
      <c r="M933" s="23" t="s">
        <v>40</v>
      </c>
    </row>
    <row r="934" spans="1:13" x14ac:dyDescent="0.35">
      <c r="A934" s="22" t="s">
        <v>1043</v>
      </c>
      <c r="B934" s="22" t="s">
        <v>2003</v>
      </c>
      <c r="C934" s="22" t="s">
        <v>34</v>
      </c>
      <c r="D934" s="22" t="s">
        <v>24</v>
      </c>
      <c r="E934" s="22" t="s">
        <v>1102</v>
      </c>
      <c r="F934" s="22" t="s">
        <v>15</v>
      </c>
      <c r="G934" s="22" t="s">
        <v>16</v>
      </c>
      <c r="H934" s="22">
        <v>46</v>
      </c>
      <c r="I934" s="24">
        <v>40988</v>
      </c>
      <c r="J934" s="27">
        <v>1000</v>
      </c>
      <c r="K934" s="25">
        <v>0</v>
      </c>
      <c r="L934" s="22" t="s">
        <v>17</v>
      </c>
      <c r="M934" s="23" t="s">
        <v>35</v>
      </c>
    </row>
    <row r="935" spans="1:13" x14ac:dyDescent="0.35">
      <c r="A935" s="22" t="s">
        <v>1044</v>
      </c>
      <c r="B935" s="22" t="s">
        <v>2004</v>
      </c>
      <c r="C935" s="22" t="s">
        <v>67</v>
      </c>
      <c r="D935" s="22" t="s">
        <v>24</v>
      </c>
      <c r="E935" s="22" t="s">
        <v>1102</v>
      </c>
      <c r="F935" s="22" t="s">
        <v>15</v>
      </c>
      <c r="G935" s="22" t="s">
        <v>44</v>
      </c>
      <c r="H935" s="22">
        <v>50</v>
      </c>
      <c r="I935" s="24">
        <v>39398</v>
      </c>
      <c r="J935" s="27">
        <v>633</v>
      </c>
      <c r="K935" s="25">
        <v>0</v>
      </c>
      <c r="L935" s="22" t="s">
        <v>17</v>
      </c>
      <c r="M935" s="23" t="s">
        <v>18</v>
      </c>
    </row>
    <row r="936" spans="1:13" x14ac:dyDescent="0.35">
      <c r="A936" s="22" t="s">
        <v>1045</v>
      </c>
      <c r="B936" s="22" t="s">
        <v>2005</v>
      </c>
      <c r="C936" s="22" t="s">
        <v>36</v>
      </c>
      <c r="D936" s="22" t="s">
        <v>43</v>
      </c>
      <c r="E936" s="22" t="s">
        <v>29</v>
      </c>
      <c r="F936" s="22" t="s">
        <v>15</v>
      </c>
      <c r="G936" s="22" t="s">
        <v>44</v>
      </c>
      <c r="H936" s="22">
        <v>62</v>
      </c>
      <c r="I936" s="24">
        <v>40931</v>
      </c>
      <c r="J936" s="27">
        <v>709</v>
      </c>
      <c r="K936" s="25">
        <v>0.2</v>
      </c>
      <c r="L936" s="22" t="s">
        <v>17</v>
      </c>
      <c r="M936" s="23" t="s">
        <v>35</v>
      </c>
    </row>
    <row r="937" spans="1:13" x14ac:dyDescent="0.35">
      <c r="A937" s="22" t="s">
        <v>1046</v>
      </c>
      <c r="B937" s="22" t="s">
        <v>2006</v>
      </c>
      <c r="C937" s="22" t="s">
        <v>36</v>
      </c>
      <c r="D937" s="22" t="s">
        <v>28</v>
      </c>
      <c r="E937" s="22" t="s">
        <v>1102</v>
      </c>
      <c r="F937" s="22" t="s">
        <v>15</v>
      </c>
      <c r="G937" s="22" t="s">
        <v>16</v>
      </c>
      <c r="H937" s="22">
        <v>45</v>
      </c>
      <c r="I937" s="24">
        <v>43538</v>
      </c>
      <c r="J937" s="27">
        <v>618</v>
      </c>
      <c r="K937" s="25">
        <v>0.18</v>
      </c>
      <c r="L937" s="22" t="s">
        <v>17</v>
      </c>
      <c r="M937" s="23" t="s">
        <v>40</v>
      </c>
    </row>
    <row r="938" spans="1:13" x14ac:dyDescent="0.35">
      <c r="A938" s="22" t="s">
        <v>84</v>
      </c>
      <c r="B938" s="22" t="s">
        <v>2007</v>
      </c>
      <c r="C938" s="22" t="s">
        <v>36</v>
      </c>
      <c r="D938" s="22" t="s">
        <v>56</v>
      </c>
      <c r="E938" s="22" t="s">
        <v>1102</v>
      </c>
      <c r="F938" s="22" t="s">
        <v>25</v>
      </c>
      <c r="G938" s="22" t="s">
        <v>44</v>
      </c>
      <c r="H938" s="22">
        <v>34</v>
      </c>
      <c r="I938" s="24">
        <v>40946</v>
      </c>
      <c r="J938" s="27">
        <v>707</v>
      </c>
      <c r="K938" s="25">
        <v>0.23</v>
      </c>
      <c r="L938" s="22" t="s">
        <v>17</v>
      </c>
      <c r="M938" s="23" t="s">
        <v>18</v>
      </c>
    </row>
    <row r="939" spans="1:13" x14ac:dyDescent="0.35">
      <c r="A939" s="22" t="s">
        <v>108</v>
      </c>
      <c r="B939" s="22" t="s">
        <v>2008</v>
      </c>
      <c r="C939" s="22" t="s">
        <v>57</v>
      </c>
      <c r="D939" s="22" t="s">
        <v>39</v>
      </c>
      <c r="E939" s="22" t="s">
        <v>29</v>
      </c>
      <c r="F939" s="22" t="s">
        <v>15</v>
      </c>
      <c r="G939" s="22" t="s">
        <v>44</v>
      </c>
      <c r="H939" s="22">
        <v>35</v>
      </c>
      <c r="I939" s="24">
        <v>41051</v>
      </c>
      <c r="J939" s="27">
        <v>804</v>
      </c>
      <c r="K939" s="25">
        <v>0</v>
      </c>
      <c r="L939" s="22" t="s">
        <v>17</v>
      </c>
      <c r="M939" s="23" t="s">
        <v>22</v>
      </c>
    </row>
    <row r="940" spans="1:13" x14ac:dyDescent="0.35">
      <c r="A940" s="22" t="s">
        <v>1047</v>
      </c>
      <c r="B940" s="22" t="s">
        <v>137</v>
      </c>
      <c r="C940" s="22" t="s">
        <v>73</v>
      </c>
      <c r="D940" s="22" t="s">
        <v>24</v>
      </c>
      <c r="E940" s="22" t="s">
        <v>29</v>
      </c>
      <c r="F940" s="22" t="s">
        <v>25</v>
      </c>
      <c r="G940" s="22" t="s">
        <v>16</v>
      </c>
      <c r="H940" s="22">
        <v>41</v>
      </c>
      <c r="I940" s="24">
        <v>38948</v>
      </c>
      <c r="J940" s="27">
        <v>892</v>
      </c>
      <c r="K940" s="25">
        <v>0</v>
      </c>
      <c r="L940" s="22" t="s">
        <v>17</v>
      </c>
      <c r="M940" s="23" t="s">
        <v>40</v>
      </c>
    </row>
    <row r="941" spans="1:13" x14ac:dyDescent="0.35">
      <c r="A941" s="22" t="s">
        <v>1048</v>
      </c>
      <c r="B941" s="22" t="s">
        <v>2009</v>
      </c>
      <c r="C941" s="22" t="s">
        <v>34</v>
      </c>
      <c r="D941" s="22" t="s">
        <v>24</v>
      </c>
      <c r="E941" s="22" t="s">
        <v>29</v>
      </c>
      <c r="F941" s="22" t="s">
        <v>15</v>
      </c>
      <c r="G941" s="22" t="s">
        <v>21</v>
      </c>
      <c r="H941" s="22">
        <v>56</v>
      </c>
      <c r="I941" s="24">
        <v>34155</v>
      </c>
      <c r="J941" s="27">
        <v>808</v>
      </c>
      <c r="K941" s="25">
        <v>0</v>
      </c>
      <c r="L941" s="22" t="s">
        <v>17</v>
      </c>
      <c r="M941" s="23" t="s">
        <v>22</v>
      </c>
    </row>
    <row r="942" spans="1:13" x14ac:dyDescent="0.35">
      <c r="A942" s="22" t="s">
        <v>99</v>
      </c>
      <c r="B942" s="22" t="s">
        <v>2010</v>
      </c>
      <c r="C942" s="22" t="s">
        <v>70</v>
      </c>
      <c r="D942" s="22" t="s">
        <v>28</v>
      </c>
      <c r="E942" s="22" t="s">
        <v>14</v>
      </c>
      <c r="F942" s="22" t="s">
        <v>15</v>
      </c>
      <c r="G942" s="22" t="s">
        <v>16</v>
      </c>
      <c r="H942" s="22">
        <v>31</v>
      </c>
      <c r="I942" s="24">
        <v>43974</v>
      </c>
      <c r="J942" s="27">
        <v>916</v>
      </c>
      <c r="K942" s="25">
        <v>0</v>
      </c>
      <c r="L942" s="22" t="s">
        <v>17</v>
      </c>
      <c r="M942" s="23" t="s">
        <v>40</v>
      </c>
    </row>
    <row r="943" spans="1:13" x14ac:dyDescent="0.35">
      <c r="A943" s="22" t="s">
        <v>203</v>
      </c>
      <c r="B943" s="22" t="s">
        <v>2011</v>
      </c>
      <c r="C943" s="22" t="s">
        <v>1111</v>
      </c>
      <c r="D943" s="22" t="s">
        <v>13</v>
      </c>
      <c r="E943" s="22" t="s">
        <v>14</v>
      </c>
      <c r="F943" s="22" t="s">
        <v>15</v>
      </c>
      <c r="G943" s="22" t="s">
        <v>44</v>
      </c>
      <c r="H943" s="22">
        <v>40</v>
      </c>
      <c r="I943" s="24">
        <v>39569</v>
      </c>
      <c r="J943" s="27">
        <v>668</v>
      </c>
      <c r="K943" s="25">
        <v>0.14000000000000001</v>
      </c>
      <c r="L943" s="22" t="s">
        <v>45</v>
      </c>
      <c r="M943" s="23" t="s">
        <v>66</v>
      </c>
    </row>
    <row r="944" spans="1:13" x14ac:dyDescent="0.35">
      <c r="A944" s="22" t="s">
        <v>176</v>
      </c>
      <c r="B944" s="22" t="s">
        <v>2012</v>
      </c>
      <c r="C944" s="22" t="s">
        <v>12</v>
      </c>
      <c r="D944" s="22" t="s">
        <v>56</v>
      </c>
      <c r="E944" s="22" t="s">
        <v>1102</v>
      </c>
      <c r="F944" s="22" t="s">
        <v>25</v>
      </c>
      <c r="G944" s="22" t="s">
        <v>21</v>
      </c>
      <c r="H944" s="22">
        <v>51</v>
      </c>
      <c r="I944" s="24">
        <v>38896</v>
      </c>
      <c r="J944" s="27">
        <v>987</v>
      </c>
      <c r="K944" s="25">
        <v>0.36</v>
      </c>
      <c r="L944" s="22" t="s">
        <v>30</v>
      </c>
      <c r="M944" s="23" t="s">
        <v>52</v>
      </c>
    </row>
    <row r="945" spans="1:13" x14ac:dyDescent="0.35">
      <c r="A945" s="22" t="s">
        <v>1049</v>
      </c>
      <c r="B945" s="22" t="s">
        <v>2013</v>
      </c>
      <c r="C945" s="22" t="s">
        <v>58</v>
      </c>
      <c r="D945" s="22" t="s">
        <v>28</v>
      </c>
      <c r="E945" s="22" t="s">
        <v>1102</v>
      </c>
      <c r="F945" s="22" t="s">
        <v>15</v>
      </c>
      <c r="G945" s="22" t="s">
        <v>21</v>
      </c>
      <c r="H945" s="22">
        <v>49</v>
      </c>
      <c r="I945" s="24">
        <v>44356</v>
      </c>
      <c r="J945" s="27">
        <v>956</v>
      </c>
      <c r="K945" s="25">
        <v>0</v>
      </c>
      <c r="L945" s="22" t="s">
        <v>17</v>
      </c>
      <c r="M945" s="23" t="s">
        <v>35</v>
      </c>
    </row>
    <row r="946" spans="1:13" x14ac:dyDescent="0.35">
      <c r="A946" s="22" t="s">
        <v>1050</v>
      </c>
      <c r="B946" s="22" t="s">
        <v>2014</v>
      </c>
      <c r="C946" s="22" t="s">
        <v>19</v>
      </c>
      <c r="D946" s="22" t="s">
        <v>20</v>
      </c>
      <c r="E946" s="22" t="s">
        <v>14</v>
      </c>
      <c r="F946" s="22" t="s">
        <v>25</v>
      </c>
      <c r="G946" s="22" t="s">
        <v>16</v>
      </c>
      <c r="H946" s="22">
        <v>34</v>
      </c>
      <c r="I946" s="24">
        <v>43478</v>
      </c>
      <c r="J946" s="27">
        <v>871</v>
      </c>
      <c r="K946" s="25">
        <v>0</v>
      </c>
      <c r="L946" s="22" t="s">
        <v>17</v>
      </c>
      <c r="M946" s="23" t="s">
        <v>22</v>
      </c>
    </row>
    <row r="947" spans="1:13" x14ac:dyDescent="0.35">
      <c r="A947" s="22" t="s">
        <v>1051</v>
      </c>
      <c r="B947" s="22" t="s">
        <v>2015</v>
      </c>
      <c r="C947" s="22" t="s">
        <v>72</v>
      </c>
      <c r="D947" s="22" t="s">
        <v>24</v>
      </c>
      <c r="E947" s="22" t="s">
        <v>29</v>
      </c>
      <c r="F947" s="22" t="s">
        <v>15</v>
      </c>
      <c r="G947" s="22" t="s">
        <v>16</v>
      </c>
      <c r="H947" s="22">
        <v>48</v>
      </c>
      <c r="I947" s="24">
        <v>36665</v>
      </c>
      <c r="J947" s="27">
        <v>963</v>
      </c>
      <c r="K947" s="25">
        <v>0</v>
      </c>
      <c r="L947" s="22" t="s">
        <v>17</v>
      </c>
      <c r="M947" s="23" t="s">
        <v>18</v>
      </c>
    </row>
    <row r="948" spans="1:13" x14ac:dyDescent="0.35">
      <c r="A948" s="22" t="s">
        <v>1052</v>
      </c>
      <c r="B948" s="22" t="s">
        <v>2016</v>
      </c>
      <c r="C948" s="22" t="s">
        <v>50</v>
      </c>
      <c r="D948" s="22" t="s">
        <v>28</v>
      </c>
      <c r="E948" s="22" t="s">
        <v>14</v>
      </c>
      <c r="F948" s="22" t="s">
        <v>15</v>
      </c>
      <c r="G948" s="22" t="s">
        <v>44</v>
      </c>
      <c r="H948" s="22">
        <v>45</v>
      </c>
      <c r="I948" s="24">
        <v>39210</v>
      </c>
      <c r="J948" s="27">
        <v>748</v>
      </c>
      <c r="K948" s="25">
        <v>0</v>
      </c>
      <c r="L948" s="22" t="s">
        <v>17</v>
      </c>
      <c r="M948" s="23" t="s">
        <v>35</v>
      </c>
    </row>
    <row r="949" spans="1:13" x14ac:dyDescent="0.35">
      <c r="A949" s="22" t="s">
        <v>1053</v>
      </c>
      <c r="B949" s="22" t="s">
        <v>2017</v>
      </c>
      <c r="C949" s="22" t="s">
        <v>12</v>
      </c>
      <c r="D949" s="22" t="s">
        <v>20</v>
      </c>
      <c r="E949" s="22" t="s">
        <v>1102</v>
      </c>
      <c r="F949" s="22" t="s">
        <v>15</v>
      </c>
      <c r="G949" s="22" t="s">
        <v>21</v>
      </c>
      <c r="H949" s="22">
        <v>53</v>
      </c>
      <c r="I949" s="24">
        <v>39925</v>
      </c>
      <c r="J949" s="27">
        <v>785</v>
      </c>
      <c r="K949" s="25">
        <v>0.36</v>
      </c>
      <c r="L949" s="22" t="s">
        <v>17</v>
      </c>
      <c r="M949" s="23" t="s">
        <v>35</v>
      </c>
    </row>
    <row r="950" spans="1:13" x14ac:dyDescent="0.35">
      <c r="A950" s="22" t="s">
        <v>1054</v>
      </c>
      <c r="B950" s="22" t="s">
        <v>2018</v>
      </c>
      <c r="C950" s="22" t="s">
        <v>70</v>
      </c>
      <c r="D950" s="22" t="s">
        <v>28</v>
      </c>
      <c r="E950" s="22" t="s">
        <v>29</v>
      </c>
      <c r="F950" s="22" t="s">
        <v>15</v>
      </c>
      <c r="G950" s="22" t="s">
        <v>44</v>
      </c>
      <c r="H950" s="22">
        <v>55</v>
      </c>
      <c r="I950" s="24">
        <v>37673</v>
      </c>
      <c r="J950" s="27">
        <v>934</v>
      </c>
      <c r="K950" s="25">
        <v>0</v>
      </c>
      <c r="L950" s="22" t="s">
        <v>45</v>
      </c>
      <c r="M950" s="23" t="s">
        <v>1134</v>
      </c>
    </row>
    <row r="951" spans="1:13" x14ac:dyDescent="0.35">
      <c r="A951" s="22" t="s">
        <v>1055</v>
      </c>
      <c r="B951" s="22" t="s">
        <v>2019</v>
      </c>
      <c r="C951" s="22" t="s">
        <v>27</v>
      </c>
      <c r="D951" s="22" t="s">
        <v>28</v>
      </c>
      <c r="E951" s="22" t="s">
        <v>29</v>
      </c>
      <c r="F951" s="22" t="s">
        <v>15</v>
      </c>
      <c r="G951" s="22" t="s">
        <v>21</v>
      </c>
      <c r="H951" s="22">
        <v>56</v>
      </c>
      <c r="I951" s="24">
        <v>44562</v>
      </c>
      <c r="J951" s="27">
        <v>542</v>
      </c>
      <c r="K951" s="25">
        <v>0</v>
      </c>
      <c r="L951" s="22" t="s">
        <v>30</v>
      </c>
      <c r="M951" s="23" t="s">
        <v>61</v>
      </c>
    </row>
    <row r="952" spans="1:13" x14ac:dyDescent="0.35">
      <c r="A952" s="22" t="s">
        <v>1056</v>
      </c>
      <c r="B952" s="22" t="s">
        <v>2020</v>
      </c>
      <c r="C952" s="22" t="s">
        <v>70</v>
      </c>
      <c r="D952" s="22" t="s">
        <v>28</v>
      </c>
      <c r="E952" s="22" t="s">
        <v>14</v>
      </c>
      <c r="F952" s="22" t="s">
        <v>15</v>
      </c>
      <c r="G952" s="22" t="s">
        <v>21</v>
      </c>
      <c r="H952" s="22">
        <v>41</v>
      </c>
      <c r="I952" s="24">
        <v>38577</v>
      </c>
      <c r="J952" s="27">
        <v>885</v>
      </c>
      <c r="K952" s="25">
        <v>0</v>
      </c>
      <c r="L952" s="22" t="s">
        <v>30</v>
      </c>
      <c r="M952" s="23" t="s">
        <v>61</v>
      </c>
    </row>
    <row r="953" spans="1:13" x14ac:dyDescent="0.35">
      <c r="A953" s="22" t="s">
        <v>1057</v>
      </c>
      <c r="B953" s="22" t="s">
        <v>2021</v>
      </c>
      <c r="C953" s="22" t="s">
        <v>57</v>
      </c>
      <c r="D953" s="22" t="s">
        <v>43</v>
      </c>
      <c r="E953" s="22" t="s">
        <v>1102</v>
      </c>
      <c r="F953" s="22" t="s">
        <v>25</v>
      </c>
      <c r="G953" s="22" t="s">
        <v>44</v>
      </c>
      <c r="H953" s="22">
        <v>55</v>
      </c>
      <c r="I953" s="24">
        <v>37451</v>
      </c>
      <c r="J953" s="27">
        <v>841</v>
      </c>
      <c r="K953" s="25">
        <v>0</v>
      </c>
      <c r="L953" s="22" t="s">
        <v>45</v>
      </c>
      <c r="M953" s="23" t="s">
        <v>46</v>
      </c>
    </row>
    <row r="954" spans="1:13" x14ac:dyDescent="0.35">
      <c r="A954" s="22" t="s">
        <v>1058</v>
      </c>
      <c r="B954" s="22" t="s">
        <v>2022</v>
      </c>
      <c r="C954" s="22" t="s">
        <v>27</v>
      </c>
      <c r="D954" s="22" t="s">
        <v>28</v>
      </c>
      <c r="E954" s="22" t="s">
        <v>1102</v>
      </c>
      <c r="F954" s="22" t="s">
        <v>25</v>
      </c>
      <c r="G954" s="22" t="s">
        <v>21</v>
      </c>
      <c r="H954" s="22">
        <v>42</v>
      </c>
      <c r="I954" s="24">
        <v>42138</v>
      </c>
      <c r="J954" s="27">
        <v>671</v>
      </c>
      <c r="K954" s="25">
        <v>0</v>
      </c>
      <c r="L954" s="22" t="s">
        <v>17</v>
      </c>
      <c r="M954" s="23" t="s">
        <v>40</v>
      </c>
    </row>
    <row r="955" spans="1:13" x14ac:dyDescent="0.35">
      <c r="A955" s="22" t="s">
        <v>1059</v>
      </c>
      <c r="B955" s="22" t="s">
        <v>147</v>
      </c>
      <c r="C955" s="22" t="s">
        <v>38</v>
      </c>
      <c r="D955" s="22" t="s">
        <v>43</v>
      </c>
      <c r="E955" s="22" t="s">
        <v>14</v>
      </c>
      <c r="F955" s="22" t="s">
        <v>25</v>
      </c>
      <c r="G955" s="22" t="s">
        <v>41</v>
      </c>
      <c r="H955" s="22">
        <v>30</v>
      </c>
      <c r="I955" s="24">
        <v>44578</v>
      </c>
      <c r="J955" s="27">
        <v>796</v>
      </c>
      <c r="K955" s="25">
        <v>0</v>
      </c>
      <c r="L955" s="22" t="s">
        <v>17</v>
      </c>
      <c r="M955" s="23" t="s">
        <v>18</v>
      </c>
    </row>
    <row r="956" spans="1:13" x14ac:dyDescent="0.35">
      <c r="A956" s="22" t="s">
        <v>1060</v>
      </c>
      <c r="B956" s="22" t="s">
        <v>2023</v>
      </c>
      <c r="C956" s="22" t="s">
        <v>72</v>
      </c>
      <c r="D956" s="22" t="s">
        <v>24</v>
      </c>
      <c r="E956" s="22" t="s">
        <v>14</v>
      </c>
      <c r="F956" s="22" t="s">
        <v>25</v>
      </c>
      <c r="G956" s="22" t="s">
        <v>21</v>
      </c>
      <c r="H956" s="22">
        <v>44</v>
      </c>
      <c r="I956" s="24">
        <v>38054</v>
      </c>
      <c r="J956" s="27">
        <v>636</v>
      </c>
      <c r="K956" s="25">
        <v>0</v>
      </c>
      <c r="L956" s="22" t="s">
        <v>30</v>
      </c>
      <c r="M956" s="23" t="s">
        <v>65</v>
      </c>
    </row>
    <row r="957" spans="1:13" x14ac:dyDescent="0.35">
      <c r="A957" s="22" t="s">
        <v>1061</v>
      </c>
      <c r="B957" s="22" t="s">
        <v>2024</v>
      </c>
      <c r="C957" s="22" t="s">
        <v>38</v>
      </c>
      <c r="D957" s="22" t="s">
        <v>56</v>
      </c>
      <c r="E957" s="22" t="s">
        <v>14</v>
      </c>
      <c r="F957" s="22" t="s">
        <v>15</v>
      </c>
      <c r="G957" s="22" t="s">
        <v>21</v>
      </c>
      <c r="H957" s="22">
        <v>49</v>
      </c>
      <c r="I957" s="24">
        <v>36448</v>
      </c>
      <c r="J957" s="27">
        <v>948</v>
      </c>
      <c r="K957" s="25">
        <v>0</v>
      </c>
      <c r="L957" s="22" t="s">
        <v>17</v>
      </c>
      <c r="M957" s="23" t="s">
        <v>22</v>
      </c>
    </row>
    <row r="958" spans="1:13" x14ac:dyDescent="0.35">
      <c r="A958" s="22" t="s">
        <v>1062</v>
      </c>
      <c r="B958" s="22" t="s">
        <v>2025</v>
      </c>
      <c r="C958" s="22" t="s">
        <v>12</v>
      </c>
      <c r="D958" s="22" t="s">
        <v>28</v>
      </c>
      <c r="E958" s="22" t="s">
        <v>1102</v>
      </c>
      <c r="F958" s="22" t="s">
        <v>15</v>
      </c>
      <c r="G958" s="22" t="s">
        <v>44</v>
      </c>
      <c r="H958" s="22">
        <v>43</v>
      </c>
      <c r="I958" s="24">
        <v>40858</v>
      </c>
      <c r="J958" s="27">
        <v>905</v>
      </c>
      <c r="K958" s="25">
        <v>0.39</v>
      </c>
      <c r="L958" s="22" t="s">
        <v>45</v>
      </c>
      <c r="M958" s="23" t="s">
        <v>46</v>
      </c>
    </row>
    <row r="959" spans="1:13" x14ac:dyDescent="0.35">
      <c r="A959" s="22" t="s">
        <v>1063</v>
      </c>
      <c r="B959" s="22" t="s">
        <v>2026</v>
      </c>
      <c r="C959" s="22" t="s">
        <v>53</v>
      </c>
      <c r="D959" s="22" t="s">
        <v>39</v>
      </c>
      <c r="E959" s="22" t="s">
        <v>1102</v>
      </c>
      <c r="F959" s="22" t="s">
        <v>15</v>
      </c>
      <c r="G959" s="22" t="s">
        <v>21</v>
      </c>
      <c r="H959" s="22">
        <v>53</v>
      </c>
      <c r="I959" s="24">
        <v>41734</v>
      </c>
      <c r="J959" s="27">
        <v>553</v>
      </c>
      <c r="K959" s="25">
        <v>0.08</v>
      </c>
      <c r="L959" s="22" t="s">
        <v>30</v>
      </c>
      <c r="M959" s="23" t="s">
        <v>31</v>
      </c>
    </row>
    <row r="960" spans="1:13" x14ac:dyDescent="0.35">
      <c r="A960" s="22" t="s">
        <v>88</v>
      </c>
      <c r="B960" s="22" t="s">
        <v>2027</v>
      </c>
      <c r="C960" s="22" t="s">
        <v>38</v>
      </c>
      <c r="D960" s="22" t="s">
        <v>43</v>
      </c>
      <c r="E960" s="22" t="s">
        <v>33</v>
      </c>
      <c r="F960" s="22" t="s">
        <v>25</v>
      </c>
      <c r="G960" s="22" t="s">
        <v>44</v>
      </c>
      <c r="H960" s="22">
        <v>41</v>
      </c>
      <c r="I960" s="24">
        <v>40682</v>
      </c>
      <c r="J960" s="27">
        <v>827</v>
      </c>
      <c r="K960" s="25">
        <v>0</v>
      </c>
      <c r="L960" s="22" t="s">
        <v>45</v>
      </c>
      <c r="M960" s="23" t="s">
        <v>66</v>
      </c>
    </row>
    <row r="961" spans="1:13" x14ac:dyDescent="0.35">
      <c r="A961" s="22" t="s">
        <v>1064</v>
      </c>
      <c r="B961" s="22" t="s">
        <v>2028</v>
      </c>
      <c r="C961" s="22" t="s">
        <v>12</v>
      </c>
      <c r="D961" s="22" t="s">
        <v>28</v>
      </c>
      <c r="E961" s="22" t="s">
        <v>29</v>
      </c>
      <c r="F961" s="22" t="s">
        <v>25</v>
      </c>
      <c r="G961" s="22" t="s">
        <v>21</v>
      </c>
      <c r="H961" s="22">
        <v>26</v>
      </c>
      <c r="I961" s="24">
        <v>43892</v>
      </c>
      <c r="J961" s="27">
        <v>613</v>
      </c>
      <c r="K961" s="25">
        <v>0.3</v>
      </c>
      <c r="L961" s="22" t="s">
        <v>17</v>
      </c>
      <c r="M961" s="23" t="s">
        <v>40</v>
      </c>
    </row>
    <row r="962" spans="1:13" x14ac:dyDescent="0.35">
      <c r="A962" s="22" t="s">
        <v>1065</v>
      </c>
      <c r="B962" s="22" t="s">
        <v>2029</v>
      </c>
      <c r="C962" s="22" t="s">
        <v>38</v>
      </c>
      <c r="D962" s="22" t="s">
        <v>39</v>
      </c>
      <c r="E962" s="22" t="s">
        <v>14</v>
      </c>
      <c r="F962" s="22" t="s">
        <v>15</v>
      </c>
      <c r="G962" s="22" t="s">
        <v>21</v>
      </c>
      <c r="H962" s="22">
        <v>57</v>
      </c>
      <c r="I962" s="24">
        <v>35087</v>
      </c>
      <c r="J962" s="27">
        <v>664</v>
      </c>
      <c r="K962" s="25">
        <v>0</v>
      </c>
      <c r="L962" s="22" t="s">
        <v>17</v>
      </c>
      <c r="M962" s="23" t="s">
        <v>26</v>
      </c>
    </row>
    <row r="963" spans="1:13" x14ac:dyDescent="0.35">
      <c r="A963" s="22" t="s">
        <v>1066</v>
      </c>
      <c r="B963" s="22" t="s">
        <v>2030</v>
      </c>
      <c r="C963" s="22" t="s">
        <v>57</v>
      </c>
      <c r="D963" s="22" t="s">
        <v>39</v>
      </c>
      <c r="E963" s="22" t="s">
        <v>1102</v>
      </c>
      <c r="F963" s="22" t="s">
        <v>25</v>
      </c>
      <c r="G963" s="22" t="s">
        <v>44</v>
      </c>
      <c r="H963" s="22">
        <v>41</v>
      </c>
      <c r="I963" s="24">
        <v>43151</v>
      </c>
      <c r="J963" s="27">
        <v>849</v>
      </c>
      <c r="K963" s="25">
        <v>0</v>
      </c>
      <c r="L963" s="22" t="s">
        <v>17</v>
      </c>
      <c r="M963" s="23" t="s">
        <v>22</v>
      </c>
    </row>
    <row r="964" spans="1:13" x14ac:dyDescent="0.35">
      <c r="A964" s="22" t="s">
        <v>1067</v>
      </c>
      <c r="B964" s="22" t="s">
        <v>2031</v>
      </c>
      <c r="C964" s="22" t="s">
        <v>36</v>
      </c>
      <c r="D964" s="22" t="s">
        <v>24</v>
      </c>
      <c r="E964" s="22" t="s">
        <v>1102</v>
      </c>
      <c r="F964" s="22" t="s">
        <v>25</v>
      </c>
      <c r="G964" s="22" t="s">
        <v>21</v>
      </c>
      <c r="H964" s="22">
        <v>59</v>
      </c>
      <c r="I964" s="24">
        <v>42859</v>
      </c>
      <c r="J964" s="27">
        <v>531</v>
      </c>
      <c r="K964" s="25">
        <v>0.17</v>
      </c>
      <c r="L964" s="22" t="s">
        <v>30</v>
      </c>
      <c r="M964" s="23" t="s">
        <v>52</v>
      </c>
    </row>
    <row r="965" spans="1:13" x14ac:dyDescent="0.35">
      <c r="A965" s="22" t="s">
        <v>201</v>
      </c>
      <c r="B965" s="22" t="s">
        <v>2032</v>
      </c>
      <c r="C965" s="22" t="s">
        <v>36</v>
      </c>
      <c r="D965" s="22" t="s">
        <v>24</v>
      </c>
      <c r="E965" s="22" t="s">
        <v>1102</v>
      </c>
      <c r="F965" s="22" t="s">
        <v>15</v>
      </c>
      <c r="G965" s="22" t="s">
        <v>21</v>
      </c>
      <c r="H965" s="22">
        <v>59</v>
      </c>
      <c r="I965" s="24">
        <v>38504</v>
      </c>
      <c r="J965" s="27">
        <v>575</v>
      </c>
      <c r="K965" s="25">
        <v>0.25</v>
      </c>
      <c r="L965" s="22" t="s">
        <v>17</v>
      </c>
      <c r="M965" s="23" t="s">
        <v>35</v>
      </c>
    </row>
    <row r="966" spans="1:13" x14ac:dyDescent="0.35">
      <c r="A966" s="22" t="s">
        <v>143</v>
      </c>
      <c r="B966" s="22" t="s">
        <v>2033</v>
      </c>
      <c r="C966" s="22" t="s">
        <v>68</v>
      </c>
      <c r="D966" s="22" t="s">
        <v>20</v>
      </c>
      <c r="E966" s="22" t="s">
        <v>33</v>
      </c>
      <c r="F966" s="22" t="s">
        <v>15</v>
      </c>
      <c r="G966" s="22" t="s">
        <v>44</v>
      </c>
      <c r="H966" s="22">
        <v>54</v>
      </c>
      <c r="I966" s="24">
        <v>42334</v>
      </c>
      <c r="J966" s="27">
        <v>721</v>
      </c>
      <c r="K966" s="25">
        <v>0</v>
      </c>
      <c r="L966" s="22" t="s">
        <v>45</v>
      </c>
      <c r="M966" s="23" t="s">
        <v>46</v>
      </c>
    </row>
    <row r="967" spans="1:13" x14ac:dyDescent="0.35">
      <c r="A967" s="22" t="s">
        <v>1068</v>
      </c>
      <c r="B967" s="22" t="s">
        <v>2034</v>
      </c>
      <c r="C967" s="22" t="s">
        <v>1111</v>
      </c>
      <c r="D967" s="22" t="s">
        <v>20</v>
      </c>
      <c r="E967" s="22" t="s">
        <v>29</v>
      </c>
      <c r="F967" s="22" t="s">
        <v>15</v>
      </c>
      <c r="G967" s="22" t="s">
        <v>21</v>
      </c>
      <c r="H967" s="22">
        <v>44</v>
      </c>
      <c r="I967" s="24">
        <v>44846</v>
      </c>
      <c r="J967" s="27">
        <v>883</v>
      </c>
      <c r="K967" s="25">
        <v>0.14000000000000001</v>
      </c>
      <c r="L967" s="22" t="s">
        <v>30</v>
      </c>
      <c r="M967" s="23" t="s">
        <v>65</v>
      </c>
    </row>
    <row r="968" spans="1:13" x14ac:dyDescent="0.35">
      <c r="A968" s="22" t="s">
        <v>261</v>
      </c>
      <c r="B968" s="22" t="s">
        <v>2035</v>
      </c>
      <c r="C968" s="22" t="s">
        <v>53</v>
      </c>
      <c r="D968" s="22" t="s">
        <v>39</v>
      </c>
      <c r="E968" s="22" t="s">
        <v>1102</v>
      </c>
      <c r="F968" s="22" t="s">
        <v>15</v>
      </c>
      <c r="G968" s="22" t="s">
        <v>44</v>
      </c>
      <c r="H968" s="22">
        <v>55</v>
      </c>
      <c r="I968" s="24">
        <v>44750</v>
      </c>
      <c r="J968" s="27">
        <v>922</v>
      </c>
      <c r="K968" s="25">
        <v>0.05</v>
      </c>
      <c r="L968" s="22" t="s">
        <v>45</v>
      </c>
      <c r="M968" s="23" t="s">
        <v>1134</v>
      </c>
    </row>
    <row r="969" spans="1:13" x14ac:dyDescent="0.35">
      <c r="A969" s="22" t="s">
        <v>1069</v>
      </c>
      <c r="B969" s="22" t="s">
        <v>2036</v>
      </c>
      <c r="C969" s="22" t="s">
        <v>36</v>
      </c>
      <c r="D969" s="22" t="s">
        <v>24</v>
      </c>
      <c r="E969" s="22" t="s">
        <v>14</v>
      </c>
      <c r="F969" s="22" t="s">
        <v>15</v>
      </c>
      <c r="G969" s="22" t="s">
        <v>21</v>
      </c>
      <c r="H969" s="22">
        <v>30</v>
      </c>
      <c r="I969" s="24">
        <v>44472</v>
      </c>
      <c r="J969" s="27">
        <v>621</v>
      </c>
      <c r="K969" s="25">
        <v>0.15</v>
      </c>
      <c r="L969" s="22" t="s">
        <v>30</v>
      </c>
      <c r="M969" s="23" t="s">
        <v>65</v>
      </c>
    </row>
    <row r="970" spans="1:13" x14ac:dyDescent="0.35">
      <c r="A970" s="22" t="s">
        <v>1070</v>
      </c>
      <c r="B970" s="22" t="s">
        <v>2037</v>
      </c>
      <c r="C970" s="22" t="s">
        <v>74</v>
      </c>
      <c r="D970" s="22" t="s">
        <v>43</v>
      </c>
      <c r="E970" s="22" t="s">
        <v>1102</v>
      </c>
      <c r="F970" s="22" t="s">
        <v>25</v>
      </c>
      <c r="G970" s="22" t="s">
        <v>44</v>
      </c>
      <c r="H970" s="22">
        <v>44</v>
      </c>
      <c r="I970" s="24">
        <v>44129</v>
      </c>
      <c r="J970" s="27">
        <v>882</v>
      </c>
      <c r="K970" s="25">
        <v>0</v>
      </c>
      <c r="L970" s="22" t="s">
        <v>45</v>
      </c>
      <c r="M970" s="23" t="s">
        <v>46</v>
      </c>
    </row>
    <row r="971" spans="1:13" x14ac:dyDescent="0.35">
      <c r="A971" s="22" t="s">
        <v>187</v>
      </c>
      <c r="B971" s="22" t="s">
        <v>2038</v>
      </c>
      <c r="C971" s="22" t="s">
        <v>57</v>
      </c>
      <c r="D971" s="22" t="s">
        <v>39</v>
      </c>
      <c r="E971" s="22" t="s">
        <v>1102</v>
      </c>
      <c r="F971" s="22" t="s">
        <v>15</v>
      </c>
      <c r="G971" s="22" t="s">
        <v>16</v>
      </c>
      <c r="H971" s="22">
        <v>57</v>
      </c>
      <c r="I971" s="24">
        <v>39673</v>
      </c>
      <c r="J971" s="27">
        <v>776</v>
      </c>
      <c r="K971" s="25">
        <v>0</v>
      </c>
      <c r="L971" s="22" t="s">
        <v>17</v>
      </c>
      <c r="M971" s="23" t="s">
        <v>26</v>
      </c>
    </row>
    <row r="972" spans="1:13" x14ac:dyDescent="0.35">
      <c r="A972" s="22" t="s">
        <v>1071</v>
      </c>
      <c r="B972" s="22" t="s">
        <v>2039</v>
      </c>
      <c r="C972" s="22" t="s">
        <v>58</v>
      </c>
      <c r="D972" s="22" t="s">
        <v>28</v>
      </c>
      <c r="E972" s="22" t="s">
        <v>29</v>
      </c>
      <c r="F972" s="22" t="s">
        <v>25</v>
      </c>
      <c r="G972" s="22" t="s">
        <v>44</v>
      </c>
      <c r="H972" s="22">
        <v>58</v>
      </c>
      <c r="I972" s="24">
        <v>38793</v>
      </c>
      <c r="J972" s="27">
        <v>501</v>
      </c>
      <c r="K972" s="25">
        <v>0</v>
      </c>
      <c r="L972" s="22" t="s">
        <v>17</v>
      </c>
      <c r="M972" s="23" t="s">
        <v>54</v>
      </c>
    </row>
    <row r="973" spans="1:13" x14ac:dyDescent="0.35">
      <c r="A973" s="22" t="s">
        <v>1072</v>
      </c>
      <c r="B973" s="22" t="s">
        <v>2040</v>
      </c>
      <c r="C973" s="22" t="s">
        <v>58</v>
      </c>
      <c r="D973" s="22" t="s">
        <v>28</v>
      </c>
      <c r="E973" s="22" t="s">
        <v>33</v>
      </c>
      <c r="F973" s="22" t="s">
        <v>15</v>
      </c>
      <c r="G973" s="22" t="s">
        <v>21</v>
      </c>
      <c r="H973" s="22">
        <v>59</v>
      </c>
      <c r="I973" s="24">
        <v>39680</v>
      </c>
      <c r="J973" s="27">
        <v>530</v>
      </c>
      <c r="K973" s="25">
        <v>0</v>
      </c>
      <c r="L973" s="22" t="s">
        <v>17</v>
      </c>
      <c r="M973" s="23" t="s">
        <v>18</v>
      </c>
    </row>
    <row r="974" spans="1:13" x14ac:dyDescent="0.35">
      <c r="A974" s="22" t="s">
        <v>1073</v>
      </c>
      <c r="B974" s="22" t="s">
        <v>2041</v>
      </c>
      <c r="C974" s="22" t="s">
        <v>77</v>
      </c>
      <c r="D974" s="22" t="s">
        <v>24</v>
      </c>
      <c r="E974" s="22" t="s">
        <v>33</v>
      </c>
      <c r="F974" s="22" t="s">
        <v>15</v>
      </c>
      <c r="G974" s="22" t="s">
        <v>21</v>
      </c>
      <c r="H974" s="22">
        <v>60</v>
      </c>
      <c r="I974" s="24">
        <v>36547</v>
      </c>
      <c r="J974" s="27">
        <v>644</v>
      </c>
      <c r="K974" s="25">
        <v>0</v>
      </c>
      <c r="L974" s="22" t="s">
        <v>17</v>
      </c>
      <c r="M974" s="23" t="s">
        <v>26</v>
      </c>
    </row>
    <row r="975" spans="1:13" x14ac:dyDescent="0.35">
      <c r="A975" s="22" t="s">
        <v>1074</v>
      </c>
      <c r="B975" s="22" t="s">
        <v>2042</v>
      </c>
      <c r="C975" s="22" t="s">
        <v>72</v>
      </c>
      <c r="D975" s="22" t="s">
        <v>24</v>
      </c>
      <c r="E975" s="22" t="s">
        <v>14</v>
      </c>
      <c r="F975" s="22" t="s">
        <v>15</v>
      </c>
      <c r="G975" s="22" t="s">
        <v>41</v>
      </c>
      <c r="H975" s="22">
        <v>32</v>
      </c>
      <c r="I975" s="24">
        <v>43623</v>
      </c>
      <c r="J975" s="27">
        <v>704</v>
      </c>
      <c r="K975" s="25">
        <v>0</v>
      </c>
      <c r="L975" s="22" t="s">
        <v>17</v>
      </c>
      <c r="M975" s="23" t="s">
        <v>26</v>
      </c>
    </row>
    <row r="976" spans="1:13" x14ac:dyDescent="0.35">
      <c r="A976" s="22" t="s">
        <v>1075</v>
      </c>
      <c r="B976" s="22" t="s">
        <v>2043</v>
      </c>
      <c r="C976" s="22" t="s">
        <v>51</v>
      </c>
      <c r="D976" s="22" t="s">
        <v>28</v>
      </c>
      <c r="E976" s="22" t="s">
        <v>33</v>
      </c>
      <c r="F976" s="22" t="s">
        <v>15</v>
      </c>
      <c r="G976" s="22" t="s">
        <v>16</v>
      </c>
      <c r="H976" s="22">
        <v>41</v>
      </c>
      <c r="I976" s="24">
        <v>40799</v>
      </c>
      <c r="J976" s="27">
        <v>691</v>
      </c>
      <c r="K976" s="25">
        <v>0</v>
      </c>
      <c r="L976" s="22" t="s">
        <v>17</v>
      </c>
      <c r="M976" s="23" t="s">
        <v>26</v>
      </c>
    </row>
    <row r="977" spans="1:13" x14ac:dyDescent="0.35">
      <c r="A977" s="22" t="s">
        <v>210</v>
      </c>
      <c r="B977" s="22" t="s">
        <v>2044</v>
      </c>
      <c r="C977" s="22" t="s">
        <v>32</v>
      </c>
      <c r="D977" s="22" t="s">
        <v>24</v>
      </c>
      <c r="E977" s="22" t="s">
        <v>1102</v>
      </c>
      <c r="F977" s="22" t="s">
        <v>25</v>
      </c>
      <c r="G977" s="22" t="s">
        <v>21</v>
      </c>
      <c r="H977" s="22">
        <v>39</v>
      </c>
      <c r="I977" s="24">
        <v>41034</v>
      </c>
      <c r="J977" s="27">
        <v>529</v>
      </c>
      <c r="K977" s="25">
        <v>0</v>
      </c>
      <c r="L977" s="22" t="s">
        <v>17</v>
      </c>
      <c r="M977" s="23" t="s">
        <v>26</v>
      </c>
    </row>
    <row r="978" spans="1:13" x14ac:dyDescent="0.35">
      <c r="A978" s="22" t="s">
        <v>1076</v>
      </c>
      <c r="B978" s="22" t="s">
        <v>2045</v>
      </c>
      <c r="C978" s="22" t="s">
        <v>38</v>
      </c>
      <c r="D978" s="22" t="s">
        <v>39</v>
      </c>
      <c r="E978" s="22" t="s">
        <v>1102</v>
      </c>
      <c r="F978" s="22" t="s">
        <v>15</v>
      </c>
      <c r="G978" s="22" t="s">
        <v>44</v>
      </c>
      <c r="H978" s="22">
        <v>39</v>
      </c>
      <c r="I978" s="24">
        <v>44056</v>
      </c>
      <c r="J978" s="27">
        <v>730</v>
      </c>
      <c r="K978" s="25">
        <v>0</v>
      </c>
      <c r="L978" s="22" t="s">
        <v>17</v>
      </c>
      <c r="M978" s="23" t="s">
        <v>40</v>
      </c>
    </row>
    <row r="979" spans="1:13" x14ac:dyDescent="0.35">
      <c r="A979" s="22" t="s">
        <v>1077</v>
      </c>
      <c r="B979" s="22" t="s">
        <v>2046</v>
      </c>
      <c r="C979" s="22" t="s">
        <v>76</v>
      </c>
      <c r="D979" s="22" t="s">
        <v>28</v>
      </c>
      <c r="E979" s="22" t="s">
        <v>14</v>
      </c>
      <c r="F979" s="22" t="s">
        <v>25</v>
      </c>
      <c r="G979" s="22" t="s">
        <v>21</v>
      </c>
      <c r="H979" s="22">
        <v>31</v>
      </c>
      <c r="I979" s="24">
        <v>42620</v>
      </c>
      <c r="J979" s="27">
        <v>715</v>
      </c>
      <c r="K979" s="25">
        <v>0.13</v>
      </c>
      <c r="L979" s="22" t="s">
        <v>17</v>
      </c>
      <c r="M979" s="23" t="s">
        <v>35</v>
      </c>
    </row>
    <row r="980" spans="1:13" x14ac:dyDescent="0.35">
      <c r="A980" s="22" t="s">
        <v>179</v>
      </c>
      <c r="B980" s="22" t="s">
        <v>2047</v>
      </c>
      <c r="C980" s="22" t="s">
        <v>38</v>
      </c>
      <c r="D980" s="22" t="s">
        <v>43</v>
      </c>
      <c r="E980" s="22" t="s">
        <v>14</v>
      </c>
      <c r="F980" s="22" t="s">
        <v>15</v>
      </c>
      <c r="G980" s="22" t="s">
        <v>21</v>
      </c>
      <c r="H980" s="22">
        <v>32</v>
      </c>
      <c r="I980" s="24">
        <v>42294</v>
      </c>
      <c r="J980" s="27">
        <v>590</v>
      </c>
      <c r="K980" s="25">
        <v>0</v>
      </c>
      <c r="L980" s="22" t="s">
        <v>30</v>
      </c>
      <c r="M980" s="23" t="s">
        <v>52</v>
      </c>
    </row>
    <row r="981" spans="1:13" x14ac:dyDescent="0.35">
      <c r="A981" s="22" t="s">
        <v>1078</v>
      </c>
      <c r="B981" s="22" t="s">
        <v>2048</v>
      </c>
      <c r="C981" s="22" t="s">
        <v>1111</v>
      </c>
      <c r="D981" s="22" t="s">
        <v>56</v>
      </c>
      <c r="E981" s="22" t="s">
        <v>14</v>
      </c>
      <c r="F981" s="22" t="s">
        <v>25</v>
      </c>
      <c r="G981" s="22" t="s">
        <v>21</v>
      </c>
      <c r="H981" s="22">
        <v>46</v>
      </c>
      <c r="I981" s="24">
        <v>43454</v>
      </c>
      <c r="J981" s="27">
        <v>860</v>
      </c>
      <c r="K981" s="25">
        <v>0.13</v>
      </c>
      <c r="L981" s="22" t="s">
        <v>30</v>
      </c>
      <c r="M981" s="23" t="s">
        <v>61</v>
      </c>
    </row>
    <row r="982" spans="1:13" x14ac:dyDescent="0.35">
      <c r="A982" s="22" t="s">
        <v>1079</v>
      </c>
      <c r="B982" s="22" t="s">
        <v>2049</v>
      </c>
      <c r="C982" s="22" t="s">
        <v>53</v>
      </c>
      <c r="D982" s="22" t="s">
        <v>24</v>
      </c>
      <c r="E982" s="22" t="s">
        <v>1102</v>
      </c>
      <c r="F982" s="22" t="s">
        <v>15</v>
      </c>
      <c r="G982" s="22" t="s">
        <v>44</v>
      </c>
      <c r="H982" s="22">
        <v>64</v>
      </c>
      <c r="I982" s="24">
        <v>41916</v>
      </c>
      <c r="J982" s="27">
        <v>810</v>
      </c>
      <c r="K982" s="25">
        <v>0.08</v>
      </c>
      <c r="L982" s="22" t="s">
        <v>17</v>
      </c>
      <c r="M982" s="23" t="s">
        <v>40</v>
      </c>
    </row>
    <row r="983" spans="1:13" x14ac:dyDescent="0.35">
      <c r="A983" s="22" t="s">
        <v>1080</v>
      </c>
      <c r="B983" s="22" t="s">
        <v>2050</v>
      </c>
      <c r="C983" s="22" t="s">
        <v>36</v>
      </c>
      <c r="D983" s="22" t="s">
        <v>20</v>
      </c>
      <c r="E983" s="22" t="s">
        <v>1102</v>
      </c>
      <c r="F983" s="22" t="s">
        <v>15</v>
      </c>
      <c r="G983" s="22" t="s">
        <v>16</v>
      </c>
      <c r="H983" s="22">
        <v>53</v>
      </c>
      <c r="I983" s="24">
        <v>36168</v>
      </c>
      <c r="J983" s="27">
        <v>616</v>
      </c>
      <c r="K983" s="25">
        <v>0.17</v>
      </c>
      <c r="L983" s="22" t="s">
        <v>17</v>
      </c>
      <c r="M983" s="23" t="s">
        <v>40</v>
      </c>
    </row>
    <row r="984" spans="1:13" x14ac:dyDescent="0.35">
      <c r="A984" s="22" t="s">
        <v>113</v>
      </c>
      <c r="B984" s="22" t="s">
        <v>2051</v>
      </c>
      <c r="C984" s="22" t="s">
        <v>38</v>
      </c>
      <c r="D984" s="22" t="s">
        <v>43</v>
      </c>
      <c r="E984" s="22" t="s">
        <v>33</v>
      </c>
      <c r="F984" s="22" t="s">
        <v>25</v>
      </c>
      <c r="G984" s="22" t="s">
        <v>44</v>
      </c>
      <c r="H984" s="22">
        <v>34</v>
      </c>
      <c r="I984" s="24">
        <v>43410</v>
      </c>
      <c r="J984" s="27">
        <v>789</v>
      </c>
      <c r="K984" s="25">
        <v>0</v>
      </c>
      <c r="L984" s="22" t="s">
        <v>17</v>
      </c>
      <c r="M984" s="23" t="s">
        <v>40</v>
      </c>
    </row>
    <row r="985" spans="1:13" x14ac:dyDescent="0.35">
      <c r="A985" s="22" t="s">
        <v>1081</v>
      </c>
      <c r="B985" s="22" t="s">
        <v>2052</v>
      </c>
      <c r="C985" s="22" t="s">
        <v>53</v>
      </c>
      <c r="D985" s="22" t="s">
        <v>20</v>
      </c>
      <c r="E985" s="22" t="s">
        <v>1102</v>
      </c>
      <c r="F985" s="22" t="s">
        <v>25</v>
      </c>
      <c r="G985" s="22" t="s">
        <v>21</v>
      </c>
      <c r="H985" s="22">
        <v>39</v>
      </c>
      <c r="I985" s="24">
        <v>39656</v>
      </c>
      <c r="J985" s="27">
        <v>569</v>
      </c>
      <c r="K985" s="25">
        <v>0.05</v>
      </c>
      <c r="L985" s="22" t="s">
        <v>17</v>
      </c>
      <c r="M985" s="23" t="s">
        <v>22</v>
      </c>
    </row>
    <row r="986" spans="1:13" x14ac:dyDescent="0.35">
      <c r="A986" s="22" t="s">
        <v>1082</v>
      </c>
      <c r="B986" s="22" t="s">
        <v>2053</v>
      </c>
      <c r="C986" s="22" t="s">
        <v>42</v>
      </c>
      <c r="D986" s="22" t="s">
        <v>43</v>
      </c>
      <c r="E986" s="22" t="s">
        <v>29</v>
      </c>
      <c r="F986" s="22" t="s">
        <v>25</v>
      </c>
      <c r="G986" s="22" t="s">
        <v>16</v>
      </c>
      <c r="H986" s="22">
        <v>25</v>
      </c>
      <c r="I986" s="24">
        <v>44321</v>
      </c>
      <c r="J986" s="27">
        <v>601</v>
      </c>
      <c r="K986" s="25">
        <v>0</v>
      </c>
      <c r="L986" s="22" t="s">
        <v>17</v>
      </c>
      <c r="M986" s="23" t="s">
        <v>54</v>
      </c>
    </row>
    <row r="987" spans="1:13" x14ac:dyDescent="0.35">
      <c r="A987" s="22" t="s">
        <v>233</v>
      </c>
      <c r="B987" s="22" t="s">
        <v>2054</v>
      </c>
      <c r="C987" s="22" t="s">
        <v>71</v>
      </c>
      <c r="D987" s="22" t="s">
        <v>24</v>
      </c>
      <c r="E987" s="22" t="s">
        <v>1102</v>
      </c>
      <c r="F987" s="22" t="s">
        <v>15</v>
      </c>
      <c r="G987" s="22" t="s">
        <v>21</v>
      </c>
      <c r="H987" s="22">
        <v>45</v>
      </c>
      <c r="I987" s="24">
        <v>42078</v>
      </c>
      <c r="J987" s="27">
        <v>859</v>
      </c>
      <c r="K987" s="25">
        <v>0</v>
      </c>
      <c r="L987" s="22" t="s">
        <v>30</v>
      </c>
      <c r="M987" s="23" t="s">
        <v>65</v>
      </c>
    </row>
    <row r="988" spans="1:13" x14ac:dyDescent="0.35">
      <c r="A988" s="22" t="s">
        <v>1083</v>
      </c>
      <c r="B988" s="22" t="s">
        <v>2055</v>
      </c>
      <c r="C988" s="22" t="s">
        <v>1111</v>
      </c>
      <c r="D988" s="22" t="s">
        <v>13</v>
      </c>
      <c r="E988" s="22" t="s">
        <v>29</v>
      </c>
      <c r="F988" s="22" t="s">
        <v>15</v>
      </c>
      <c r="G988" s="22" t="s">
        <v>44</v>
      </c>
      <c r="H988" s="22">
        <v>61</v>
      </c>
      <c r="I988" s="24">
        <v>35537</v>
      </c>
      <c r="J988" s="27">
        <v>570</v>
      </c>
      <c r="K988" s="25">
        <v>0.13</v>
      </c>
      <c r="L988" s="22" t="s">
        <v>45</v>
      </c>
      <c r="M988" s="23" t="s">
        <v>66</v>
      </c>
    </row>
    <row r="989" spans="1:13" x14ac:dyDescent="0.35">
      <c r="A989" s="22" t="s">
        <v>1084</v>
      </c>
      <c r="B989" s="22" t="s">
        <v>2056</v>
      </c>
      <c r="C989" s="22" t="s">
        <v>1111</v>
      </c>
      <c r="D989" s="22" t="s">
        <v>56</v>
      </c>
      <c r="E989" s="22" t="s">
        <v>29</v>
      </c>
      <c r="F989" s="22" t="s">
        <v>25</v>
      </c>
      <c r="G989" s="22" t="s">
        <v>21</v>
      </c>
      <c r="H989" s="22">
        <v>44</v>
      </c>
      <c r="I989" s="24">
        <v>39318</v>
      </c>
      <c r="J989" s="27">
        <v>759</v>
      </c>
      <c r="K989" s="25">
        <v>0.13</v>
      </c>
      <c r="L989" s="22" t="s">
        <v>17</v>
      </c>
      <c r="M989" s="23" t="s">
        <v>35</v>
      </c>
    </row>
    <row r="990" spans="1:13" x14ac:dyDescent="0.35">
      <c r="A990" s="22" t="s">
        <v>1085</v>
      </c>
      <c r="B990" s="22" t="s">
        <v>2057</v>
      </c>
      <c r="C990" s="22" t="s">
        <v>34</v>
      </c>
      <c r="D990" s="22" t="s">
        <v>24</v>
      </c>
      <c r="E990" s="22" t="s">
        <v>33</v>
      </c>
      <c r="F990" s="22" t="s">
        <v>15</v>
      </c>
      <c r="G990" s="22" t="s">
        <v>41</v>
      </c>
      <c r="H990" s="22">
        <v>59</v>
      </c>
      <c r="I990" s="24">
        <v>34292</v>
      </c>
      <c r="J990" s="27">
        <v>855</v>
      </c>
      <c r="K990" s="25">
        <v>0</v>
      </c>
      <c r="L990" s="22" t="s">
        <v>17</v>
      </c>
      <c r="M990" s="23" t="s">
        <v>18</v>
      </c>
    </row>
    <row r="991" spans="1:13" x14ac:dyDescent="0.35">
      <c r="A991" s="22" t="s">
        <v>1086</v>
      </c>
      <c r="B991" s="22" t="s">
        <v>2058</v>
      </c>
      <c r="C991" s="22" t="s">
        <v>58</v>
      </c>
      <c r="D991" s="22" t="s">
        <v>28</v>
      </c>
      <c r="E991" s="22" t="s">
        <v>33</v>
      </c>
      <c r="F991" s="22" t="s">
        <v>25</v>
      </c>
      <c r="G991" s="22" t="s">
        <v>44</v>
      </c>
      <c r="H991" s="22">
        <v>34</v>
      </c>
      <c r="I991" s="24">
        <v>44252</v>
      </c>
      <c r="J991" s="27">
        <v>872</v>
      </c>
      <c r="K991" s="25">
        <v>0</v>
      </c>
      <c r="L991" s="22" t="s">
        <v>45</v>
      </c>
      <c r="M991" s="23" t="s">
        <v>46</v>
      </c>
    </row>
    <row r="992" spans="1:13" x14ac:dyDescent="0.35">
      <c r="A992" s="22" t="s">
        <v>257</v>
      </c>
      <c r="B992" s="22" t="s">
        <v>2059</v>
      </c>
      <c r="C992" s="22" t="s">
        <v>74</v>
      </c>
      <c r="D992" s="22" t="s">
        <v>43</v>
      </c>
      <c r="E992" s="22" t="s">
        <v>29</v>
      </c>
      <c r="F992" s="22" t="s">
        <v>15</v>
      </c>
      <c r="G992" s="22" t="s">
        <v>41</v>
      </c>
      <c r="H992" s="22">
        <v>45</v>
      </c>
      <c r="I992" s="24">
        <v>37613</v>
      </c>
      <c r="J992" s="27">
        <v>828</v>
      </c>
      <c r="K992" s="25">
        <v>0</v>
      </c>
      <c r="L992" s="22" t="s">
        <v>17</v>
      </c>
      <c r="M992" s="23" t="s">
        <v>35</v>
      </c>
    </row>
    <row r="993" spans="1:13" x14ac:dyDescent="0.35">
      <c r="A993" s="22" t="s">
        <v>1087</v>
      </c>
      <c r="B993" s="22" t="s">
        <v>2060</v>
      </c>
      <c r="C993" s="22" t="s">
        <v>57</v>
      </c>
      <c r="D993" s="22" t="s">
        <v>43</v>
      </c>
      <c r="E993" s="22" t="s">
        <v>14</v>
      </c>
      <c r="F993" s="22" t="s">
        <v>25</v>
      </c>
      <c r="G993" s="22" t="s">
        <v>21</v>
      </c>
      <c r="H993" s="22">
        <v>35</v>
      </c>
      <c r="I993" s="24">
        <v>44341</v>
      </c>
      <c r="J993" s="27">
        <v>581</v>
      </c>
      <c r="K993" s="25">
        <v>0</v>
      </c>
      <c r="L993" s="22" t="s">
        <v>17</v>
      </c>
      <c r="M993" s="23" t="s">
        <v>26</v>
      </c>
    </row>
    <row r="994" spans="1:13" x14ac:dyDescent="0.35">
      <c r="A994" s="22" t="s">
        <v>1088</v>
      </c>
      <c r="B994" s="22" t="s">
        <v>2061</v>
      </c>
      <c r="C994" s="22" t="s">
        <v>12</v>
      </c>
      <c r="D994" s="22" t="s">
        <v>39</v>
      </c>
      <c r="E994" s="22" t="s">
        <v>1102</v>
      </c>
      <c r="F994" s="22" t="s">
        <v>15</v>
      </c>
      <c r="G994" s="22" t="s">
        <v>21</v>
      </c>
      <c r="H994" s="22">
        <v>42</v>
      </c>
      <c r="I994" s="24">
        <v>41904</v>
      </c>
      <c r="J994" s="27">
        <v>808</v>
      </c>
      <c r="K994" s="25">
        <v>0.31</v>
      </c>
      <c r="L994" s="22" t="s">
        <v>17</v>
      </c>
      <c r="M994" s="23" t="s">
        <v>22</v>
      </c>
    </row>
    <row r="995" spans="1:13" x14ac:dyDescent="0.35">
      <c r="A995" s="22" t="s">
        <v>1089</v>
      </c>
      <c r="B995" s="22" t="s">
        <v>2062</v>
      </c>
      <c r="C995" s="22" t="s">
        <v>1111</v>
      </c>
      <c r="D995" s="22" t="s">
        <v>13</v>
      </c>
      <c r="E995" s="22" t="s">
        <v>1102</v>
      </c>
      <c r="F995" s="22" t="s">
        <v>25</v>
      </c>
      <c r="G995" s="22" t="s">
        <v>21</v>
      </c>
      <c r="H995" s="22">
        <v>38</v>
      </c>
      <c r="I995" s="24">
        <v>41210</v>
      </c>
      <c r="J995" s="27">
        <v>605</v>
      </c>
      <c r="K995" s="25">
        <v>0.12</v>
      </c>
      <c r="L995" s="22" t="s">
        <v>17</v>
      </c>
      <c r="M995" s="23" t="s">
        <v>54</v>
      </c>
    </row>
    <row r="996" spans="1:13" x14ac:dyDescent="0.35">
      <c r="A996" s="22" t="s">
        <v>1090</v>
      </c>
      <c r="B996" s="22" t="s">
        <v>2063</v>
      </c>
      <c r="C996" s="22" t="s">
        <v>12</v>
      </c>
      <c r="D996" s="22" t="s">
        <v>28</v>
      </c>
      <c r="E996" s="22" t="s">
        <v>1102</v>
      </c>
      <c r="F996" s="22" t="s">
        <v>25</v>
      </c>
      <c r="G996" s="22" t="s">
        <v>21</v>
      </c>
      <c r="H996" s="22">
        <v>46</v>
      </c>
      <c r="I996" s="24">
        <v>39322</v>
      </c>
      <c r="J996" s="27">
        <v>783</v>
      </c>
      <c r="K996" s="25">
        <v>0.36</v>
      </c>
      <c r="L996" s="22" t="s">
        <v>17</v>
      </c>
      <c r="M996" s="23" t="s">
        <v>35</v>
      </c>
    </row>
    <row r="997" spans="1:13" x14ac:dyDescent="0.35">
      <c r="A997" s="22" t="s">
        <v>1091</v>
      </c>
      <c r="B997" s="22" t="s">
        <v>2064</v>
      </c>
      <c r="C997" s="22" t="s">
        <v>59</v>
      </c>
      <c r="D997" s="22" t="s">
        <v>24</v>
      </c>
      <c r="E997" s="22" t="s">
        <v>1102</v>
      </c>
      <c r="F997" s="22" t="s">
        <v>15</v>
      </c>
      <c r="G997" s="22" t="s">
        <v>44</v>
      </c>
      <c r="H997" s="22">
        <v>48</v>
      </c>
      <c r="I997" s="24">
        <v>41241</v>
      </c>
      <c r="J997" s="27">
        <v>520</v>
      </c>
      <c r="K997" s="25">
        <v>0</v>
      </c>
      <c r="L997" s="22" t="s">
        <v>45</v>
      </c>
      <c r="M997" s="23" t="s">
        <v>1134</v>
      </c>
    </row>
    <row r="998" spans="1:13" x14ac:dyDescent="0.35">
      <c r="A998" s="22" t="s">
        <v>1092</v>
      </c>
      <c r="B998" s="22" t="s">
        <v>2065</v>
      </c>
      <c r="C998" s="22" t="s">
        <v>57</v>
      </c>
      <c r="D998" s="22" t="s">
        <v>13</v>
      </c>
      <c r="E998" s="22" t="s">
        <v>29</v>
      </c>
      <c r="F998" s="22" t="s">
        <v>15</v>
      </c>
      <c r="G998" s="22" t="s">
        <v>21</v>
      </c>
      <c r="H998" s="22">
        <v>63</v>
      </c>
      <c r="I998" s="24">
        <v>40342</v>
      </c>
      <c r="J998" s="27">
        <v>527</v>
      </c>
      <c r="K998" s="25">
        <v>0</v>
      </c>
      <c r="L998" s="22" t="s">
        <v>17</v>
      </c>
      <c r="M998" s="23" t="s">
        <v>54</v>
      </c>
    </row>
    <row r="999" spans="1:13" x14ac:dyDescent="0.35">
      <c r="A999" s="22" t="s">
        <v>1093</v>
      </c>
      <c r="B999" s="22" t="s">
        <v>2066</v>
      </c>
      <c r="C999" s="22" t="s">
        <v>42</v>
      </c>
      <c r="D999" s="22" t="s">
        <v>43</v>
      </c>
      <c r="E999" s="22" t="s">
        <v>14</v>
      </c>
      <c r="F999" s="22" t="s">
        <v>15</v>
      </c>
      <c r="G999" s="22" t="s">
        <v>21</v>
      </c>
      <c r="H999" s="22">
        <v>31</v>
      </c>
      <c r="I999" s="24">
        <v>43339</v>
      </c>
      <c r="J999" s="27">
        <v>948</v>
      </c>
      <c r="K999" s="25">
        <v>0</v>
      </c>
      <c r="L999" s="22" t="s">
        <v>17</v>
      </c>
      <c r="M999" s="23" t="s">
        <v>40</v>
      </c>
    </row>
    <row r="1000" spans="1:13" x14ac:dyDescent="0.35">
      <c r="A1000" s="22" t="s">
        <v>116</v>
      </c>
      <c r="B1000" s="22" t="s">
        <v>2067</v>
      </c>
      <c r="C1000" s="22" t="s">
        <v>69</v>
      </c>
      <c r="D1000" s="22" t="s">
        <v>28</v>
      </c>
      <c r="E1000" s="22" t="s">
        <v>33</v>
      </c>
      <c r="F1000" s="22" t="s">
        <v>25</v>
      </c>
      <c r="G1000" s="22" t="s">
        <v>21</v>
      </c>
      <c r="H1000" s="22">
        <v>52</v>
      </c>
      <c r="I1000" s="24">
        <v>44883</v>
      </c>
      <c r="J1000" s="27">
        <v>514</v>
      </c>
      <c r="K1000" s="25">
        <v>0</v>
      </c>
      <c r="L1000" s="22" t="s">
        <v>17</v>
      </c>
      <c r="M1000" s="23" t="s">
        <v>54</v>
      </c>
    </row>
    <row r="1001" spans="1:13" x14ac:dyDescent="0.35">
      <c r="A1001" s="22" t="s">
        <v>1094</v>
      </c>
      <c r="B1001" s="22" t="s">
        <v>2068</v>
      </c>
      <c r="C1001" s="22" t="s">
        <v>74</v>
      </c>
      <c r="D1001" s="22" t="s">
        <v>43</v>
      </c>
      <c r="E1001" s="22" t="s">
        <v>29</v>
      </c>
      <c r="F1001" s="22" t="s">
        <v>15</v>
      </c>
      <c r="G1001" s="22" t="s">
        <v>41</v>
      </c>
      <c r="H1001" s="22">
        <v>27</v>
      </c>
      <c r="I1001" s="24">
        <v>44235</v>
      </c>
      <c r="J1001" s="27">
        <v>611</v>
      </c>
      <c r="K1001" s="25">
        <v>0</v>
      </c>
      <c r="L1001" s="22" t="s">
        <v>17</v>
      </c>
      <c r="M1001" s="23" t="s">
        <v>54</v>
      </c>
    </row>
    <row r="1002" spans="1:13" x14ac:dyDescent="0.35">
      <c r="J1002" s="28"/>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4B1B-458C-4144-82C2-DA4A465ED5DF}">
  <dimension ref="A1:M1002"/>
  <sheetViews>
    <sheetView tabSelected="1" zoomScale="70" zoomScaleNormal="70" workbookViewId="0">
      <pane ySplit="1" topLeftCell="A2" activePane="bottomLeft" state="frozen"/>
      <selection activeCell="F1" sqref="F1"/>
      <selection pane="bottomLeft" activeCell="R20" sqref="R20"/>
    </sheetView>
  </sheetViews>
  <sheetFormatPr defaultRowHeight="14.5" x14ac:dyDescent="0.35"/>
  <cols>
    <col min="1" max="1" width="16.7265625" bestFit="1" customWidth="1"/>
    <col min="2" max="2" width="22.26953125" bestFit="1" customWidth="1"/>
    <col min="3" max="3" width="27.7265625" bestFit="1" customWidth="1"/>
    <col min="4" max="4" width="16.81640625" bestFit="1" customWidth="1"/>
    <col min="5" max="5" width="23.81640625" bestFit="1" customWidth="1"/>
    <col min="6" max="6" width="10" bestFit="1" customWidth="1"/>
    <col min="7" max="7" width="11" bestFit="1" customWidth="1"/>
    <col min="8" max="8" width="6.7265625" bestFit="1" customWidth="1"/>
    <col min="9" max="9" width="11.54296875" bestFit="1" customWidth="1"/>
    <col min="10" max="10" width="15.453125" bestFit="1" customWidth="1"/>
    <col min="11" max="11" width="10.7265625" bestFit="1" customWidth="1"/>
    <col min="12" max="12" width="12.81640625" bestFit="1" customWidth="1"/>
    <col min="13" max="13" width="13.54296875" bestFit="1" customWidth="1"/>
    <col min="14" max="14" width="11.1796875" bestFit="1" customWidth="1"/>
    <col min="18" max="18" width="11" bestFit="1" customWidth="1"/>
    <col min="19" max="19" width="6.26953125" bestFit="1" customWidth="1"/>
    <col min="20" max="20" width="8.1796875" bestFit="1" customWidth="1"/>
    <col min="21" max="21" width="16.1796875" bestFit="1" customWidth="1"/>
  </cols>
  <sheetData>
    <row r="1" spans="1:13" s="1" customFormat="1" x14ac:dyDescent="0.35">
      <c r="A1" s="29" t="s">
        <v>2069</v>
      </c>
      <c r="B1" s="30" t="s">
        <v>0</v>
      </c>
      <c r="C1" s="30" t="s">
        <v>1</v>
      </c>
      <c r="D1" s="30" t="s">
        <v>2</v>
      </c>
      <c r="E1" s="30" t="s">
        <v>3</v>
      </c>
      <c r="F1" s="30" t="s">
        <v>4</v>
      </c>
      <c r="G1" s="30" t="s">
        <v>5</v>
      </c>
      <c r="H1" s="30" t="s">
        <v>6</v>
      </c>
      <c r="I1" s="30" t="s">
        <v>7</v>
      </c>
      <c r="J1" s="30" t="s">
        <v>8</v>
      </c>
      <c r="K1" s="30" t="s">
        <v>9</v>
      </c>
      <c r="L1" s="30" t="s">
        <v>10</v>
      </c>
      <c r="M1" s="31" t="s">
        <v>11</v>
      </c>
    </row>
    <row r="2" spans="1:13" x14ac:dyDescent="0.35">
      <c r="A2" s="22" t="s">
        <v>283</v>
      </c>
      <c r="B2" s="22" t="s">
        <v>1095</v>
      </c>
      <c r="C2" s="22" t="s">
        <v>69</v>
      </c>
      <c r="D2" s="22" t="s">
        <v>28</v>
      </c>
      <c r="E2" s="22" t="s">
        <v>33</v>
      </c>
      <c r="F2" s="22" t="s">
        <v>25</v>
      </c>
      <c r="G2" s="22" t="s">
        <v>21</v>
      </c>
      <c r="H2" s="22">
        <v>47</v>
      </c>
      <c r="I2" s="24">
        <v>44597</v>
      </c>
      <c r="J2" s="27">
        <v>751</v>
      </c>
      <c r="K2" s="25">
        <v>0</v>
      </c>
      <c r="L2" s="22" t="s">
        <v>17</v>
      </c>
      <c r="M2" s="23" t="s">
        <v>26</v>
      </c>
    </row>
    <row r="3" spans="1:13" x14ac:dyDescent="0.35">
      <c r="A3" s="22" t="s">
        <v>284</v>
      </c>
      <c r="B3" s="22" t="s">
        <v>1096</v>
      </c>
      <c r="C3" s="22" t="s">
        <v>57</v>
      </c>
      <c r="D3" s="22" t="s">
        <v>43</v>
      </c>
      <c r="E3" s="22" t="s">
        <v>29</v>
      </c>
      <c r="F3" s="22" t="s">
        <v>25</v>
      </c>
      <c r="G3" s="22" t="s">
        <v>21</v>
      </c>
      <c r="H3" s="22">
        <v>58</v>
      </c>
      <c r="I3" s="24">
        <v>41570</v>
      </c>
      <c r="J3" s="27">
        <v>781</v>
      </c>
      <c r="K3" s="25">
        <v>0</v>
      </c>
      <c r="L3" s="22" t="s">
        <v>17</v>
      </c>
      <c r="M3" s="23" t="s">
        <v>18</v>
      </c>
    </row>
    <row r="4" spans="1:13" x14ac:dyDescent="0.35">
      <c r="A4" s="22" t="s">
        <v>285</v>
      </c>
      <c r="B4" s="22" t="s">
        <v>1097</v>
      </c>
      <c r="C4" s="22" t="s">
        <v>72</v>
      </c>
      <c r="D4" s="22" t="s">
        <v>24</v>
      </c>
      <c r="E4" s="22" t="s">
        <v>14</v>
      </c>
      <c r="F4" s="22" t="s">
        <v>25</v>
      </c>
      <c r="G4" s="22" t="s">
        <v>21</v>
      </c>
      <c r="H4" s="22">
        <v>34</v>
      </c>
      <c r="I4" s="24">
        <v>43548</v>
      </c>
      <c r="J4" s="27">
        <v>884</v>
      </c>
      <c r="K4" s="25">
        <v>0</v>
      </c>
      <c r="L4" s="22" t="s">
        <v>30</v>
      </c>
      <c r="M4" s="23" t="s">
        <v>61</v>
      </c>
    </row>
    <row r="5" spans="1:13" x14ac:dyDescent="0.35">
      <c r="A5" s="22" t="s">
        <v>252</v>
      </c>
      <c r="B5" s="22" t="s">
        <v>1098</v>
      </c>
      <c r="C5" s="22" t="s">
        <v>73</v>
      </c>
      <c r="D5" s="22" t="s">
        <v>24</v>
      </c>
      <c r="E5" s="22" t="s">
        <v>29</v>
      </c>
      <c r="F5" s="22" t="s">
        <v>15</v>
      </c>
      <c r="G5" s="22" t="s">
        <v>44</v>
      </c>
      <c r="H5" s="22">
        <v>39</v>
      </c>
      <c r="I5" s="24">
        <v>43197</v>
      </c>
      <c r="J5" s="27">
        <v>764</v>
      </c>
      <c r="K5" s="25">
        <v>0</v>
      </c>
      <c r="L5" s="22" t="s">
        <v>17</v>
      </c>
      <c r="M5" s="23" t="s">
        <v>54</v>
      </c>
    </row>
    <row r="6" spans="1:13" x14ac:dyDescent="0.35">
      <c r="A6" s="22" t="s">
        <v>286</v>
      </c>
      <c r="B6" s="22" t="s">
        <v>1099</v>
      </c>
      <c r="C6" s="22" t="s">
        <v>36</v>
      </c>
      <c r="D6" s="22" t="s">
        <v>28</v>
      </c>
      <c r="E6" s="22" t="s">
        <v>29</v>
      </c>
      <c r="F6" s="22" t="s">
        <v>15</v>
      </c>
      <c r="G6" s="22" t="s">
        <v>44</v>
      </c>
      <c r="H6" s="22">
        <v>42</v>
      </c>
      <c r="I6" s="24">
        <v>38521</v>
      </c>
      <c r="J6" s="27">
        <v>671</v>
      </c>
      <c r="K6" s="25">
        <v>0.24</v>
      </c>
      <c r="L6" s="22" t="s">
        <v>17</v>
      </c>
      <c r="M6" s="23" t="s">
        <v>22</v>
      </c>
    </row>
    <row r="7" spans="1:13" x14ac:dyDescent="0.35">
      <c r="A7" s="22" t="s">
        <v>287</v>
      </c>
      <c r="B7" s="22" t="s">
        <v>1100</v>
      </c>
      <c r="C7" s="22" t="s">
        <v>72</v>
      </c>
      <c r="D7" s="22" t="s">
        <v>24</v>
      </c>
      <c r="E7" s="22" t="s">
        <v>33</v>
      </c>
      <c r="F7" s="22" t="s">
        <v>25</v>
      </c>
      <c r="G7" s="22" t="s">
        <v>21</v>
      </c>
      <c r="H7" s="22">
        <v>62</v>
      </c>
      <c r="I7" s="24">
        <v>38099</v>
      </c>
      <c r="J7" s="27">
        <v>746</v>
      </c>
      <c r="K7" s="25">
        <v>0</v>
      </c>
      <c r="L7" s="22" t="s">
        <v>17</v>
      </c>
      <c r="M7" s="23" t="s">
        <v>35</v>
      </c>
    </row>
    <row r="8" spans="1:13" x14ac:dyDescent="0.35">
      <c r="A8" s="22" t="s">
        <v>288</v>
      </c>
      <c r="B8" s="22" t="s">
        <v>1101</v>
      </c>
      <c r="C8" s="22" t="s">
        <v>38</v>
      </c>
      <c r="D8" s="22" t="s">
        <v>56</v>
      </c>
      <c r="E8" s="22" t="s">
        <v>1102</v>
      </c>
      <c r="F8" s="22" t="s">
        <v>15</v>
      </c>
      <c r="G8" s="22" t="s">
        <v>21</v>
      </c>
      <c r="H8" s="22">
        <v>58</v>
      </c>
      <c r="I8" s="24">
        <v>39991</v>
      </c>
      <c r="J8" s="27">
        <v>787</v>
      </c>
      <c r="K8" s="25">
        <v>0</v>
      </c>
      <c r="L8" s="22" t="s">
        <v>30</v>
      </c>
      <c r="M8" s="23" t="s">
        <v>65</v>
      </c>
    </row>
    <row r="9" spans="1:13" x14ac:dyDescent="0.35">
      <c r="A9" s="22" t="s">
        <v>289</v>
      </c>
      <c r="B9" s="22" t="s">
        <v>1103</v>
      </c>
      <c r="C9" s="22" t="s">
        <v>55</v>
      </c>
      <c r="D9" s="22" t="s">
        <v>13</v>
      </c>
      <c r="E9" s="22" t="s">
        <v>29</v>
      </c>
      <c r="F9" s="22" t="s">
        <v>25</v>
      </c>
      <c r="G9" s="22" t="s">
        <v>21</v>
      </c>
      <c r="H9" s="22">
        <v>62</v>
      </c>
      <c r="I9" s="24">
        <v>36210</v>
      </c>
      <c r="J9" s="27">
        <v>755</v>
      </c>
      <c r="K9" s="25">
        <v>0</v>
      </c>
      <c r="L9" s="22" t="s">
        <v>30</v>
      </c>
      <c r="M9" s="23" t="s">
        <v>31</v>
      </c>
    </row>
    <row r="10" spans="1:13" x14ac:dyDescent="0.35">
      <c r="A10" s="22" t="s">
        <v>290</v>
      </c>
      <c r="B10" s="22" t="s">
        <v>1104</v>
      </c>
      <c r="C10" s="22" t="s">
        <v>77</v>
      </c>
      <c r="D10" s="22" t="s">
        <v>24</v>
      </c>
      <c r="E10" s="22" t="s">
        <v>33</v>
      </c>
      <c r="F10" s="22" t="s">
        <v>15</v>
      </c>
      <c r="G10" s="22" t="s">
        <v>16</v>
      </c>
      <c r="H10" s="22">
        <v>38</v>
      </c>
      <c r="I10" s="24">
        <v>40795</v>
      </c>
      <c r="J10" s="27">
        <v>939</v>
      </c>
      <c r="K10" s="25">
        <v>0</v>
      </c>
      <c r="L10" s="22" t="s">
        <v>17</v>
      </c>
      <c r="M10" s="23" t="s">
        <v>54</v>
      </c>
    </row>
    <row r="11" spans="1:13" x14ac:dyDescent="0.35">
      <c r="A11" s="22" t="s">
        <v>291</v>
      </c>
      <c r="B11" s="22" t="s">
        <v>1105</v>
      </c>
      <c r="C11" s="22" t="s">
        <v>53</v>
      </c>
      <c r="D11" s="22" t="s">
        <v>13</v>
      </c>
      <c r="E11" s="22" t="s">
        <v>1102</v>
      </c>
      <c r="F11" s="22" t="s">
        <v>25</v>
      </c>
      <c r="G11" s="22" t="s">
        <v>16</v>
      </c>
      <c r="H11" s="22">
        <v>52</v>
      </c>
      <c r="I11" s="24">
        <v>42040</v>
      </c>
      <c r="J11" s="27">
        <v>653</v>
      </c>
      <c r="K11" s="25">
        <v>0.1</v>
      </c>
      <c r="L11" s="22" t="s">
        <v>17</v>
      </c>
      <c r="M11" s="23" t="s">
        <v>40</v>
      </c>
    </row>
    <row r="12" spans="1:13" x14ac:dyDescent="0.35">
      <c r="A12" s="22" t="s">
        <v>226</v>
      </c>
      <c r="B12" s="22" t="s">
        <v>1106</v>
      </c>
      <c r="C12" s="22" t="s">
        <v>62</v>
      </c>
      <c r="D12" s="22" t="s">
        <v>24</v>
      </c>
      <c r="E12" s="22" t="s">
        <v>33</v>
      </c>
      <c r="F12" s="22" t="s">
        <v>25</v>
      </c>
      <c r="G12" s="22" t="s">
        <v>44</v>
      </c>
      <c r="H12" s="22">
        <v>49</v>
      </c>
      <c r="I12" s="24">
        <v>37906</v>
      </c>
      <c r="J12" s="27">
        <v>939</v>
      </c>
      <c r="K12" s="25">
        <v>0</v>
      </c>
      <c r="L12" s="22" t="s">
        <v>17</v>
      </c>
      <c r="M12" s="23" t="s">
        <v>40</v>
      </c>
    </row>
    <row r="13" spans="1:13" x14ac:dyDescent="0.35">
      <c r="A13" s="22" t="s">
        <v>292</v>
      </c>
      <c r="B13" s="22" t="s">
        <v>1107</v>
      </c>
      <c r="C13" s="22" t="s">
        <v>38</v>
      </c>
      <c r="D13" s="22" t="s">
        <v>13</v>
      </c>
      <c r="E13" s="22" t="s">
        <v>1102</v>
      </c>
      <c r="F13" s="22" t="s">
        <v>15</v>
      </c>
      <c r="G13" s="22" t="s">
        <v>21</v>
      </c>
      <c r="H13" s="22">
        <v>63</v>
      </c>
      <c r="I13" s="24">
        <v>41854</v>
      </c>
      <c r="J13" s="27">
        <v>606</v>
      </c>
      <c r="K13" s="25">
        <v>0</v>
      </c>
      <c r="L13" s="22" t="s">
        <v>17</v>
      </c>
      <c r="M13" s="23" t="s">
        <v>35</v>
      </c>
    </row>
    <row r="14" spans="1:13" x14ac:dyDescent="0.35">
      <c r="A14" s="22" t="s">
        <v>293</v>
      </c>
      <c r="B14" s="22" t="s">
        <v>1108</v>
      </c>
      <c r="C14" s="22" t="s">
        <v>36</v>
      </c>
      <c r="D14" s="22" t="s">
        <v>24</v>
      </c>
      <c r="E14" s="22" t="s">
        <v>33</v>
      </c>
      <c r="F14" s="22" t="s">
        <v>25</v>
      </c>
      <c r="G14" s="22" t="s">
        <v>21</v>
      </c>
      <c r="H14" s="22">
        <v>45</v>
      </c>
      <c r="I14" s="24">
        <v>43054</v>
      </c>
      <c r="J14" s="27">
        <v>975</v>
      </c>
      <c r="K14" s="25">
        <v>0.23</v>
      </c>
      <c r="L14" s="22" t="s">
        <v>30</v>
      </c>
      <c r="M14" s="23" t="s">
        <v>65</v>
      </c>
    </row>
    <row r="15" spans="1:13" x14ac:dyDescent="0.35">
      <c r="A15" s="22" t="s">
        <v>294</v>
      </c>
      <c r="B15" s="22" t="s">
        <v>1109</v>
      </c>
      <c r="C15" s="22" t="s">
        <v>53</v>
      </c>
      <c r="D15" s="22" t="s">
        <v>39</v>
      </c>
      <c r="E15" s="22" t="s">
        <v>29</v>
      </c>
      <c r="F15" s="22" t="s">
        <v>25</v>
      </c>
      <c r="G15" s="22" t="s">
        <v>16</v>
      </c>
      <c r="H15" s="22">
        <v>36</v>
      </c>
      <c r="I15" s="24">
        <v>43303</v>
      </c>
      <c r="J15" s="27">
        <v>849</v>
      </c>
      <c r="K15" s="25">
        <v>0.08</v>
      </c>
      <c r="L15" s="22" t="s">
        <v>17</v>
      </c>
      <c r="M15" s="23" t="s">
        <v>40</v>
      </c>
    </row>
    <row r="16" spans="1:13" x14ac:dyDescent="0.35">
      <c r="A16" s="22" t="s">
        <v>295</v>
      </c>
      <c r="B16" s="22" t="s">
        <v>1110</v>
      </c>
      <c r="C16" s="22" t="s">
        <v>1111</v>
      </c>
      <c r="D16" s="22" t="s">
        <v>39</v>
      </c>
      <c r="E16" s="22" t="s">
        <v>29</v>
      </c>
      <c r="F16" s="22" t="s">
        <v>25</v>
      </c>
      <c r="G16" s="22" t="s">
        <v>41</v>
      </c>
      <c r="H16" s="22">
        <v>42</v>
      </c>
      <c r="I16" s="24">
        <v>44279</v>
      </c>
      <c r="J16" s="27">
        <v>666</v>
      </c>
      <c r="K16" s="25">
        <v>0.15</v>
      </c>
      <c r="L16" s="22" t="s">
        <v>17</v>
      </c>
      <c r="M16" s="23" t="s">
        <v>35</v>
      </c>
    </row>
    <row r="17" spans="1:13" x14ac:dyDescent="0.35">
      <c r="A17" s="22" t="s">
        <v>148</v>
      </c>
      <c r="B17" s="22" t="s">
        <v>1112</v>
      </c>
      <c r="C17" s="22" t="s">
        <v>73</v>
      </c>
      <c r="D17" s="22" t="s">
        <v>24</v>
      </c>
      <c r="E17" s="22" t="s">
        <v>29</v>
      </c>
      <c r="F17" s="22" t="s">
        <v>15</v>
      </c>
      <c r="G17" s="22" t="s">
        <v>21</v>
      </c>
      <c r="H17" s="22">
        <v>62</v>
      </c>
      <c r="I17" s="24">
        <v>35637</v>
      </c>
      <c r="J17" s="27">
        <v>912</v>
      </c>
      <c r="K17" s="25">
        <v>0</v>
      </c>
      <c r="L17" s="22" t="s">
        <v>17</v>
      </c>
      <c r="M17" s="23" t="s">
        <v>40</v>
      </c>
    </row>
    <row r="18" spans="1:13" x14ac:dyDescent="0.35">
      <c r="A18" s="22" t="s">
        <v>296</v>
      </c>
      <c r="B18" s="22" t="s">
        <v>1113</v>
      </c>
      <c r="C18" s="22" t="s">
        <v>12</v>
      </c>
      <c r="D18" s="22" t="s">
        <v>28</v>
      </c>
      <c r="E18" s="22" t="s">
        <v>1102</v>
      </c>
      <c r="F18" s="22" t="s">
        <v>15</v>
      </c>
      <c r="G18" s="22" t="s">
        <v>21</v>
      </c>
      <c r="H18" s="22">
        <v>45</v>
      </c>
      <c r="I18" s="24">
        <v>40395</v>
      </c>
      <c r="J18" s="27">
        <v>842</v>
      </c>
      <c r="K18" s="25">
        <v>0.33</v>
      </c>
      <c r="L18" s="22" t="s">
        <v>30</v>
      </c>
      <c r="M18" s="23" t="s">
        <v>31</v>
      </c>
    </row>
    <row r="19" spans="1:13" x14ac:dyDescent="0.35">
      <c r="A19" s="22" t="s">
        <v>297</v>
      </c>
      <c r="B19" s="22" t="s">
        <v>1114</v>
      </c>
      <c r="C19" s="22" t="s">
        <v>57</v>
      </c>
      <c r="D19" s="22" t="s">
        <v>43</v>
      </c>
      <c r="E19" s="22" t="s">
        <v>1102</v>
      </c>
      <c r="F19" s="22" t="s">
        <v>15</v>
      </c>
      <c r="G19" s="22" t="s">
        <v>21</v>
      </c>
      <c r="H19" s="22">
        <v>61</v>
      </c>
      <c r="I19" s="24">
        <v>43527</v>
      </c>
      <c r="J19" s="27">
        <v>735</v>
      </c>
      <c r="K19" s="25">
        <v>0</v>
      </c>
      <c r="L19" s="22" t="s">
        <v>30</v>
      </c>
      <c r="M19" s="23" t="s">
        <v>65</v>
      </c>
    </row>
    <row r="20" spans="1:13" x14ac:dyDescent="0.35">
      <c r="A20" s="22" t="s">
        <v>298</v>
      </c>
      <c r="B20" s="22" t="s">
        <v>1115</v>
      </c>
      <c r="C20" s="22" t="s">
        <v>67</v>
      </c>
      <c r="D20" s="22" t="s">
        <v>24</v>
      </c>
      <c r="E20" s="22" t="s">
        <v>1102</v>
      </c>
      <c r="F20" s="22" t="s">
        <v>25</v>
      </c>
      <c r="G20" s="22" t="s">
        <v>21</v>
      </c>
      <c r="H20" s="22">
        <v>29</v>
      </c>
      <c r="I20" s="24">
        <v>43050</v>
      </c>
      <c r="J20" s="27">
        <v>773</v>
      </c>
      <c r="K20" s="25">
        <v>0</v>
      </c>
      <c r="L20" s="22" t="s">
        <v>17</v>
      </c>
      <c r="M20" s="23" t="s">
        <v>54</v>
      </c>
    </row>
    <row r="21" spans="1:13" x14ac:dyDescent="0.35">
      <c r="A21" s="22" t="s">
        <v>299</v>
      </c>
      <c r="B21" s="22" t="s">
        <v>1116</v>
      </c>
      <c r="C21" s="22" t="s">
        <v>53</v>
      </c>
      <c r="D21" s="22" t="s">
        <v>56</v>
      </c>
      <c r="E21" s="22" t="s">
        <v>1102</v>
      </c>
      <c r="F21" s="22" t="s">
        <v>15</v>
      </c>
      <c r="G21" s="22" t="s">
        <v>44</v>
      </c>
      <c r="H21" s="22">
        <v>63</v>
      </c>
      <c r="I21" s="24">
        <v>39852</v>
      </c>
      <c r="J21" s="27">
        <v>815</v>
      </c>
      <c r="K21" s="25">
        <v>0.06</v>
      </c>
      <c r="L21" s="22" t="s">
        <v>17</v>
      </c>
      <c r="M21" s="23" t="s">
        <v>22</v>
      </c>
    </row>
    <row r="22" spans="1:13" x14ac:dyDescent="0.35">
      <c r="A22" s="22" t="s">
        <v>300</v>
      </c>
      <c r="B22" s="22" t="s">
        <v>1117</v>
      </c>
      <c r="C22" s="22" t="s">
        <v>1111</v>
      </c>
      <c r="D22" s="22" t="s">
        <v>56</v>
      </c>
      <c r="E22" s="22" t="s">
        <v>1102</v>
      </c>
      <c r="F22" s="22" t="s">
        <v>25</v>
      </c>
      <c r="G22" s="22" t="s">
        <v>21</v>
      </c>
      <c r="H22" s="22">
        <v>45</v>
      </c>
      <c r="I22" s="24">
        <v>42324</v>
      </c>
      <c r="J22" s="27">
        <v>926</v>
      </c>
      <c r="K22" s="25">
        <v>0.12</v>
      </c>
      <c r="L22" s="22" t="s">
        <v>17</v>
      </c>
      <c r="M22" s="23" t="s">
        <v>18</v>
      </c>
    </row>
    <row r="23" spans="1:13" x14ac:dyDescent="0.35">
      <c r="A23" s="22" t="s">
        <v>189</v>
      </c>
      <c r="B23" s="22" t="s">
        <v>1118</v>
      </c>
      <c r="C23" s="22" t="s">
        <v>47</v>
      </c>
      <c r="D23" s="22" t="s">
        <v>24</v>
      </c>
      <c r="E23" s="22" t="s">
        <v>14</v>
      </c>
      <c r="F23" s="22" t="s">
        <v>15</v>
      </c>
      <c r="G23" s="22" t="s">
        <v>41</v>
      </c>
      <c r="H23" s="22">
        <v>43</v>
      </c>
      <c r="I23" s="24">
        <v>41500</v>
      </c>
      <c r="J23" s="27">
        <v>848</v>
      </c>
      <c r="K23" s="25">
        <v>0</v>
      </c>
      <c r="L23" s="22" t="s">
        <v>17</v>
      </c>
      <c r="M23" s="23" t="s">
        <v>35</v>
      </c>
    </row>
    <row r="24" spans="1:13" x14ac:dyDescent="0.35">
      <c r="A24" s="22" t="s">
        <v>248</v>
      </c>
      <c r="B24" s="22" t="s">
        <v>1119</v>
      </c>
      <c r="C24" s="22" t="s">
        <v>74</v>
      </c>
      <c r="D24" s="22" t="s">
        <v>43</v>
      </c>
      <c r="E24" s="22" t="s">
        <v>33</v>
      </c>
      <c r="F24" s="22" t="s">
        <v>15</v>
      </c>
      <c r="G24" s="22" t="s">
        <v>21</v>
      </c>
      <c r="H24" s="22">
        <v>31</v>
      </c>
      <c r="I24" s="24">
        <v>43394</v>
      </c>
      <c r="J24" s="27">
        <v>536</v>
      </c>
      <c r="K24" s="25">
        <v>0</v>
      </c>
      <c r="L24" s="22" t="s">
        <v>30</v>
      </c>
      <c r="M24" s="23" t="s">
        <v>61</v>
      </c>
    </row>
    <row r="25" spans="1:13" x14ac:dyDescent="0.35">
      <c r="A25" s="22" t="s">
        <v>301</v>
      </c>
      <c r="B25" s="22" t="s">
        <v>1120</v>
      </c>
      <c r="C25" s="22" t="s">
        <v>12</v>
      </c>
      <c r="D25" s="22" t="s">
        <v>56</v>
      </c>
      <c r="E25" s="22" t="s">
        <v>1102</v>
      </c>
      <c r="F25" s="22" t="s">
        <v>25</v>
      </c>
      <c r="G25" s="22" t="s">
        <v>21</v>
      </c>
      <c r="H25" s="22">
        <v>48</v>
      </c>
      <c r="I25" s="24">
        <v>39050</v>
      </c>
      <c r="J25" s="27">
        <v>891</v>
      </c>
      <c r="K25" s="25">
        <v>0.36</v>
      </c>
      <c r="L25" s="22" t="s">
        <v>30</v>
      </c>
      <c r="M25" s="23" t="s">
        <v>65</v>
      </c>
    </row>
    <row r="26" spans="1:13" x14ac:dyDescent="0.35">
      <c r="A26" s="22" t="s">
        <v>302</v>
      </c>
      <c r="B26" s="22" t="s">
        <v>1121</v>
      </c>
      <c r="C26" s="22" t="s">
        <v>53</v>
      </c>
      <c r="D26" s="22" t="s">
        <v>43</v>
      </c>
      <c r="E26" s="22" t="s">
        <v>1102</v>
      </c>
      <c r="F26" s="22" t="s">
        <v>25</v>
      </c>
      <c r="G26" s="22" t="s">
        <v>16</v>
      </c>
      <c r="H26" s="22">
        <v>55</v>
      </c>
      <c r="I26" s="24">
        <v>35730</v>
      </c>
      <c r="J26" s="27">
        <v>987</v>
      </c>
      <c r="K26" s="25">
        <v>0.06</v>
      </c>
      <c r="L26" s="22" t="s">
        <v>17</v>
      </c>
      <c r="M26" s="23" t="s">
        <v>40</v>
      </c>
    </row>
    <row r="27" spans="1:13" x14ac:dyDescent="0.35">
      <c r="A27" s="22" t="s">
        <v>303</v>
      </c>
      <c r="B27" s="22" t="s">
        <v>1122</v>
      </c>
      <c r="C27" s="22" t="s">
        <v>36</v>
      </c>
      <c r="D27" s="22" t="s">
        <v>56</v>
      </c>
      <c r="E27" s="22" t="s">
        <v>33</v>
      </c>
      <c r="F27" s="22" t="s">
        <v>25</v>
      </c>
      <c r="G27" s="22" t="s">
        <v>21</v>
      </c>
      <c r="H27" s="22">
        <v>64</v>
      </c>
      <c r="I27" s="24">
        <v>38120</v>
      </c>
      <c r="J27" s="27">
        <v>700</v>
      </c>
      <c r="K27" s="25">
        <v>0.22</v>
      </c>
      <c r="L27" s="22" t="s">
        <v>30</v>
      </c>
      <c r="M27" s="23" t="s">
        <v>52</v>
      </c>
    </row>
    <row r="28" spans="1:13" x14ac:dyDescent="0.35">
      <c r="A28" s="22" t="s">
        <v>304</v>
      </c>
      <c r="B28" s="22" t="s">
        <v>1123</v>
      </c>
      <c r="C28" s="22" t="s">
        <v>36</v>
      </c>
      <c r="D28" s="22" t="s">
        <v>39</v>
      </c>
      <c r="E28" s="22" t="s">
        <v>1102</v>
      </c>
      <c r="F28" s="22" t="s">
        <v>25</v>
      </c>
      <c r="G28" s="22" t="s">
        <v>16</v>
      </c>
      <c r="H28" s="22">
        <v>58</v>
      </c>
      <c r="I28" s="24">
        <v>44159</v>
      </c>
      <c r="J28" s="27">
        <v>805</v>
      </c>
      <c r="K28" s="25">
        <v>0.22</v>
      </c>
      <c r="L28" s="22" t="s">
        <v>17</v>
      </c>
      <c r="M28" s="23" t="s">
        <v>54</v>
      </c>
    </row>
    <row r="29" spans="1:13" x14ac:dyDescent="0.35">
      <c r="A29" s="22" t="s">
        <v>305</v>
      </c>
      <c r="B29" s="22" t="s">
        <v>1124</v>
      </c>
      <c r="C29" s="22" t="s">
        <v>53</v>
      </c>
      <c r="D29" s="22" t="s">
        <v>39</v>
      </c>
      <c r="E29" s="22" t="s">
        <v>33</v>
      </c>
      <c r="F29" s="22" t="s">
        <v>15</v>
      </c>
      <c r="G29" s="22" t="s">
        <v>16</v>
      </c>
      <c r="H29" s="22">
        <v>50</v>
      </c>
      <c r="I29" s="24">
        <v>38210</v>
      </c>
      <c r="J29" s="27">
        <v>503</v>
      </c>
      <c r="K29" s="25">
        <v>0.05</v>
      </c>
      <c r="L29" s="22" t="s">
        <v>17</v>
      </c>
      <c r="M29" s="23" t="s">
        <v>54</v>
      </c>
    </row>
    <row r="30" spans="1:13" x14ac:dyDescent="0.35">
      <c r="A30" s="22" t="s">
        <v>306</v>
      </c>
      <c r="B30" s="22" t="s">
        <v>1125</v>
      </c>
      <c r="C30" s="22" t="s">
        <v>1111</v>
      </c>
      <c r="D30" s="22" t="s">
        <v>39</v>
      </c>
      <c r="E30" s="22" t="s">
        <v>29</v>
      </c>
      <c r="F30" s="22" t="s">
        <v>15</v>
      </c>
      <c r="G30" s="22" t="s">
        <v>41</v>
      </c>
      <c r="H30" s="22">
        <v>41</v>
      </c>
      <c r="I30" s="24">
        <v>42868</v>
      </c>
      <c r="J30" s="27">
        <v>511</v>
      </c>
      <c r="K30" s="25">
        <v>0.1</v>
      </c>
      <c r="L30" s="22" t="s">
        <v>17</v>
      </c>
      <c r="M30" s="23" t="s">
        <v>18</v>
      </c>
    </row>
    <row r="31" spans="1:13" x14ac:dyDescent="0.35">
      <c r="A31" s="22" t="s">
        <v>166</v>
      </c>
      <c r="B31" s="22" t="s">
        <v>1126</v>
      </c>
      <c r="C31" s="22" t="s">
        <v>77</v>
      </c>
      <c r="D31" s="22" t="s">
        <v>24</v>
      </c>
      <c r="E31" s="22" t="s">
        <v>1102</v>
      </c>
      <c r="F31" s="22" t="s">
        <v>25</v>
      </c>
      <c r="G31" s="22" t="s">
        <v>21</v>
      </c>
      <c r="H31" s="22">
        <v>50</v>
      </c>
      <c r="I31" s="24">
        <v>37330</v>
      </c>
      <c r="J31" s="27">
        <v>773</v>
      </c>
      <c r="K31" s="25">
        <v>0</v>
      </c>
      <c r="L31" s="22" t="s">
        <v>30</v>
      </c>
      <c r="M31" s="23" t="s">
        <v>61</v>
      </c>
    </row>
    <row r="32" spans="1:13" x14ac:dyDescent="0.35">
      <c r="A32" s="22" t="s">
        <v>307</v>
      </c>
      <c r="B32" s="22" t="s">
        <v>1127</v>
      </c>
      <c r="C32" s="22" t="s">
        <v>12</v>
      </c>
      <c r="D32" s="22" t="s">
        <v>13</v>
      </c>
      <c r="E32" s="22" t="s">
        <v>14</v>
      </c>
      <c r="F32" s="22" t="s">
        <v>15</v>
      </c>
      <c r="G32" s="22" t="s">
        <v>16</v>
      </c>
      <c r="H32" s="22">
        <v>59</v>
      </c>
      <c r="I32" s="24">
        <v>37116</v>
      </c>
      <c r="J32" s="27">
        <v>994</v>
      </c>
      <c r="K32" s="25">
        <v>0.36</v>
      </c>
      <c r="L32" s="22" t="s">
        <v>17</v>
      </c>
      <c r="M32" s="23" t="s">
        <v>35</v>
      </c>
    </row>
    <row r="33" spans="1:13" x14ac:dyDescent="0.35">
      <c r="A33" s="22" t="s">
        <v>112</v>
      </c>
      <c r="B33" s="22" t="s">
        <v>1128</v>
      </c>
      <c r="C33" s="22" t="s">
        <v>38</v>
      </c>
      <c r="D33" s="22" t="s">
        <v>43</v>
      </c>
      <c r="E33" s="22" t="s">
        <v>29</v>
      </c>
      <c r="F33" s="22" t="s">
        <v>25</v>
      </c>
      <c r="G33" s="22" t="s">
        <v>21</v>
      </c>
      <c r="H33" s="22">
        <v>26</v>
      </c>
      <c r="I33" s="24">
        <v>44128</v>
      </c>
      <c r="J33" s="27">
        <v>527</v>
      </c>
      <c r="K33" s="25">
        <v>0</v>
      </c>
      <c r="L33" s="22" t="s">
        <v>30</v>
      </c>
      <c r="M33" s="23" t="s">
        <v>31</v>
      </c>
    </row>
    <row r="34" spans="1:13" x14ac:dyDescent="0.35">
      <c r="A34" s="22" t="s">
        <v>308</v>
      </c>
      <c r="B34" s="22" t="s">
        <v>1129</v>
      </c>
      <c r="C34" s="22" t="s">
        <v>53</v>
      </c>
      <c r="D34" s="22" t="s">
        <v>20</v>
      </c>
      <c r="E34" s="22" t="s">
        <v>1102</v>
      </c>
      <c r="F34" s="22" t="s">
        <v>25</v>
      </c>
      <c r="G34" s="22" t="s">
        <v>44</v>
      </c>
      <c r="H34" s="22">
        <v>55</v>
      </c>
      <c r="I34" s="24">
        <v>43073</v>
      </c>
      <c r="J34" s="27">
        <v>675</v>
      </c>
      <c r="K34" s="25">
        <v>7.0000000000000007E-2</v>
      </c>
      <c r="L34" s="22" t="s">
        <v>17</v>
      </c>
      <c r="M34" s="23" t="s">
        <v>54</v>
      </c>
    </row>
    <row r="35" spans="1:13" x14ac:dyDescent="0.35">
      <c r="A35" s="22" t="s">
        <v>259</v>
      </c>
      <c r="B35" s="22" t="s">
        <v>1130</v>
      </c>
      <c r="C35" s="22" t="s">
        <v>67</v>
      </c>
      <c r="D35" s="22" t="s">
        <v>24</v>
      </c>
      <c r="E35" s="22" t="s">
        <v>29</v>
      </c>
      <c r="F35" s="22" t="s">
        <v>15</v>
      </c>
      <c r="G35" s="22" t="s">
        <v>21</v>
      </c>
      <c r="H35" s="22">
        <v>32</v>
      </c>
      <c r="I35" s="24">
        <v>43111</v>
      </c>
      <c r="J35" s="27">
        <v>986</v>
      </c>
      <c r="K35" s="25">
        <v>0</v>
      </c>
      <c r="L35" s="22" t="s">
        <v>30</v>
      </c>
      <c r="M35" s="23" t="s">
        <v>61</v>
      </c>
    </row>
    <row r="36" spans="1:13" x14ac:dyDescent="0.35">
      <c r="A36" s="22" t="s">
        <v>309</v>
      </c>
      <c r="B36" s="22" t="s">
        <v>1131</v>
      </c>
      <c r="C36" s="22" t="s">
        <v>68</v>
      </c>
      <c r="D36" s="22" t="s">
        <v>20</v>
      </c>
      <c r="E36" s="22" t="s">
        <v>1102</v>
      </c>
      <c r="F36" s="22" t="s">
        <v>25</v>
      </c>
      <c r="G36" s="22" t="s">
        <v>16</v>
      </c>
      <c r="H36" s="22">
        <v>50</v>
      </c>
      <c r="I36" s="24">
        <v>44811</v>
      </c>
      <c r="J36" s="27">
        <v>936</v>
      </c>
      <c r="K36" s="25">
        <v>0</v>
      </c>
      <c r="L36" s="22" t="s">
        <v>17</v>
      </c>
      <c r="M36" s="23" t="s">
        <v>22</v>
      </c>
    </row>
    <row r="37" spans="1:13" x14ac:dyDescent="0.35">
      <c r="A37" s="22" t="s">
        <v>310</v>
      </c>
      <c r="B37" s="22" t="s">
        <v>1132</v>
      </c>
      <c r="C37" s="22" t="s">
        <v>50</v>
      </c>
      <c r="D37" s="22" t="s">
        <v>28</v>
      </c>
      <c r="E37" s="22" t="s">
        <v>1102</v>
      </c>
      <c r="F37" s="22" t="s">
        <v>25</v>
      </c>
      <c r="G37" s="22" t="s">
        <v>44</v>
      </c>
      <c r="H37" s="22">
        <v>54</v>
      </c>
      <c r="I37" s="24">
        <v>40055</v>
      </c>
      <c r="J37" s="27">
        <v>601</v>
      </c>
      <c r="K37" s="25">
        <v>0</v>
      </c>
      <c r="L37" s="22" t="s">
        <v>17</v>
      </c>
      <c r="M37" s="23" t="s">
        <v>35</v>
      </c>
    </row>
    <row r="38" spans="1:13" x14ac:dyDescent="0.35">
      <c r="A38" s="22" t="s">
        <v>180</v>
      </c>
      <c r="B38" s="22" t="s">
        <v>1133</v>
      </c>
      <c r="C38" s="22" t="s">
        <v>1111</v>
      </c>
      <c r="D38" s="22" t="s">
        <v>56</v>
      </c>
      <c r="E38" s="22" t="s">
        <v>29</v>
      </c>
      <c r="F38" s="22" t="s">
        <v>15</v>
      </c>
      <c r="G38" s="22" t="s">
        <v>44</v>
      </c>
      <c r="H38" s="22">
        <v>31</v>
      </c>
      <c r="I38" s="24">
        <v>42270</v>
      </c>
      <c r="J38" s="27">
        <v>765</v>
      </c>
      <c r="K38" s="25">
        <v>0.15</v>
      </c>
      <c r="L38" s="22" t="s">
        <v>45</v>
      </c>
      <c r="M38" s="23" t="s">
        <v>1134</v>
      </c>
    </row>
    <row r="39" spans="1:13" x14ac:dyDescent="0.35">
      <c r="A39" s="22" t="s">
        <v>311</v>
      </c>
      <c r="B39" s="22" t="s">
        <v>1135</v>
      </c>
      <c r="C39" s="22" t="s">
        <v>57</v>
      </c>
      <c r="D39" s="22" t="s">
        <v>39</v>
      </c>
      <c r="E39" s="22" t="s">
        <v>14</v>
      </c>
      <c r="F39" s="22" t="s">
        <v>25</v>
      </c>
      <c r="G39" s="22" t="s">
        <v>16</v>
      </c>
      <c r="H39" s="22">
        <v>47</v>
      </c>
      <c r="I39" s="24">
        <v>42410</v>
      </c>
      <c r="J39" s="27">
        <v>605</v>
      </c>
      <c r="K39" s="25">
        <v>0</v>
      </c>
      <c r="L39" s="22" t="s">
        <v>17</v>
      </c>
      <c r="M39" s="23" t="s">
        <v>22</v>
      </c>
    </row>
    <row r="40" spans="1:13" x14ac:dyDescent="0.35">
      <c r="A40" s="22" t="s">
        <v>312</v>
      </c>
      <c r="B40" s="22" t="s">
        <v>1136</v>
      </c>
      <c r="C40" s="22" t="s">
        <v>38</v>
      </c>
      <c r="D40" s="22" t="s">
        <v>39</v>
      </c>
      <c r="E40" s="22" t="s">
        <v>1102</v>
      </c>
      <c r="F40" s="22" t="s">
        <v>25</v>
      </c>
      <c r="G40" s="22" t="s">
        <v>21</v>
      </c>
      <c r="H40" s="22">
        <v>26</v>
      </c>
      <c r="I40" s="24">
        <v>44597</v>
      </c>
      <c r="J40" s="27">
        <v>699</v>
      </c>
      <c r="K40" s="25">
        <v>0</v>
      </c>
      <c r="L40" s="22" t="s">
        <v>30</v>
      </c>
      <c r="M40" s="23" t="s">
        <v>61</v>
      </c>
    </row>
    <row r="41" spans="1:13" x14ac:dyDescent="0.35">
      <c r="A41" s="22" t="s">
        <v>313</v>
      </c>
      <c r="B41" s="22" t="s">
        <v>1137</v>
      </c>
      <c r="C41" s="22" t="s">
        <v>1111</v>
      </c>
      <c r="D41" s="22" t="s">
        <v>13</v>
      </c>
      <c r="E41" s="22" t="s">
        <v>1102</v>
      </c>
      <c r="F41" s="22" t="s">
        <v>15</v>
      </c>
      <c r="G41" s="22" t="s">
        <v>21</v>
      </c>
      <c r="H41" s="22">
        <v>62</v>
      </c>
      <c r="I41" s="24">
        <v>44513</v>
      </c>
      <c r="J41" s="27">
        <v>674</v>
      </c>
      <c r="K41" s="25">
        <v>0.1</v>
      </c>
      <c r="L41" s="22" t="s">
        <v>17</v>
      </c>
      <c r="M41" s="23" t="s">
        <v>54</v>
      </c>
    </row>
    <row r="42" spans="1:13" x14ac:dyDescent="0.35">
      <c r="A42" s="22" t="s">
        <v>314</v>
      </c>
      <c r="B42" s="22" t="s">
        <v>1138</v>
      </c>
      <c r="C42" s="22" t="s">
        <v>38</v>
      </c>
      <c r="D42" s="22" t="s">
        <v>13</v>
      </c>
      <c r="E42" s="22" t="s">
        <v>14</v>
      </c>
      <c r="F42" s="22" t="s">
        <v>15</v>
      </c>
      <c r="G42" s="22" t="s">
        <v>44</v>
      </c>
      <c r="H42" s="22">
        <v>35</v>
      </c>
      <c r="I42" s="24">
        <v>41005</v>
      </c>
      <c r="J42" s="27">
        <v>811</v>
      </c>
      <c r="K42" s="25">
        <v>0</v>
      </c>
      <c r="L42" s="22" t="s">
        <v>17</v>
      </c>
      <c r="M42" s="23" t="s">
        <v>18</v>
      </c>
    </row>
    <row r="43" spans="1:13" x14ac:dyDescent="0.35">
      <c r="A43" s="22" t="s">
        <v>315</v>
      </c>
      <c r="B43" s="22" t="s">
        <v>1139</v>
      </c>
      <c r="C43" s="22" t="s">
        <v>53</v>
      </c>
      <c r="D43" s="22" t="s">
        <v>56</v>
      </c>
      <c r="E43" s="22" t="s">
        <v>14</v>
      </c>
      <c r="F43" s="22" t="s">
        <v>15</v>
      </c>
      <c r="G43" s="22" t="s">
        <v>16</v>
      </c>
      <c r="H43" s="22">
        <v>48</v>
      </c>
      <c r="I43" s="24">
        <v>36064</v>
      </c>
      <c r="J43" s="27">
        <v>915</v>
      </c>
      <c r="K43" s="25">
        <v>0.09</v>
      </c>
      <c r="L43" s="22" t="s">
        <v>17</v>
      </c>
      <c r="M43" s="23" t="s">
        <v>26</v>
      </c>
    </row>
    <row r="44" spans="1:13" x14ac:dyDescent="0.35">
      <c r="A44" s="22" t="s">
        <v>75</v>
      </c>
      <c r="B44" s="22" t="s">
        <v>1140</v>
      </c>
      <c r="C44" s="22" t="s">
        <v>12</v>
      </c>
      <c r="D44" s="22" t="s">
        <v>56</v>
      </c>
      <c r="E44" s="22" t="s">
        <v>33</v>
      </c>
      <c r="F44" s="22" t="s">
        <v>25</v>
      </c>
      <c r="G44" s="22" t="s">
        <v>21</v>
      </c>
      <c r="H44" s="22">
        <v>35</v>
      </c>
      <c r="I44" s="24">
        <v>44297</v>
      </c>
      <c r="J44" s="27">
        <v>981</v>
      </c>
      <c r="K44" s="25">
        <v>0.32</v>
      </c>
      <c r="L44" s="22" t="s">
        <v>30</v>
      </c>
      <c r="M44" s="23" t="s">
        <v>65</v>
      </c>
    </row>
    <row r="45" spans="1:13" x14ac:dyDescent="0.35">
      <c r="A45" s="22" t="s">
        <v>316</v>
      </c>
      <c r="B45" s="22" t="s">
        <v>1141</v>
      </c>
      <c r="C45" s="22" t="s">
        <v>53</v>
      </c>
      <c r="D45" s="22" t="s">
        <v>56</v>
      </c>
      <c r="E45" s="22" t="s">
        <v>1102</v>
      </c>
      <c r="F45" s="22" t="s">
        <v>15</v>
      </c>
      <c r="G45" s="22" t="s">
        <v>21</v>
      </c>
      <c r="H45" s="22">
        <v>45</v>
      </c>
      <c r="I45" s="24">
        <v>38666</v>
      </c>
      <c r="J45" s="27">
        <v>983</v>
      </c>
      <c r="K45" s="25">
        <v>0.08</v>
      </c>
      <c r="L45" s="22" t="s">
        <v>17</v>
      </c>
      <c r="M45" s="23" t="s">
        <v>35</v>
      </c>
    </row>
    <row r="46" spans="1:13" x14ac:dyDescent="0.35">
      <c r="A46" s="22" t="s">
        <v>317</v>
      </c>
      <c r="B46" s="22" t="s">
        <v>1142</v>
      </c>
      <c r="C46" s="22" t="s">
        <v>50</v>
      </c>
      <c r="D46" s="22" t="s">
        <v>28</v>
      </c>
      <c r="E46" s="22" t="s">
        <v>14</v>
      </c>
      <c r="F46" s="22" t="s">
        <v>15</v>
      </c>
      <c r="G46" s="22" t="s">
        <v>21</v>
      </c>
      <c r="H46" s="22">
        <v>26</v>
      </c>
      <c r="I46" s="24">
        <v>44373</v>
      </c>
      <c r="J46" s="27">
        <v>722</v>
      </c>
      <c r="K46" s="25">
        <v>0</v>
      </c>
      <c r="L46" s="22" t="s">
        <v>30</v>
      </c>
      <c r="M46" s="23" t="s">
        <v>52</v>
      </c>
    </row>
    <row r="47" spans="1:13" x14ac:dyDescent="0.35">
      <c r="A47" s="22" t="s">
        <v>90</v>
      </c>
      <c r="B47" s="22" t="s">
        <v>1143</v>
      </c>
      <c r="C47" s="22" t="s">
        <v>55</v>
      </c>
      <c r="D47" s="22" t="s">
        <v>39</v>
      </c>
      <c r="E47" s="22" t="s">
        <v>29</v>
      </c>
      <c r="F47" s="22" t="s">
        <v>15</v>
      </c>
      <c r="G47" s="22" t="s">
        <v>44</v>
      </c>
      <c r="H47" s="22">
        <v>48</v>
      </c>
      <c r="I47" s="24">
        <v>38378</v>
      </c>
      <c r="J47" s="27">
        <v>799</v>
      </c>
      <c r="K47" s="25">
        <v>0</v>
      </c>
      <c r="L47" s="22" t="s">
        <v>17</v>
      </c>
      <c r="M47" s="23" t="s">
        <v>18</v>
      </c>
    </row>
    <row r="48" spans="1:13" x14ac:dyDescent="0.35">
      <c r="A48" s="22" t="s">
        <v>318</v>
      </c>
      <c r="B48" s="22" t="s">
        <v>1144</v>
      </c>
      <c r="C48" s="22" t="s">
        <v>60</v>
      </c>
      <c r="D48" s="22" t="s">
        <v>24</v>
      </c>
      <c r="E48" s="22" t="s">
        <v>1102</v>
      </c>
      <c r="F48" s="22" t="s">
        <v>25</v>
      </c>
      <c r="G48" s="22" t="s">
        <v>16</v>
      </c>
      <c r="H48" s="22">
        <v>33</v>
      </c>
      <c r="I48" s="24">
        <v>42722</v>
      </c>
      <c r="J48" s="27">
        <v>689</v>
      </c>
      <c r="K48" s="25">
        <v>0</v>
      </c>
      <c r="L48" s="22" t="s">
        <v>17</v>
      </c>
      <c r="M48" s="23" t="s">
        <v>40</v>
      </c>
    </row>
    <row r="49" spans="1:13" x14ac:dyDescent="0.35">
      <c r="A49" s="22" t="s">
        <v>319</v>
      </c>
      <c r="B49" s="22" t="s">
        <v>1145</v>
      </c>
      <c r="C49" s="22" t="s">
        <v>55</v>
      </c>
      <c r="D49" s="22" t="s">
        <v>43</v>
      </c>
      <c r="E49" s="22" t="s">
        <v>29</v>
      </c>
      <c r="F49" s="22" t="s">
        <v>25</v>
      </c>
      <c r="G49" s="22" t="s">
        <v>21</v>
      </c>
      <c r="H49" s="22">
        <v>55</v>
      </c>
      <c r="I49" s="24">
        <v>40671</v>
      </c>
      <c r="J49" s="27">
        <v>599</v>
      </c>
      <c r="K49" s="25">
        <v>0</v>
      </c>
      <c r="L49" s="22" t="s">
        <v>30</v>
      </c>
      <c r="M49" s="23" t="s">
        <v>65</v>
      </c>
    </row>
    <row r="50" spans="1:13" x14ac:dyDescent="0.35">
      <c r="A50" s="22" t="s">
        <v>320</v>
      </c>
      <c r="B50" s="22" t="s">
        <v>1146</v>
      </c>
      <c r="C50" s="22" t="s">
        <v>34</v>
      </c>
      <c r="D50" s="22" t="s">
        <v>24</v>
      </c>
      <c r="E50" s="22" t="s">
        <v>14</v>
      </c>
      <c r="F50" s="22" t="s">
        <v>25</v>
      </c>
      <c r="G50" s="22" t="s">
        <v>21</v>
      </c>
      <c r="H50" s="22">
        <v>38</v>
      </c>
      <c r="I50" s="24">
        <v>40645</v>
      </c>
      <c r="J50" s="27">
        <v>784</v>
      </c>
      <c r="K50" s="25">
        <v>0</v>
      </c>
      <c r="L50" s="22" t="s">
        <v>17</v>
      </c>
      <c r="M50" s="23" t="s">
        <v>35</v>
      </c>
    </row>
    <row r="51" spans="1:13" x14ac:dyDescent="0.35">
      <c r="A51" s="22" t="s">
        <v>321</v>
      </c>
      <c r="B51" s="22" t="s">
        <v>1147</v>
      </c>
      <c r="C51" s="22" t="s">
        <v>53</v>
      </c>
      <c r="D51" s="22" t="s">
        <v>56</v>
      </c>
      <c r="E51" s="22" t="s">
        <v>1102</v>
      </c>
      <c r="F51" s="22" t="s">
        <v>15</v>
      </c>
      <c r="G51" s="22" t="s">
        <v>21</v>
      </c>
      <c r="H51" s="22">
        <v>49</v>
      </c>
      <c r="I51" s="24">
        <v>44562</v>
      </c>
      <c r="J51" s="27">
        <v>672</v>
      </c>
      <c r="K51" s="25">
        <v>0.09</v>
      </c>
      <c r="L51" s="22" t="s">
        <v>17</v>
      </c>
      <c r="M51" s="23" t="s">
        <v>40</v>
      </c>
    </row>
    <row r="52" spans="1:13" x14ac:dyDescent="0.35">
      <c r="A52" s="22" t="s">
        <v>322</v>
      </c>
      <c r="B52" s="22" t="s">
        <v>1148</v>
      </c>
      <c r="C52" s="22" t="s">
        <v>34</v>
      </c>
      <c r="D52" s="22" t="s">
        <v>24</v>
      </c>
      <c r="E52" s="22" t="s">
        <v>29</v>
      </c>
      <c r="F52" s="22" t="s">
        <v>15</v>
      </c>
      <c r="G52" s="22" t="s">
        <v>44</v>
      </c>
      <c r="H52" s="22">
        <v>52</v>
      </c>
      <c r="I52" s="24">
        <v>43258</v>
      </c>
      <c r="J52" s="27">
        <v>987</v>
      </c>
      <c r="K52" s="25">
        <v>0</v>
      </c>
      <c r="L52" s="22" t="s">
        <v>17</v>
      </c>
      <c r="M52" s="23" t="s">
        <v>40</v>
      </c>
    </row>
    <row r="53" spans="1:13" x14ac:dyDescent="0.35">
      <c r="A53" s="22" t="s">
        <v>323</v>
      </c>
      <c r="B53" s="22" t="s">
        <v>1149</v>
      </c>
      <c r="C53" s="22" t="s">
        <v>12</v>
      </c>
      <c r="D53" s="22" t="s">
        <v>13</v>
      </c>
      <c r="E53" s="22" t="s">
        <v>29</v>
      </c>
      <c r="F53" s="22" t="s">
        <v>25</v>
      </c>
      <c r="G53" s="22" t="s">
        <v>21</v>
      </c>
      <c r="H53" s="22">
        <v>27</v>
      </c>
      <c r="I53" s="24">
        <v>44334</v>
      </c>
      <c r="J53" s="27">
        <v>534</v>
      </c>
      <c r="K53" s="25">
        <v>0.36</v>
      </c>
      <c r="L53" s="22" t="s">
        <v>17</v>
      </c>
      <c r="M53" s="23" t="s">
        <v>18</v>
      </c>
    </row>
    <row r="54" spans="1:13" x14ac:dyDescent="0.35">
      <c r="A54" s="22" t="s">
        <v>324</v>
      </c>
      <c r="B54" s="22" t="s">
        <v>1150</v>
      </c>
      <c r="C54" s="22" t="s">
        <v>23</v>
      </c>
      <c r="D54" s="22" t="s">
        <v>24</v>
      </c>
      <c r="E54" s="22" t="s">
        <v>1102</v>
      </c>
      <c r="F54" s="22" t="s">
        <v>25</v>
      </c>
      <c r="G54" s="22" t="s">
        <v>16</v>
      </c>
      <c r="H54" s="22">
        <v>34</v>
      </c>
      <c r="I54" s="24">
        <v>41256</v>
      </c>
      <c r="J54" s="27">
        <v>842</v>
      </c>
      <c r="K54" s="25">
        <v>0</v>
      </c>
      <c r="L54" s="22" t="s">
        <v>17</v>
      </c>
      <c r="M54" s="23" t="s">
        <v>26</v>
      </c>
    </row>
    <row r="55" spans="1:13" x14ac:dyDescent="0.35">
      <c r="A55" s="22" t="s">
        <v>325</v>
      </c>
      <c r="B55" s="22" t="s">
        <v>1151</v>
      </c>
      <c r="C55" s="22" t="s">
        <v>12</v>
      </c>
      <c r="D55" s="22" t="s">
        <v>28</v>
      </c>
      <c r="E55" s="22" t="s">
        <v>29</v>
      </c>
      <c r="F55" s="22" t="s">
        <v>15</v>
      </c>
      <c r="G55" s="22" t="s">
        <v>16</v>
      </c>
      <c r="H55" s="22">
        <v>65</v>
      </c>
      <c r="I55" s="24">
        <v>37098</v>
      </c>
      <c r="J55" s="27">
        <v>747</v>
      </c>
      <c r="K55" s="25">
        <v>0.31</v>
      </c>
      <c r="L55" s="22" t="s">
        <v>17</v>
      </c>
      <c r="M55" s="23" t="s">
        <v>18</v>
      </c>
    </row>
    <row r="56" spans="1:13" x14ac:dyDescent="0.35">
      <c r="A56" s="22" t="s">
        <v>326</v>
      </c>
      <c r="B56" s="22" t="s">
        <v>1152</v>
      </c>
      <c r="C56" s="22" t="s">
        <v>36</v>
      </c>
      <c r="D56" s="22" t="s">
        <v>43</v>
      </c>
      <c r="E56" s="22" t="s">
        <v>1102</v>
      </c>
      <c r="F56" s="22" t="s">
        <v>15</v>
      </c>
      <c r="G56" s="22" t="s">
        <v>44</v>
      </c>
      <c r="H56" s="22">
        <v>38</v>
      </c>
      <c r="I56" s="24">
        <v>42500</v>
      </c>
      <c r="J56" s="27">
        <v>791</v>
      </c>
      <c r="K56" s="25">
        <v>0.24</v>
      </c>
      <c r="L56" s="22" t="s">
        <v>17</v>
      </c>
      <c r="M56" s="23" t="s">
        <v>22</v>
      </c>
    </row>
    <row r="57" spans="1:13" x14ac:dyDescent="0.35">
      <c r="A57" s="22" t="s">
        <v>327</v>
      </c>
      <c r="B57" s="22" t="s">
        <v>1153</v>
      </c>
      <c r="C57" s="22" t="s">
        <v>48</v>
      </c>
      <c r="D57" s="22" t="s">
        <v>24</v>
      </c>
      <c r="E57" s="22" t="s">
        <v>33</v>
      </c>
      <c r="F57" s="22" t="s">
        <v>15</v>
      </c>
      <c r="G57" s="22" t="s">
        <v>21</v>
      </c>
      <c r="H57" s="22">
        <v>63</v>
      </c>
      <c r="I57" s="24">
        <v>37283</v>
      </c>
      <c r="J57" s="27">
        <v>531</v>
      </c>
      <c r="K57" s="25">
        <v>0.05</v>
      </c>
      <c r="L57" s="22" t="s">
        <v>17</v>
      </c>
      <c r="M57" s="23" t="s">
        <v>35</v>
      </c>
    </row>
    <row r="58" spans="1:13" x14ac:dyDescent="0.35">
      <c r="A58" s="22" t="s">
        <v>328</v>
      </c>
      <c r="B58" s="22" t="s">
        <v>1154</v>
      </c>
      <c r="C58" s="22" t="s">
        <v>53</v>
      </c>
      <c r="D58" s="22" t="s">
        <v>43</v>
      </c>
      <c r="E58" s="22" t="s">
        <v>29</v>
      </c>
      <c r="F58" s="22" t="s">
        <v>25</v>
      </c>
      <c r="G58" s="22" t="s">
        <v>44</v>
      </c>
      <c r="H58" s="22">
        <v>42</v>
      </c>
      <c r="I58" s="24">
        <v>38513</v>
      </c>
      <c r="J58" s="27">
        <v>937</v>
      </c>
      <c r="K58" s="25">
        <v>0.08</v>
      </c>
      <c r="L58" s="22" t="s">
        <v>45</v>
      </c>
      <c r="M58" s="23" t="s">
        <v>46</v>
      </c>
    </row>
    <row r="59" spans="1:13" x14ac:dyDescent="0.35">
      <c r="A59" s="22" t="s">
        <v>267</v>
      </c>
      <c r="B59" s="22" t="s">
        <v>1155</v>
      </c>
      <c r="C59" s="22" t="s">
        <v>1111</v>
      </c>
      <c r="D59" s="22" t="s">
        <v>43</v>
      </c>
      <c r="E59" s="22" t="s">
        <v>14</v>
      </c>
      <c r="F59" s="22" t="s">
        <v>15</v>
      </c>
      <c r="G59" s="22" t="s">
        <v>44</v>
      </c>
      <c r="H59" s="22">
        <v>60</v>
      </c>
      <c r="I59" s="24">
        <v>34297</v>
      </c>
      <c r="J59" s="27">
        <v>910</v>
      </c>
      <c r="K59" s="25">
        <v>0.12</v>
      </c>
      <c r="L59" s="22" t="s">
        <v>45</v>
      </c>
      <c r="M59" s="23" t="s">
        <v>46</v>
      </c>
    </row>
    <row r="60" spans="1:13" x14ac:dyDescent="0.35">
      <c r="A60" s="22" t="s">
        <v>329</v>
      </c>
      <c r="B60" s="22" t="s">
        <v>215</v>
      </c>
      <c r="C60" s="22" t="s">
        <v>36</v>
      </c>
      <c r="D60" s="22" t="s">
        <v>43</v>
      </c>
      <c r="E60" s="22" t="s">
        <v>33</v>
      </c>
      <c r="F60" s="22" t="s">
        <v>25</v>
      </c>
      <c r="G60" s="22" t="s">
        <v>21</v>
      </c>
      <c r="H60" s="22">
        <v>47</v>
      </c>
      <c r="I60" s="24">
        <v>36490</v>
      </c>
      <c r="J60" s="27">
        <v>974</v>
      </c>
      <c r="K60" s="25">
        <v>0.17</v>
      </c>
      <c r="L60" s="22" t="s">
        <v>17</v>
      </c>
      <c r="M60" s="23" t="s">
        <v>26</v>
      </c>
    </row>
    <row r="61" spans="1:13" x14ac:dyDescent="0.35">
      <c r="A61" s="22" t="s">
        <v>330</v>
      </c>
      <c r="B61" s="22" t="s">
        <v>1156</v>
      </c>
      <c r="C61" s="22" t="s">
        <v>36</v>
      </c>
      <c r="D61" s="22" t="s">
        <v>13</v>
      </c>
      <c r="E61" s="22" t="s">
        <v>29</v>
      </c>
      <c r="F61" s="22" t="s">
        <v>25</v>
      </c>
      <c r="G61" s="22" t="s">
        <v>21</v>
      </c>
      <c r="H61" s="22">
        <v>50</v>
      </c>
      <c r="I61" s="24">
        <v>43740</v>
      </c>
      <c r="J61" s="27">
        <v>780</v>
      </c>
      <c r="K61" s="25">
        <v>0.17</v>
      </c>
      <c r="L61" s="22" t="s">
        <v>17</v>
      </c>
      <c r="M61" s="23" t="s">
        <v>35</v>
      </c>
    </row>
    <row r="62" spans="1:13" x14ac:dyDescent="0.35">
      <c r="A62" s="22" t="s">
        <v>175</v>
      </c>
      <c r="B62" s="22" t="s">
        <v>1157</v>
      </c>
      <c r="C62" s="22" t="s">
        <v>38</v>
      </c>
      <c r="D62" s="22" t="s">
        <v>43</v>
      </c>
      <c r="E62" s="22" t="s">
        <v>1102</v>
      </c>
      <c r="F62" s="22" t="s">
        <v>15</v>
      </c>
      <c r="G62" s="22" t="s">
        <v>21</v>
      </c>
      <c r="H62" s="22">
        <v>39</v>
      </c>
      <c r="I62" s="24">
        <v>41096</v>
      </c>
      <c r="J62" s="27">
        <v>763</v>
      </c>
      <c r="K62" s="25">
        <v>0</v>
      </c>
      <c r="L62" s="22" t="s">
        <v>17</v>
      </c>
      <c r="M62" s="23" t="s">
        <v>40</v>
      </c>
    </row>
    <row r="63" spans="1:13" x14ac:dyDescent="0.35">
      <c r="A63" s="22" t="s">
        <v>219</v>
      </c>
      <c r="B63" s="22" t="s">
        <v>1158</v>
      </c>
      <c r="C63" s="22" t="s">
        <v>74</v>
      </c>
      <c r="D63" s="22" t="s">
        <v>43</v>
      </c>
      <c r="E63" s="22" t="s">
        <v>29</v>
      </c>
      <c r="F63" s="22" t="s">
        <v>25</v>
      </c>
      <c r="G63" s="22" t="s">
        <v>44</v>
      </c>
      <c r="H63" s="22">
        <v>46</v>
      </c>
      <c r="I63" s="24">
        <v>40408</v>
      </c>
      <c r="J63" s="27">
        <v>612</v>
      </c>
      <c r="K63" s="25">
        <v>0</v>
      </c>
      <c r="L63" s="22" t="s">
        <v>17</v>
      </c>
      <c r="M63" s="23" t="s">
        <v>35</v>
      </c>
    </row>
    <row r="64" spans="1:13" x14ac:dyDescent="0.35">
      <c r="A64" s="22" t="s">
        <v>331</v>
      </c>
      <c r="B64" s="22" t="s">
        <v>1159</v>
      </c>
      <c r="C64" s="22" t="s">
        <v>55</v>
      </c>
      <c r="D64" s="22" t="s">
        <v>43</v>
      </c>
      <c r="E64" s="22" t="s">
        <v>33</v>
      </c>
      <c r="F64" s="22" t="s">
        <v>25</v>
      </c>
      <c r="G64" s="22" t="s">
        <v>16</v>
      </c>
      <c r="H64" s="22">
        <v>50</v>
      </c>
      <c r="I64" s="24">
        <v>40388</v>
      </c>
      <c r="J64" s="27">
        <v>584</v>
      </c>
      <c r="K64" s="25">
        <v>0</v>
      </c>
      <c r="L64" s="22" t="s">
        <v>17</v>
      </c>
      <c r="M64" s="23" t="s">
        <v>40</v>
      </c>
    </row>
    <row r="65" spans="1:13" x14ac:dyDescent="0.35">
      <c r="A65" s="22" t="s">
        <v>332</v>
      </c>
      <c r="B65" s="22" t="s">
        <v>1160</v>
      </c>
      <c r="C65" s="22" t="s">
        <v>51</v>
      </c>
      <c r="D65" s="22" t="s">
        <v>28</v>
      </c>
      <c r="E65" s="22" t="s">
        <v>33</v>
      </c>
      <c r="F65" s="22" t="s">
        <v>15</v>
      </c>
      <c r="G65" s="22" t="s">
        <v>21</v>
      </c>
      <c r="H65" s="22">
        <v>55</v>
      </c>
      <c r="I65" s="24">
        <v>39685</v>
      </c>
      <c r="J65" s="27">
        <v>622</v>
      </c>
      <c r="K65" s="25">
        <v>0</v>
      </c>
      <c r="L65" s="22" t="s">
        <v>30</v>
      </c>
      <c r="M65" s="23" t="s">
        <v>61</v>
      </c>
    </row>
    <row r="66" spans="1:13" x14ac:dyDescent="0.35">
      <c r="A66" s="22" t="s">
        <v>239</v>
      </c>
      <c r="B66" s="22" t="s">
        <v>1161</v>
      </c>
      <c r="C66" s="22" t="s">
        <v>1111</v>
      </c>
      <c r="D66" s="22" t="s">
        <v>43</v>
      </c>
      <c r="E66" s="22" t="s">
        <v>1102</v>
      </c>
      <c r="F66" s="22" t="s">
        <v>25</v>
      </c>
      <c r="G66" s="22" t="s">
        <v>21</v>
      </c>
      <c r="H66" s="22">
        <v>43</v>
      </c>
      <c r="I66" s="24">
        <v>37888</v>
      </c>
      <c r="J66" s="27">
        <v>995</v>
      </c>
      <c r="K66" s="25">
        <v>0.12</v>
      </c>
      <c r="L66" s="22" t="s">
        <v>17</v>
      </c>
      <c r="M66" s="23" t="s">
        <v>54</v>
      </c>
    </row>
    <row r="67" spans="1:13" x14ac:dyDescent="0.35">
      <c r="A67" s="22" t="s">
        <v>333</v>
      </c>
      <c r="B67" s="22" t="s">
        <v>1162</v>
      </c>
      <c r="C67" s="22" t="s">
        <v>38</v>
      </c>
      <c r="D67" s="22" t="s">
        <v>13</v>
      </c>
      <c r="E67" s="22" t="s">
        <v>33</v>
      </c>
      <c r="F67" s="22" t="s">
        <v>15</v>
      </c>
      <c r="G67" s="22" t="s">
        <v>41</v>
      </c>
      <c r="H67" s="22">
        <v>26</v>
      </c>
      <c r="I67" s="24">
        <v>44332</v>
      </c>
      <c r="J67" s="27">
        <v>543</v>
      </c>
      <c r="K67" s="25">
        <v>0</v>
      </c>
      <c r="L67" s="22" t="s">
        <v>17</v>
      </c>
      <c r="M67" s="23" t="s">
        <v>35</v>
      </c>
    </row>
    <row r="68" spans="1:13" x14ac:dyDescent="0.35">
      <c r="A68" s="22" t="s">
        <v>334</v>
      </c>
      <c r="B68" s="22" t="s">
        <v>1163</v>
      </c>
      <c r="C68" s="22" t="s">
        <v>38</v>
      </c>
      <c r="D68" s="22" t="s">
        <v>39</v>
      </c>
      <c r="E68" s="22" t="s">
        <v>14</v>
      </c>
      <c r="F68" s="22" t="s">
        <v>25</v>
      </c>
      <c r="G68" s="22" t="s">
        <v>44</v>
      </c>
      <c r="H68" s="22">
        <v>34</v>
      </c>
      <c r="I68" s="24">
        <v>43600</v>
      </c>
      <c r="J68" s="27">
        <v>742</v>
      </c>
      <c r="K68" s="25">
        <v>0</v>
      </c>
      <c r="L68" s="22" t="s">
        <v>17</v>
      </c>
      <c r="M68" s="23" t="s">
        <v>35</v>
      </c>
    </row>
    <row r="69" spans="1:13" x14ac:dyDescent="0.35">
      <c r="A69" s="22" t="s">
        <v>335</v>
      </c>
      <c r="B69" s="22" t="s">
        <v>1164</v>
      </c>
      <c r="C69" s="22" t="s">
        <v>36</v>
      </c>
      <c r="D69" s="22" t="s">
        <v>43</v>
      </c>
      <c r="E69" s="22" t="s">
        <v>1102</v>
      </c>
      <c r="F69" s="22" t="s">
        <v>25</v>
      </c>
      <c r="G69" s="22" t="s">
        <v>44</v>
      </c>
      <c r="H69" s="22">
        <v>38</v>
      </c>
      <c r="I69" s="24">
        <v>39999</v>
      </c>
      <c r="J69" s="27">
        <v>674</v>
      </c>
      <c r="K69" s="25">
        <v>0.27</v>
      </c>
      <c r="L69" s="22" t="s">
        <v>45</v>
      </c>
      <c r="M69" s="23" t="s">
        <v>1134</v>
      </c>
    </row>
    <row r="70" spans="1:13" x14ac:dyDescent="0.35">
      <c r="A70" s="22" t="s">
        <v>336</v>
      </c>
      <c r="B70" s="22" t="s">
        <v>1165</v>
      </c>
      <c r="C70" s="22" t="s">
        <v>38</v>
      </c>
      <c r="D70" s="22" t="s">
        <v>39</v>
      </c>
      <c r="E70" s="22" t="s">
        <v>1102</v>
      </c>
      <c r="F70" s="22" t="s">
        <v>25</v>
      </c>
      <c r="G70" s="22" t="s">
        <v>21</v>
      </c>
      <c r="H70" s="22">
        <v>35</v>
      </c>
      <c r="I70" s="24">
        <v>44584</v>
      </c>
      <c r="J70" s="27">
        <v>740</v>
      </c>
      <c r="K70" s="25">
        <v>0</v>
      </c>
      <c r="L70" s="22" t="s">
        <v>30</v>
      </c>
      <c r="M70" s="23" t="s">
        <v>31</v>
      </c>
    </row>
    <row r="71" spans="1:13" x14ac:dyDescent="0.35">
      <c r="A71" s="22" t="s">
        <v>104</v>
      </c>
      <c r="B71" s="22" t="s">
        <v>1166</v>
      </c>
      <c r="C71" s="22" t="s">
        <v>53</v>
      </c>
      <c r="D71" s="22" t="s">
        <v>39</v>
      </c>
      <c r="E71" s="22" t="s">
        <v>29</v>
      </c>
      <c r="F71" s="22" t="s">
        <v>25</v>
      </c>
      <c r="G71" s="22" t="s">
        <v>21</v>
      </c>
      <c r="H71" s="22">
        <v>39</v>
      </c>
      <c r="I71" s="24">
        <v>42172</v>
      </c>
      <c r="J71" s="27">
        <v>594</v>
      </c>
      <c r="K71" s="25">
        <v>0.09</v>
      </c>
      <c r="L71" s="22" t="s">
        <v>30</v>
      </c>
      <c r="M71" s="23" t="s">
        <v>52</v>
      </c>
    </row>
    <row r="72" spans="1:13" x14ac:dyDescent="0.35">
      <c r="A72" s="22" t="s">
        <v>172</v>
      </c>
      <c r="B72" s="22" t="s">
        <v>1167</v>
      </c>
      <c r="C72" s="22" t="s">
        <v>53</v>
      </c>
      <c r="D72" s="22" t="s">
        <v>43</v>
      </c>
      <c r="E72" s="22" t="s">
        <v>1102</v>
      </c>
      <c r="F72" s="22" t="s">
        <v>15</v>
      </c>
      <c r="G72" s="22" t="s">
        <v>21</v>
      </c>
      <c r="H72" s="22">
        <v>26</v>
      </c>
      <c r="I72" s="24">
        <v>44062</v>
      </c>
      <c r="J72" s="27">
        <v>586</v>
      </c>
      <c r="K72" s="25">
        <v>0.06</v>
      </c>
      <c r="L72" s="22" t="s">
        <v>17</v>
      </c>
      <c r="M72" s="23" t="s">
        <v>18</v>
      </c>
    </row>
    <row r="73" spans="1:13" x14ac:dyDescent="0.35">
      <c r="A73" s="22" t="s">
        <v>337</v>
      </c>
      <c r="B73" s="22" t="s">
        <v>1168</v>
      </c>
      <c r="C73" s="22" t="s">
        <v>77</v>
      </c>
      <c r="D73" s="22" t="s">
        <v>24</v>
      </c>
      <c r="E73" s="22" t="s">
        <v>14</v>
      </c>
      <c r="F73" s="22" t="s">
        <v>15</v>
      </c>
      <c r="G73" s="22" t="s">
        <v>21</v>
      </c>
      <c r="H73" s="22">
        <v>60</v>
      </c>
      <c r="I73" s="24">
        <v>34167</v>
      </c>
      <c r="J73" s="27">
        <v>911</v>
      </c>
      <c r="K73" s="25">
        <v>0</v>
      </c>
      <c r="L73" s="22" t="s">
        <v>17</v>
      </c>
      <c r="M73" s="23" t="s">
        <v>26</v>
      </c>
    </row>
    <row r="74" spans="1:13" x14ac:dyDescent="0.35">
      <c r="A74" s="22" t="s">
        <v>103</v>
      </c>
      <c r="B74" s="22" t="s">
        <v>1169</v>
      </c>
      <c r="C74" s="22" t="s">
        <v>57</v>
      </c>
      <c r="D74" s="22" t="s">
        <v>39</v>
      </c>
      <c r="E74" s="22" t="s">
        <v>29</v>
      </c>
      <c r="F74" s="22" t="s">
        <v>25</v>
      </c>
      <c r="G74" s="22" t="s">
        <v>21</v>
      </c>
      <c r="H74" s="22">
        <v>32</v>
      </c>
      <c r="I74" s="24">
        <v>43626</v>
      </c>
      <c r="J74" s="27">
        <v>853</v>
      </c>
      <c r="K74" s="25">
        <v>0</v>
      </c>
      <c r="L74" s="22" t="s">
        <v>30</v>
      </c>
      <c r="M74" s="23" t="s">
        <v>31</v>
      </c>
    </row>
    <row r="75" spans="1:13" x14ac:dyDescent="0.35">
      <c r="A75" s="22" t="s">
        <v>338</v>
      </c>
      <c r="B75" s="22" t="s">
        <v>1170</v>
      </c>
      <c r="C75" s="22" t="s">
        <v>55</v>
      </c>
      <c r="D75" s="22" t="s">
        <v>13</v>
      </c>
      <c r="E75" s="22" t="s">
        <v>33</v>
      </c>
      <c r="F75" s="22" t="s">
        <v>15</v>
      </c>
      <c r="G75" s="22" t="s">
        <v>16</v>
      </c>
      <c r="H75" s="22">
        <v>65</v>
      </c>
      <c r="I75" s="24">
        <v>44023</v>
      </c>
      <c r="J75" s="27">
        <v>643</v>
      </c>
      <c r="K75" s="25">
        <v>0</v>
      </c>
      <c r="L75" s="22" t="s">
        <v>17</v>
      </c>
      <c r="M75" s="23" t="s">
        <v>26</v>
      </c>
    </row>
    <row r="76" spans="1:13" x14ac:dyDescent="0.35">
      <c r="A76" s="22" t="s">
        <v>339</v>
      </c>
      <c r="B76" s="22" t="s">
        <v>1171</v>
      </c>
      <c r="C76" s="22" t="s">
        <v>38</v>
      </c>
      <c r="D76" s="22" t="s">
        <v>43</v>
      </c>
      <c r="E76" s="22" t="s">
        <v>14</v>
      </c>
      <c r="F76" s="22" t="s">
        <v>25</v>
      </c>
      <c r="G76" s="22" t="s">
        <v>21</v>
      </c>
      <c r="H76" s="22">
        <v>27</v>
      </c>
      <c r="I76" s="24">
        <v>44817</v>
      </c>
      <c r="J76" s="27">
        <v>713</v>
      </c>
      <c r="K76" s="25">
        <v>0</v>
      </c>
      <c r="L76" s="22" t="s">
        <v>17</v>
      </c>
      <c r="M76" s="23" t="s">
        <v>40</v>
      </c>
    </row>
    <row r="77" spans="1:13" x14ac:dyDescent="0.35">
      <c r="A77" s="22" t="s">
        <v>340</v>
      </c>
      <c r="B77" s="22" t="s">
        <v>1172</v>
      </c>
      <c r="C77" s="22" t="s">
        <v>73</v>
      </c>
      <c r="D77" s="22" t="s">
        <v>24</v>
      </c>
      <c r="E77" s="22" t="s">
        <v>1102</v>
      </c>
      <c r="F77" s="22" t="s">
        <v>15</v>
      </c>
      <c r="G77" s="22" t="s">
        <v>44</v>
      </c>
      <c r="H77" s="22">
        <v>63</v>
      </c>
      <c r="I77" s="24">
        <v>38003</v>
      </c>
      <c r="J77" s="27">
        <v>855</v>
      </c>
      <c r="K77" s="25">
        <v>0</v>
      </c>
      <c r="L77" s="22" t="s">
        <v>45</v>
      </c>
      <c r="M77" s="23" t="s">
        <v>46</v>
      </c>
    </row>
    <row r="78" spans="1:13" x14ac:dyDescent="0.35">
      <c r="A78" s="22" t="s">
        <v>341</v>
      </c>
      <c r="B78" s="22" t="s">
        <v>1173</v>
      </c>
      <c r="C78" s="22" t="s">
        <v>53</v>
      </c>
      <c r="D78" s="22" t="s">
        <v>20</v>
      </c>
      <c r="E78" s="22" t="s">
        <v>14</v>
      </c>
      <c r="F78" s="22" t="s">
        <v>15</v>
      </c>
      <c r="G78" s="22" t="s">
        <v>21</v>
      </c>
      <c r="H78" s="22">
        <v>51</v>
      </c>
      <c r="I78" s="24">
        <v>44034</v>
      </c>
      <c r="J78" s="27">
        <v>724</v>
      </c>
      <c r="K78" s="25">
        <v>0.1</v>
      </c>
      <c r="L78" s="22" t="s">
        <v>30</v>
      </c>
      <c r="M78" s="23" t="s">
        <v>52</v>
      </c>
    </row>
    <row r="79" spans="1:13" x14ac:dyDescent="0.35">
      <c r="A79" s="22" t="s">
        <v>342</v>
      </c>
      <c r="B79" s="22" t="s">
        <v>1174</v>
      </c>
      <c r="C79" s="22" t="s">
        <v>71</v>
      </c>
      <c r="D79" s="22" t="s">
        <v>24</v>
      </c>
      <c r="E79" s="22" t="s">
        <v>29</v>
      </c>
      <c r="F79" s="22" t="s">
        <v>15</v>
      </c>
      <c r="G79" s="22" t="s">
        <v>16</v>
      </c>
      <c r="H79" s="22">
        <v>43</v>
      </c>
      <c r="I79" s="24">
        <v>39129</v>
      </c>
      <c r="J79" s="27">
        <v>751</v>
      </c>
      <c r="K79" s="25">
        <v>0</v>
      </c>
      <c r="L79" s="22" t="s">
        <v>17</v>
      </c>
      <c r="M79" s="23" t="s">
        <v>26</v>
      </c>
    </row>
    <row r="80" spans="1:13" x14ac:dyDescent="0.35">
      <c r="A80" s="22" t="s">
        <v>343</v>
      </c>
      <c r="B80" s="22" t="s">
        <v>240</v>
      </c>
      <c r="C80" s="22" t="s">
        <v>1111</v>
      </c>
      <c r="D80" s="22" t="s">
        <v>39</v>
      </c>
      <c r="E80" s="22" t="s">
        <v>1102</v>
      </c>
      <c r="F80" s="22" t="s">
        <v>25</v>
      </c>
      <c r="G80" s="22" t="s">
        <v>41</v>
      </c>
      <c r="H80" s="22">
        <v>31</v>
      </c>
      <c r="I80" s="24">
        <v>43198</v>
      </c>
      <c r="J80" s="27">
        <v>910</v>
      </c>
      <c r="K80" s="25">
        <v>0.14000000000000001</v>
      </c>
      <c r="L80" s="22" t="s">
        <v>17</v>
      </c>
      <c r="M80" s="23" t="s">
        <v>35</v>
      </c>
    </row>
    <row r="81" spans="1:13" x14ac:dyDescent="0.35">
      <c r="A81" s="22" t="s">
        <v>344</v>
      </c>
      <c r="B81" s="22" t="s">
        <v>1175</v>
      </c>
      <c r="C81" s="22" t="s">
        <v>63</v>
      </c>
      <c r="D81" s="22" t="s">
        <v>20</v>
      </c>
      <c r="E81" s="22" t="s">
        <v>14</v>
      </c>
      <c r="F81" s="22" t="s">
        <v>15</v>
      </c>
      <c r="G81" s="22" t="s">
        <v>16</v>
      </c>
      <c r="H81" s="22">
        <v>26</v>
      </c>
      <c r="I81" s="24">
        <v>44167</v>
      </c>
      <c r="J81" s="27">
        <v>516</v>
      </c>
      <c r="K81" s="25">
        <v>0</v>
      </c>
      <c r="L81" s="22" t="s">
        <v>17</v>
      </c>
      <c r="M81" s="23" t="s">
        <v>18</v>
      </c>
    </row>
    <row r="82" spans="1:13" x14ac:dyDescent="0.35">
      <c r="A82" s="22" t="s">
        <v>345</v>
      </c>
      <c r="B82" s="22" t="s">
        <v>1176</v>
      </c>
      <c r="C82" s="22" t="s">
        <v>1111</v>
      </c>
      <c r="D82" s="22" t="s">
        <v>43</v>
      </c>
      <c r="E82" s="22" t="s">
        <v>1102</v>
      </c>
      <c r="F82" s="22" t="s">
        <v>25</v>
      </c>
      <c r="G82" s="22" t="s">
        <v>21</v>
      </c>
      <c r="H82" s="22">
        <v>46</v>
      </c>
      <c r="I82" s="24">
        <v>42246</v>
      </c>
      <c r="J82" s="27">
        <v>596</v>
      </c>
      <c r="K82" s="25">
        <v>0.14000000000000001</v>
      </c>
      <c r="L82" s="22" t="s">
        <v>17</v>
      </c>
      <c r="M82" s="23" t="s">
        <v>35</v>
      </c>
    </row>
    <row r="83" spans="1:13" x14ac:dyDescent="0.35">
      <c r="A83" s="22" t="s">
        <v>346</v>
      </c>
      <c r="B83" s="22" t="s">
        <v>1177</v>
      </c>
      <c r="C83" s="22" t="s">
        <v>55</v>
      </c>
      <c r="D83" s="22" t="s">
        <v>56</v>
      </c>
      <c r="E83" s="22" t="s">
        <v>33</v>
      </c>
      <c r="F83" s="22" t="s">
        <v>15</v>
      </c>
      <c r="G83" s="22" t="s">
        <v>21</v>
      </c>
      <c r="H83" s="22">
        <v>59</v>
      </c>
      <c r="I83" s="24">
        <v>41049</v>
      </c>
      <c r="J83" s="27">
        <v>921</v>
      </c>
      <c r="K83" s="25">
        <v>0</v>
      </c>
      <c r="L83" s="22" t="s">
        <v>30</v>
      </c>
      <c r="M83" s="23" t="s">
        <v>61</v>
      </c>
    </row>
    <row r="84" spans="1:13" x14ac:dyDescent="0.35">
      <c r="A84" s="22" t="s">
        <v>347</v>
      </c>
      <c r="B84" s="22" t="s">
        <v>1178</v>
      </c>
      <c r="C84" s="22" t="s">
        <v>36</v>
      </c>
      <c r="D84" s="22" t="s">
        <v>43</v>
      </c>
      <c r="E84" s="22" t="s">
        <v>14</v>
      </c>
      <c r="F84" s="22" t="s">
        <v>15</v>
      </c>
      <c r="G84" s="22" t="s">
        <v>44</v>
      </c>
      <c r="H84" s="22">
        <v>52</v>
      </c>
      <c r="I84" s="24">
        <v>35275</v>
      </c>
      <c r="J84" s="27">
        <v>957</v>
      </c>
      <c r="K84" s="25">
        <v>0.24</v>
      </c>
      <c r="L84" s="22" t="s">
        <v>45</v>
      </c>
      <c r="M84" s="23" t="s">
        <v>46</v>
      </c>
    </row>
    <row r="85" spans="1:13" x14ac:dyDescent="0.35">
      <c r="A85" s="22" t="s">
        <v>348</v>
      </c>
      <c r="B85" s="22" t="s">
        <v>1179</v>
      </c>
      <c r="C85" s="22" t="s">
        <v>71</v>
      </c>
      <c r="D85" s="22" t="s">
        <v>24</v>
      </c>
      <c r="E85" s="22" t="s">
        <v>33</v>
      </c>
      <c r="F85" s="22" t="s">
        <v>25</v>
      </c>
      <c r="G85" s="22" t="s">
        <v>16</v>
      </c>
      <c r="H85" s="22">
        <v>31</v>
      </c>
      <c r="I85" s="24">
        <v>44350</v>
      </c>
      <c r="J85" s="27">
        <v>693</v>
      </c>
      <c r="K85" s="25">
        <v>0</v>
      </c>
      <c r="L85" s="22" t="s">
        <v>17</v>
      </c>
      <c r="M85" s="23" t="s">
        <v>35</v>
      </c>
    </row>
    <row r="86" spans="1:13" x14ac:dyDescent="0.35">
      <c r="A86" s="22" t="s">
        <v>349</v>
      </c>
      <c r="B86" s="22" t="s">
        <v>1180</v>
      </c>
      <c r="C86" s="22" t="s">
        <v>57</v>
      </c>
      <c r="D86" s="22" t="s">
        <v>39</v>
      </c>
      <c r="E86" s="22" t="s">
        <v>1102</v>
      </c>
      <c r="F86" s="22" t="s">
        <v>25</v>
      </c>
      <c r="G86" s="22" t="s">
        <v>21</v>
      </c>
      <c r="H86" s="22">
        <v>42</v>
      </c>
      <c r="I86" s="24">
        <v>39519</v>
      </c>
      <c r="J86" s="27">
        <v>906</v>
      </c>
      <c r="K86" s="25">
        <v>0</v>
      </c>
      <c r="L86" s="22" t="s">
        <v>30</v>
      </c>
      <c r="M86" s="23" t="s">
        <v>31</v>
      </c>
    </row>
    <row r="87" spans="1:13" x14ac:dyDescent="0.35">
      <c r="A87" s="22" t="s">
        <v>350</v>
      </c>
      <c r="B87" s="22" t="s">
        <v>1181</v>
      </c>
      <c r="C87" s="22" t="s">
        <v>36</v>
      </c>
      <c r="D87" s="22" t="s">
        <v>39</v>
      </c>
      <c r="E87" s="22" t="s">
        <v>1102</v>
      </c>
      <c r="F87" s="22" t="s">
        <v>25</v>
      </c>
      <c r="G87" s="22" t="s">
        <v>21</v>
      </c>
      <c r="H87" s="22">
        <v>53</v>
      </c>
      <c r="I87" s="24">
        <v>44516</v>
      </c>
      <c r="J87" s="27">
        <v>753</v>
      </c>
      <c r="K87" s="25">
        <v>0.16</v>
      </c>
      <c r="L87" s="22" t="s">
        <v>17</v>
      </c>
      <c r="M87" s="23" t="s">
        <v>26</v>
      </c>
    </row>
    <row r="88" spans="1:13" x14ac:dyDescent="0.35">
      <c r="A88" s="22" t="s">
        <v>133</v>
      </c>
      <c r="B88" s="22" t="s">
        <v>1182</v>
      </c>
      <c r="C88" s="22" t="s">
        <v>19</v>
      </c>
      <c r="D88" s="22" t="s">
        <v>20</v>
      </c>
      <c r="E88" s="22" t="s">
        <v>14</v>
      </c>
      <c r="F88" s="22" t="s">
        <v>25</v>
      </c>
      <c r="G88" s="22" t="s">
        <v>44</v>
      </c>
      <c r="H88" s="22">
        <v>47</v>
      </c>
      <c r="I88" s="24">
        <v>39701</v>
      </c>
      <c r="J88" s="27">
        <v>513</v>
      </c>
      <c r="K88" s="25">
        <v>0</v>
      </c>
      <c r="L88" s="22" t="s">
        <v>45</v>
      </c>
      <c r="M88" s="23" t="s">
        <v>1134</v>
      </c>
    </row>
    <row r="89" spans="1:13" x14ac:dyDescent="0.35">
      <c r="A89" s="22" t="s">
        <v>351</v>
      </c>
      <c r="B89" s="22" t="s">
        <v>1183</v>
      </c>
      <c r="C89" s="22" t="s">
        <v>1111</v>
      </c>
      <c r="D89" s="22" t="s">
        <v>39</v>
      </c>
      <c r="E89" s="22" t="s">
        <v>29</v>
      </c>
      <c r="F89" s="22" t="s">
        <v>15</v>
      </c>
      <c r="G89" s="22" t="s">
        <v>21</v>
      </c>
      <c r="H89" s="22">
        <v>45</v>
      </c>
      <c r="I89" s="24">
        <v>42587</v>
      </c>
      <c r="J89" s="27">
        <v>707</v>
      </c>
      <c r="K89" s="25">
        <v>0.12</v>
      </c>
      <c r="L89" s="22" t="s">
        <v>30</v>
      </c>
      <c r="M89" s="23" t="s">
        <v>31</v>
      </c>
    </row>
    <row r="90" spans="1:13" x14ac:dyDescent="0.35">
      <c r="A90" s="22" t="s">
        <v>352</v>
      </c>
      <c r="B90" s="22" t="s">
        <v>1184</v>
      </c>
      <c r="C90" s="22" t="s">
        <v>36</v>
      </c>
      <c r="D90" s="22" t="s">
        <v>20</v>
      </c>
      <c r="E90" s="22" t="s">
        <v>1102</v>
      </c>
      <c r="F90" s="22" t="s">
        <v>15</v>
      </c>
      <c r="G90" s="22" t="s">
        <v>44</v>
      </c>
      <c r="H90" s="22">
        <v>45</v>
      </c>
      <c r="I90" s="24">
        <v>39617</v>
      </c>
      <c r="J90" s="27">
        <v>890</v>
      </c>
      <c r="K90" s="25">
        <v>0.17</v>
      </c>
      <c r="L90" s="22" t="s">
        <v>17</v>
      </c>
      <c r="M90" s="23" t="s">
        <v>35</v>
      </c>
    </row>
    <row r="91" spans="1:13" x14ac:dyDescent="0.35">
      <c r="A91" s="22" t="s">
        <v>353</v>
      </c>
      <c r="B91" s="22" t="s">
        <v>1185</v>
      </c>
      <c r="C91" s="22" t="s">
        <v>36</v>
      </c>
      <c r="D91" s="22" t="s">
        <v>20</v>
      </c>
      <c r="E91" s="22" t="s">
        <v>1102</v>
      </c>
      <c r="F91" s="22" t="s">
        <v>15</v>
      </c>
      <c r="G91" s="22" t="s">
        <v>41</v>
      </c>
      <c r="H91" s="22">
        <v>33</v>
      </c>
      <c r="I91" s="24">
        <v>42079</v>
      </c>
      <c r="J91" s="27">
        <v>784</v>
      </c>
      <c r="K91" s="25">
        <v>0.21</v>
      </c>
      <c r="L91" s="22" t="s">
        <v>17</v>
      </c>
      <c r="M91" s="23" t="s">
        <v>26</v>
      </c>
    </row>
    <row r="92" spans="1:13" ht="43.5" x14ac:dyDescent="0.35">
      <c r="A92" s="22" t="s">
        <v>354</v>
      </c>
      <c r="B92" s="22" t="s">
        <v>1186</v>
      </c>
      <c r="C92" s="22" t="s">
        <v>53</v>
      </c>
      <c r="D92" s="22" t="s">
        <v>43</v>
      </c>
      <c r="E92" s="26" t="s">
        <v>2070</v>
      </c>
      <c r="F92" s="22" t="s">
        <v>15</v>
      </c>
      <c r="G92" s="22" t="s">
        <v>41</v>
      </c>
      <c r="H92" s="22">
        <v>42</v>
      </c>
      <c r="I92" s="24">
        <v>41742</v>
      </c>
      <c r="J92" s="27">
        <v>781</v>
      </c>
      <c r="K92" s="25">
        <v>0.09</v>
      </c>
      <c r="L92" s="22" t="s">
        <v>17</v>
      </c>
      <c r="M92" s="23" t="s">
        <v>54</v>
      </c>
    </row>
    <row r="93" spans="1:13" x14ac:dyDescent="0.35">
      <c r="A93" s="22" t="s">
        <v>355</v>
      </c>
      <c r="B93" s="22" t="s">
        <v>1187</v>
      </c>
      <c r="C93" s="22" t="s">
        <v>34</v>
      </c>
      <c r="D93" s="22" t="s">
        <v>24</v>
      </c>
      <c r="E93" s="22" t="s">
        <v>33</v>
      </c>
      <c r="F93" s="22" t="s">
        <v>15</v>
      </c>
      <c r="G93" s="22" t="s">
        <v>41</v>
      </c>
      <c r="H93" s="22">
        <v>37</v>
      </c>
      <c r="I93" s="24">
        <v>40846</v>
      </c>
      <c r="J93" s="27">
        <v>983</v>
      </c>
      <c r="K93" s="25">
        <v>0</v>
      </c>
      <c r="L93" s="22" t="s">
        <v>17</v>
      </c>
      <c r="M93" s="23" t="s">
        <v>26</v>
      </c>
    </row>
    <row r="94" spans="1:13" x14ac:dyDescent="0.35">
      <c r="A94" s="22" t="s">
        <v>117</v>
      </c>
      <c r="B94" s="22" t="s">
        <v>1188</v>
      </c>
      <c r="C94" s="22" t="s">
        <v>53</v>
      </c>
      <c r="D94" s="22" t="s">
        <v>39</v>
      </c>
      <c r="E94" s="22" t="s">
        <v>29</v>
      </c>
      <c r="F94" s="22" t="s">
        <v>15</v>
      </c>
      <c r="G94" s="22" t="s">
        <v>21</v>
      </c>
      <c r="H94" s="22">
        <v>27</v>
      </c>
      <c r="I94" s="24">
        <v>44900</v>
      </c>
      <c r="J94" s="27">
        <v>728</v>
      </c>
      <c r="K94" s="25">
        <v>7.0000000000000007E-2</v>
      </c>
      <c r="L94" s="22" t="s">
        <v>30</v>
      </c>
      <c r="M94" s="23" t="s">
        <v>61</v>
      </c>
    </row>
    <row r="95" spans="1:13" x14ac:dyDescent="0.35">
      <c r="A95" s="22" t="s">
        <v>356</v>
      </c>
      <c r="B95" s="22" t="s">
        <v>1189</v>
      </c>
      <c r="C95" s="22" t="s">
        <v>48</v>
      </c>
      <c r="D95" s="22" t="s">
        <v>24</v>
      </c>
      <c r="E95" s="22" t="s">
        <v>33</v>
      </c>
      <c r="F95" s="22" t="s">
        <v>25</v>
      </c>
      <c r="G95" s="22" t="s">
        <v>44</v>
      </c>
      <c r="H95" s="22">
        <v>55</v>
      </c>
      <c r="I95" s="24">
        <v>37789</v>
      </c>
      <c r="J95" s="27">
        <v>536</v>
      </c>
      <c r="K95" s="25">
        <v>0.08</v>
      </c>
      <c r="L95" s="22" t="s">
        <v>45</v>
      </c>
      <c r="M95" s="23" t="s">
        <v>46</v>
      </c>
    </row>
    <row r="96" spans="1:13" x14ac:dyDescent="0.35">
      <c r="A96" s="22" t="s">
        <v>357</v>
      </c>
      <c r="B96" s="22" t="s">
        <v>1190</v>
      </c>
      <c r="C96" s="22" t="s">
        <v>57</v>
      </c>
      <c r="D96" s="22" t="s">
        <v>56</v>
      </c>
      <c r="E96" s="22" t="s">
        <v>14</v>
      </c>
      <c r="F96" s="22" t="s">
        <v>15</v>
      </c>
      <c r="G96" s="22" t="s">
        <v>21</v>
      </c>
      <c r="H96" s="22">
        <v>46</v>
      </c>
      <c r="I96" s="24">
        <v>38808</v>
      </c>
      <c r="J96" s="27">
        <v>1000</v>
      </c>
      <c r="K96" s="25">
        <v>0</v>
      </c>
      <c r="L96" s="22" t="s">
        <v>30</v>
      </c>
      <c r="M96" s="23" t="s">
        <v>65</v>
      </c>
    </row>
    <row r="97" spans="1:13" x14ac:dyDescent="0.35">
      <c r="A97" s="22" t="s">
        <v>358</v>
      </c>
      <c r="B97" s="22" t="s">
        <v>1191</v>
      </c>
      <c r="C97" s="22" t="s">
        <v>47</v>
      </c>
      <c r="D97" s="22" t="s">
        <v>24</v>
      </c>
      <c r="E97" s="22" t="s">
        <v>14</v>
      </c>
      <c r="F97" s="22" t="s">
        <v>25</v>
      </c>
      <c r="G97" s="22" t="s">
        <v>21</v>
      </c>
      <c r="H97" s="22">
        <v>37</v>
      </c>
      <c r="I97" s="24">
        <v>42236</v>
      </c>
      <c r="J97" s="27">
        <v>866</v>
      </c>
      <c r="K97" s="25">
        <v>0</v>
      </c>
      <c r="L97" s="22" t="s">
        <v>30</v>
      </c>
      <c r="M97" s="23" t="s">
        <v>61</v>
      </c>
    </row>
    <row r="98" spans="1:13" x14ac:dyDescent="0.35">
      <c r="A98" s="22" t="s">
        <v>359</v>
      </c>
      <c r="B98" s="22" t="s">
        <v>1192</v>
      </c>
      <c r="C98" s="22" t="s">
        <v>76</v>
      </c>
      <c r="D98" s="22" t="s">
        <v>28</v>
      </c>
      <c r="E98" s="22" t="s">
        <v>29</v>
      </c>
      <c r="F98" s="22" t="s">
        <v>25</v>
      </c>
      <c r="G98" s="22" t="s">
        <v>21</v>
      </c>
      <c r="H98" s="22">
        <v>32</v>
      </c>
      <c r="I98" s="24">
        <v>43730</v>
      </c>
      <c r="J98" s="27">
        <v>793</v>
      </c>
      <c r="K98" s="25">
        <v>0.12</v>
      </c>
      <c r="L98" s="22" t="s">
        <v>17</v>
      </c>
      <c r="M98" s="23" t="s">
        <v>18</v>
      </c>
    </row>
    <row r="99" spans="1:13" x14ac:dyDescent="0.35">
      <c r="A99" s="22" t="s">
        <v>360</v>
      </c>
      <c r="B99" s="22" t="s">
        <v>1193</v>
      </c>
      <c r="C99" s="22" t="s">
        <v>55</v>
      </c>
      <c r="D99" s="22" t="s">
        <v>13</v>
      </c>
      <c r="E99" s="22" t="s">
        <v>1102</v>
      </c>
      <c r="F99" s="22" t="s">
        <v>15</v>
      </c>
      <c r="G99" s="22" t="s">
        <v>16</v>
      </c>
      <c r="H99" s="22">
        <v>28</v>
      </c>
      <c r="I99" s="24">
        <v>43868</v>
      </c>
      <c r="J99" s="27">
        <v>585</v>
      </c>
      <c r="K99" s="25">
        <v>0</v>
      </c>
      <c r="L99" s="22" t="s">
        <v>17</v>
      </c>
      <c r="M99" s="23" t="s">
        <v>54</v>
      </c>
    </row>
    <row r="100" spans="1:13" x14ac:dyDescent="0.35">
      <c r="A100" s="22" t="s">
        <v>361</v>
      </c>
      <c r="B100" s="22" t="s">
        <v>1194</v>
      </c>
      <c r="C100" s="22" t="s">
        <v>36</v>
      </c>
      <c r="D100" s="22" t="s">
        <v>28</v>
      </c>
      <c r="E100" s="22" t="s">
        <v>29</v>
      </c>
      <c r="F100" s="22" t="s">
        <v>25</v>
      </c>
      <c r="G100" s="22" t="s">
        <v>44</v>
      </c>
      <c r="H100" s="22">
        <v>49</v>
      </c>
      <c r="I100" s="24">
        <v>39168</v>
      </c>
      <c r="J100" s="27">
        <v>556</v>
      </c>
      <c r="K100" s="25">
        <v>0.27</v>
      </c>
      <c r="L100" s="22" t="s">
        <v>45</v>
      </c>
      <c r="M100" s="23" t="s">
        <v>46</v>
      </c>
    </row>
    <row r="101" spans="1:13" x14ac:dyDescent="0.35">
      <c r="A101" s="22" t="s">
        <v>362</v>
      </c>
      <c r="B101" s="22" t="s">
        <v>1195</v>
      </c>
      <c r="C101" s="22" t="s">
        <v>36</v>
      </c>
      <c r="D101" s="22" t="s">
        <v>28</v>
      </c>
      <c r="E101" s="22" t="s">
        <v>29</v>
      </c>
      <c r="F101" s="22" t="s">
        <v>15</v>
      </c>
      <c r="G101" s="22" t="s">
        <v>21</v>
      </c>
      <c r="H101" s="22">
        <v>52</v>
      </c>
      <c r="I101" s="24">
        <v>42539</v>
      </c>
      <c r="J101" s="27">
        <v>794</v>
      </c>
      <c r="K101" s="25">
        <v>0.23</v>
      </c>
      <c r="L101" s="22" t="s">
        <v>30</v>
      </c>
      <c r="M101" s="23" t="s">
        <v>31</v>
      </c>
    </row>
    <row r="102" spans="1:13" x14ac:dyDescent="0.35">
      <c r="A102" s="22" t="s">
        <v>363</v>
      </c>
      <c r="B102" s="22" t="s">
        <v>1196</v>
      </c>
      <c r="C102" s="22" t="s">
        <v>57</v>
      </c>
      <c r="D102" s="22" t="s">
        <v>56</v>
      </c>
      <c r="E102" s="22" t="s">
        <v>33</v>
      </c>
      <c r="F102" s="22" t="s">
        <v>15</v>
      </c>
      <c r="G102" s="22" t="s">
        <v>21</v>
      </c>
      <c r="H102" s="22">
        <v>61</v>
      </c>
      <c r="I102" s="24">
        <v>43081</v>
      </c>
      <c r="J102" s="27">
        <v>734</v>
      </c>
      <c r="K102" s="25">
        <v>0</v>
      </c>
      <c r="L102" s="22" t="s">
        <v>30</v>
      </c>
      <c r="M102" s="23" t="s">
        <v>61</v>
      </c>
    </row>
    <row r="103" spans="1:13" x14ac:dyDescent="0.35">
      <c r="A103" s="22" t="s">
        <v>123</v>
      </c>
      <c r="B103" s="22" t="s">
        <v>1197</v>
      </c>
      <c r="C103" s="22" t="s">
        <v>12</v>
      </c>
      <c r="D103" s="22" t="s">
        <v>43</v>
      </c>
      <c r="E103" s="22" t="s">
        <v>1102</v>
      </c>
      <c r="F103" s="22" t="s">
        <v>25</v>
      </c>
      <c r="G103" s="22" t="s">
        <v>21</v>
      </c>
      <c r="H103" s="22">
        <v>53</v>
      </c>
      <c r="I103" s="24">
        <v>41042</v>
      </c>
      <c r="J103" s="27">
        <v>680</v>
      </c>
      <c r="K103" s="25">
        <v>0.38</v>
      </c>
      <c r="L103" s="22" t="s">
        <v>30</v>
      </c>
      <c r="M103" s="23" t="s">
        <v>52</v>
      </c>
    </row>
    <row r="104" spans="1:13" x14ac:dyDescent="0.35">
      <c r="A104" s="22" t="s">
        <v>364</v>
      </c>
      <c r="B104" s="22" t="s">
        <v>1198</v>
      </c>
      <c r="C104" s="22" t="s">
        <v>63</v>
      </c>
      <c r="D104" s="22" t="s">
        <v>20</v>
      </c>
      <c r="E104" s="22" t="s">
        <v>29</v>
      </c>
      <c r="F104" s="22" t="s">
        <v>25</v>
      </c>
      <c r="G104" s="22" t="s">
        <v>21</v>
      </c>
      <c r="H104" s="22">
        <v>40</v>
      </c>
      <c r="I104" s="24">
        <v>43330</v>
      </c>
      <c r="J104" s="27">
        <v>980</v>
      </c>
      <c r="K104" s="25">
        <v>0</v>
      </c>
      <c r="L104" s="22" t="s">
        <v>30</v>
      </c>
      <c r="M104" s="23" t="s">
        <v>61</v>
      </c>
    </row>
    <row r="105" spans="1:13" x14ac:dyDescent="0.35">
      <c r="A105" s="22" t="s">
        <v>365</v>
      </c>
      <c r="B105" s="22" t="s">
        <v>1199</v>
      </c>
      <c r="C105" s="22" t="s">
        <v>53</v>
      </c>
      <c r="D105" s="22" t="s">
        <v>13</v>
      </c>
      <c r="E105" s="22" t="s">
        <v>29</v>
      </c>
      <c r="F105" s="22" t="s">
        <v>25</v>
      </c>
      <c r="G105" s="22" t="s">
        <v>16</v>
      </c>
      <c r="H105" s="22">
        <v>27</v>
      </c>
      <c r="I105" s="24">
        <v>44634</v>
      </c>
      <c r="J105" s="27">
        <v>928</v>
      </c>
      <c r="K105" s="25">
        <v>0.08</v>
      </c>
      <c r="L105" s="22" t="s">
        <v>17</v>
      </c>
      <c r="M105" s="23" t="s">
        <v>40</v>
      </c>
    </row>
    <row r="106" spans="1:13" x14ac:dyDescent="0.35">
      <c r="A106" s="22" t="s">
        <v>366</v>
      </c>
      <c r="B106" s="22" t="s">
        <v>1200</v>
      </c>
      <c r="C106" s="22" t="s">
        <v>53</v>
      </c>
      <c r="D106" s="22" t="s">
        <v>39</v>
      </c>
      <c r="E106" s="22" t="s">
        <v>1102</v>
      </c>
      <c r="F106" s="22" t="s">
        <v>15</v>
      </c>
      <c r="G106" s="22" t="s">
        <v>16</v>
      </c>
      <c r="H106" s="22">
        <v>26</v>
      </c>
      <c r="I106" s="24">
        <v>44158</v>
      </c>
      <c r="J106" s="27">
        <v>700</v>
      </c>
      <c r="K106" s="25">
        <v>0.05</v>
      </c>
      <c r="L106" s="22" t="s">
        <v>17</v>
      </c>
      <c r="M106" s="23" t="s">
        <v>18</v>
      </c>
    </row>
    <row r="107" spans="1:13" x14ac:dyDescent="0.35">
      <c r="A107" s="22" t="s">
        <v>367</v>
      </c>
      <c r="B107" s="22" t="s">
        <v>1201</v>
      </c>
      <c r="C107" s="22" t="s">
        <v>62</v>
      </c>
      <c r="D107" s="22" t="s">
        <v>24</v>
      </c>
      <c r="E107" s="22" t="s">
        <v>1102</v>
      </c>
      <c r="F107" s="22" t="s">
        <v>25</v>
      </c>
      <c r="G107" s="22" t="s">
        <v>16</v>
      </c>
      <c r="H107" s="22">
        <v>53</v>
      </c>
      <c r="I107" s="24">
        <v>36546</v>
      </c>
      <c r="J107" s="27">
        <v>521</v>
      </c>
      <c r="K107" s="25">
        <v>0</v>
      </c>
      <c r="L107" s="22" t="s">
        <v>17</v>
      </c>
      <c r="M107" s="23" t="s">
        <v>54</v>
      </c>
    </row>
    <row r="108" spans="1:13" x14ac:dyDescent="0.35">
      <c r="A108" s="22" t="s">
        <v>191</v>
      </c>
      <c r="B108" s="22" t="s">
        <v>1202</v>
      </c>
      <c r="C108" s="22" t="s">
        <v>1111</v>
      </c>
      <c r="D108" s="22" t="s">
        <v>56</v>
      </c>
      <c r="E108" s="22" t="s">
        <v>1102</v>
      </c>
      <c r="F108" s="22" t="s">
        <v>25</v>
      </c>
      <c r="G108" s="22" t="s">
        <v>44</v>
      </c>
      <c r="H108" s="22">
        <v>33</v>
      </c>
      <c r="I108" s="24">
        <v>41484</v>
      </c>
      <c r="J108" s="27">
        <v>821</v>
      </c>
      <c r="K108" s="25">
        <v>0.15</v>
      </c>
      <c r="L108" s="22" t="s">
        <v>45</v>
      </c>
      <c r="M108" s="23" t="s">
        <v>66</v>
      </c>
    </row>
    <row r="109" spans="1:13" x14ac:dyDescent="0.35">
      <c r="A109" s="22" t="s">
        <v>368</v>
      </c>
      <c r="B109" s="22" t="s">
        <v>1203</v>
      </c>
      <c r="C109" s="22" t="s">
        <v>83</v>
      </c>
      <c r="D109" s="22" t="s">
        <v>28</v>
      </c>
      <c r="E109" s="22" t="s">
        <v>33</v>
      </c>
      <c r="F109" s="22" t="s">
        <v>15</v>
      </c>
      <c r="G109" s="22" t="s">
        <v>21</v>
      </c>
      <c r="H109" s="22">
        <v>27</v>
      </c>
      <c r="I109" s="24">
        <v>44907</v>
      </c>
      <c r="J109" s="27">
        <v>582</v>
      </c>
      <c r="K109" s="25">
        <v>0</v>
      </c>
      <c r="L109" s="22" t="s">
        <v>30</v>
      </c>
      <c r="M109" s="23" t="s">
        <v>31</v>
      </c>
    </row>
    <row r="110" spans="1:13" x14ac:dyDescent="0.35">
      <c r="A110" s="22" t="s">
        <v>369</v>
      </c>
      <c r="B110" s="22" t="s">
        <v>1204</v>
      </c>
      <c r="C110" s="22" t="s">
        <v>12</v>
      </c>
      <c r="D110" s="22" t="s">
        <v>39</v>
      </c>
      <c r="E110" s="22" t="s">
        <v>29</v>
      </c>
      <c r="F110" s="22" t="s">
        <v>15</v>
      </c>
      <c r="G110" s="22" t="s">
        <v>44</v>
      </c>
      <c r="H110" s="22">
        <v>56</v>
      </c>
      <c r="I110" s="24">
        <v>42553</v>
      </c>
      <c r="J110" s="27">
        <v>671</v>
      </c>
      <c r="K110" s="25">
        <v>0.38</v>
      </c>
      <c r="L110" s="22" t="s">
        <v>17</v>
      </c>
      <c r="M110" s="23" t="s">
        <v>35</v>
      </c>
    </row>
    <row r="111" spans="1:13" x14ac:dyDescent="0.35">
      <c r="A111" s="22" t="s">
        <v>370</v>
      </c>
      <c r="B111" s="22" t="s">
        <v>1205</v>
      </c>
      <c r="C111" s="22" t="s">
        <v>57</v>
      </c>
      <c r="D111" s="22" t="s">
        <v>43</v>
      </c>
      <c r="E111" s="22" t="s">
        <v>29</v>
      </c>
      <c r="F111" s="22" t="s">
        <v>15</v>
      </c>
      <c r="G111" s="22" t="s">
        <v>44</v>
      </c>
      <c r="H111" s="22">
        <v>36</v>
      </c>
      <c r="I111" s="24">
        <v>41550</v>
      </c>
      <c r="J111" s="27">
        <v>526</v>
      </c>
      <c r="K111" s="25">
        <v>0</v>
      </c>
      <c r="L111" s="22" t="s">
        <v>45</v>
      </c>
      <c r="M111" s="23" t="s">
        <v>46</v>
      </c>
    </row>
    <row r="112" spans="1:13" x14ac:dyDescent="0.35">
      <c r="A112" s="22" t="s">
        <v>121</v>
      </c>
      <c r="B112" s="22" t="s">
        <v>1206</v>
      </c>
      <c r="C112" s="22" t="s">
        <v>36</v>
      </c>
      <c r="D112" s="22" t="s">
        <v>39</v>
      </c>
      <c r="E112" s="22" t="s">
        <v>29</v>
      </c>
      <c r="F112" s="22" t="s">
        <v>15</v>
      </c>
      <c r="G112" s="22" t="s">
        <v>21</v>
      </c>
      <c r="H112" s="22">
        <v>47</v>
      </c>
      <c r="I112" s="24">
        <v>38358</v>
      </c>
      <c r="J112" s="27">
        <v>892</v>
      </c>
      <c r="K112" s="25">
        <v>0.17</v>
      </c>
      <c r="L112" s="22" t="s">
        <v>30</v>
      </c>
      <c r="M112" s="23" t="s">
        <v>65</v>
      </c>
    </row>
    <row r="113" spans="1:13" x14ac:dyDescent="0.35">
      <c r="A113" s="22" t="s">
        <v>371</v>
      </c>
      <c r="B113" s="22" t="s">
        <v>1207</v>
      </c>
      <c r="C113" s="22" t="s">
        <v>38</v>
      </c>
      <c r="D113" s="22" t="s">
        <v>43</v>
      </c>
      <c r="E113" s="22" t="s">
        <v>33</v>
      </c>
      <c r="F113" s="22" t="s">
        <v>25</v>
      </c>
      <c r="G113" s="22" t="s">
        <v>21</v>
      </c>
      <c r="H113" s="22">
        <v>28</v>
      </c>
      <c r="I113" s="24">
        <v>44259</v>
      </c>
      <c r="J113" s="27">
        <v>948</v>
      </c>
      <c r="K113" s="25">
        <v>0</v>
      </c>
      <c r="L113" s="22" t="s">
        <v>30</v>
      </c>
      <c r="M113" s="23" t="s">
        <v>65</v>
      </c>
    </row>
    <row r="114" spans="1:13" x14ac:dyDescent="0.35">
      <c r="A114" s="22" t="s">
        <v>372</v>
      </c>
      <c r="B114" s="22" t="s">
        <v>1208</v>
      </c>
      <c r="C114" s="22" t="s">
        <v>74</v>
      </c>
      <c r="D114" s="22" t="s">
        <v>43</v>
      </c>
      <c r="E114" s="22" t="s">
        <v>33</v>
      </c>
      <c r="F114" s="22" t="s">
        <v>25</v>
      </c>
      <c r="G114" s="22" t="s">
        <v>44</v>
      </c>
      <c r="H114" s="22">
        <v>30</v>
      </c>
      <c r="I114" s="24">
        <v>43107</v>
      </c>
      <c r="J114" s="27">
        <v>817</v>
      </c>
      <c r="K114" s="25">
        <v>0</v>
      </c>
      <c r="L114" s="22" t="s">
        <v>17</v>
      </c>
      <c r="M114" s="23" t="s">
        <v>18</v>
      </c>
    </row>
    <row r="115" spans="1:13" x14ac:dyDescent="0.35">
      <c r="A115" s="22" t="s">
        <v>373</v>
      </c>
      <c r="B115" s="22" t="s">
        <v>1209</v>
      </c>
      <c r="C115" s="22" t="s">
        <v>62</v>
      </c>
      <c r="D115" s="22" t="s">
        <v>24</v>
      </c>
      <c r="E115" s="22" t="s">
        <v>14</v>
      </c>
      <c r="F115" s="22" t="s">
        <v>15</v>
      </c>
      <c r="G115" s="22" t="s">
        <v>21</v>
      </c>
      <c r="H115" s="22">
        <v>58</v>
      </c>
      <c r="I115" s="24">
        <v>37861</v>
      </c>
      <c r="J115" s="27">
        <v>516</v>
      </c>
      <c r="K115" s="25">
        <v>0</v>
      </c>
      <c r="L115" s="22" t="s">
        <v>17</v>
      </c>
      <c r="M115" s="23" t="s">
        <v>35</v>
      </c>
    </row>
    <row r="116" spans="1:13" x14ac:dyDescent="0.35">
      <c r="A116" s="22" t="s">
        <v>374</v>
      </c>
      <c r="B116" s="22" t="s">
        <v>1210</v>
      </c>
      <c r="C116" s="22" t="s">
        <v>67</v>
      </c>
      <c r="D116" s="22" t="s">
        <v>24</v>
      </c>
      <c r="E116" s="22" t="s">
        <v>29</v>
      </c>
      <c r="F116" s="22" t="s">
        <v>15</v>
      </c>
      <c r="G116" s="22" t="s">
        <v>21</v>
      </c>
      <c r="H116" s="22">
        <v>56</v>
      </c>
      <c r="I116" s="24">
        <v>44270</v>
      </c>
      <c r="J116" s="27">
        <v>925</v>
      </c>
      <c r="K116" s="25">
        <v>0</v>
      </c>
      <c r="L116" s="22" t="s">
        <v>30</v>
      </c>
      <c r="M116" s="23" t="s">
        <v>52</v>
      </c>
    </row>
    <row r="117" spans="1:13" x14ac:dyDescent="0.35">
      <c r="A117" s="22" t="s">
        <v>375</v>
      </c>
      <c r="B117" s="22" t="s">
        <v>1211</v>
      </c>
      <c r="C117" s="22" t="s">
        <v>72</v>
      </c>
      <c r="D117" s="22" t="s">
        <v>24</v>
      </c>
      <c r="E117" s="22" t="s">
        <v>29</v>
      </c>
      <c r="F117" s="22" t="s">
        <v>15</v>
      </c>
      <c r="G117" s="22" t="s">
        <v>21</v>
      </c>
      <c r="H117" s="22">
        <v>65</v>
      </c>
      <c r="I117" s="24">
        <v>37312</v>
      </c>
      <c r="J117" s="27">
        <v>889</v>
      </c>
      <c r="K117" s="25">
        <v>0</v>
      </c>
      <c r="L117" s="22" t="s">
        <v>17</v>
      </c>
      <c r="M117" s="23" t="s">
        <v>54</v>
      </c>
    </row>
    <row r="118" spans="1:13" x14ac:dyDescent="0.35">
      <c r="A118" s="22" t="s">
        <v>376</v>
      </c>
      <c r="B118" s="22" t="s">
        <v>1212</v>
      </c>
      <c r="C118" s="22" t="s">
        <v>1111</v>
      </c>
      <c r="D118" s="22" t="s">
        <v>24</v>
      </c>
      <c r="E118" s="22" t="s">
        <v>1102</v>
      </c>
      <c r="F118" s="22" t="s">
        <v>15</v>
      </c>
      <c r="G118" s="22" t="s">
        <v>16</v>
      </c>
      <c r="H118" s="22">
        <v>29</v>
      </c>
      <c r="I118" s="24">
        <v>43214</v>
      </c>
      <c r="J118" s="27">
        <v>799</v>
      </c>
      <c r="K118" s="25">
        <v>0.15</v>
      </c>
      <c r="L118" s="22" t="s">
        <v>17</v>
      </c>
      <c r="M118" s="23" t="s">
        <v>40</v>
      </c>
    </row>
    <row r="119" spans="1:13" x14ac:dyDescent="0.35">
      <c r="A119" s="22" t="s">
        <v>377</v>
      </c>
      <c r="B119" s="22" t="s">
        <v>1213</v>
      </c>
      <c r="C119" s="22" t="s">
        <v>36</v>
      </c>
      <c r="D119" s="22" t="s">
        <v>20</v>
      </c>
      <c r="E119" s="22" t="s">
        <v>14</v>
      </c>
      <c r="F119" s="22" t="s">
        <v>15</v>
      </c>
      <c r="G119" s="22" t="s">
        <v>44</v>
      </c>
      <c r="H119" s="22">
        <v>60</v>
      </c>
      <c r="I119" s="24">
        <v>34243</v>
      </c>
      <c r="J119" s="27">
        <v>533</v>
      </c>
      <c r="K119" s="25">
        <v>0.26</v>
      </c>
      <c r="L119" s="22" t="s">
        <v>45</v>
      </c>
      <c r="M119" s="23" t="s">
        <v>1134</v>
      </c>
    </row>
    <row r="120" spans="1:13" x14ac:dyDescent="0.35">
      <c r="A120" s="22" t="s">
        <v>378</v>
      </c>
      <c r="B120" s="22" t="s">
        <v>264</v>
      </c>
      <c r="C120" s="22" t="s">
        <v>12</v>
      </c>
      <c r="D120" s="22" t="s">
        <v>43</v>
      </c>
      <c r="E120" s="22" t="s">
        <v>1102</v>
      </c>
      <c r="F120" s="22" t="s">
        <v>15</v>
      </c>
      <c r="G120" s="22" t="s">
        <v>21</v>
      </c>
      <c r="H120" s="22">
        <v>31</v>
      </c>
      <c r="I120" s="24">
        <v>43564</v>
      </c>
      <c r="J120" s="27">
        <v>678</v>
      </c>
      <c r="K120" s="25">
        <v>0.32</v>
      </c>
      <c r="L120" s="22" t="s">
        <v>17</v>
      </c>
      <c r="M120" s="23" t="s">
        <v>22</v>
      </c>
    </row>
    <row r="121" spans="1:13" x14ac:dyDescent="0.35">
      <c r="A121" s="22" t="s">
        <v>164</v>
      </c>
      <c r="B121" s="22" t="s">
        <v>1214</v>
      </c>
      <c r="C121" s="22" t="s">
        <v>36</v>
      </c>
      <c r="D121" s="22" t="s">
        <v>28</v>
      </c>
      <c r="E121" s="22" t="s">
        <v>1102</v>
      </c>
      <c r="F121" s="22" t="s">
        <v>15</v>
      </c>
      <c r="G121" s="22" t="s">
        <v>21</v>
      </c>
      <c r="H121" s="22">
        <v>45</v>
      </c>
      <c r="I121" s="24">
        <v>44636</v>
      </c>
      <c r="J121" s="27">
        <v>911</v>
      </c>
      <c r="K121" s="25">
        <v>0.26</v>
      </c>
      <c r="L121" s="22" t="s">
        <v>17</v>
      </c>
      <c r="M121" s="23" t="s">
        <v>26</v>
      </c>
    </row>
    <row r="122" spans="1:13" x14ac:dyDescent="0.35">
      <c r="A122" s="22" t="s">
        <v>379</v>
      </c>
      <c r="B122" s="22" t="s">
        <v>1215</v>
      </c>
      <c r="C122" s="22" t="s">
        <v>23</v>
      </c>
      <c r="D122" s="22" t="s">
        <v>24</v>
      </c>
      <c r="E122" s="22" t="s">
        <v>14</v>
      </c>
      <c r="F122" s="22" t="s">
        <v>25</v>
      </c>
      <c r="G122" s="22" t="s">
        <v>41</v>
      </c>
      <c r="H122" s="22">
        <v>30</v>
      </c>
      <c r="I122" s="24">
        <v>42989</v>
      </c>
      <c r="J122" s="27">
        <v>966</v>
      </c>
      <c r="K122" s="25">
        <v>0</v>
      </c>
      <c r="L122" s="22" t="s">
        <v>17</v>
      </c>
      <c r="M122" s="23" t="s">
        <v>18</v>
      </c>
    </row>
    <row r="123" spans="1:13" x14ac:dyDescent="0.35">
      <c r="A123" s="22" t="s">
        <v>380</v>
      </c>
      <c r="B123" s="22" t="s">
        <v>1216</v>
      </c>
      <c r="C123" s="22" t="s">
        <v>36</v>
      </c>
      <c r="D123" s="22" t="s">
        <v>20</v>
      </c>
      <c r="E123" s="22" t="s">
        <v>1102</v>
      </c>
      <c r="F123" s="22" t="s">
        <v>25</v>
      </c>
      <c r="G123" s="22" t="s">
        <v>44</v>
      </c>
      <c r="H123" s="22">
        <v>36</v>
      </c>
      <c r="I123" s="24">
        <v>40748</v>
      </c>
      <c r="J123" s="27">
        <v>749</v>
      </c>
      <c r="K123" s="25">
        <v>0.2</v>
      </c>
      <c r="L123" s="22" t="s">
        <v>45</v>
      </c>
      <c r="M123" s="23" t="s">
        <v>1134</v>
      </c>
    </row>
    <row r="124" spans="1:13" x14ac:dyDescent="0.35">
      <c r="A124" s="22" t="s">
        <v>381</v>
      </c>
      <c r="B124" s="22" t="s">
        <v>1217</v>
      </c>
      <c r="C124" s="22" t="s">
        <v>12</v>
      </c>
      <c r="D124" s="22" t="s">
        <v>24</v>
      </c>
      <c r="E124" s="22" t="s">
        <v>29</v>
      </c>
      <c r="F124" s="22" t="s">
        <v>25</v>
      </c>
      <c r="G124" s="22" t="s">
        <v>41</v>
      </c>
      <c r="H124" s="22">
        <v>39</v>
      </c>
      <c r="I124" s="24">
        <v>40406</v>
      </c>
      <c r="J124" s="27">
        <v>868</v>
      </c>
      <c r="K124" s="25">
        <v>0.33</v>
      </c>
      <c r="L124" s="22" t="s">
        <v>17</v>
      </c>
      <c r="M124" s="23" t="s">
        <v>54</v>
      </c>
    </row>
    <row r="125" spans="1:13" x14ac:dyDescent="0.35">
      <c r="A125" s="22" t="s">
        <v>382</v>
      </c>
      <c r="B125" s="22" t="s">
        <v>1218</v>
      </c>
      <c r="C125" s="22" t="s">
        <v>55</v>
      </c>
      <c r="D125" s="22" t="s">
        <v>43</v>
      </c>
      <c r="E125" s="22" t="s">
        <v>1102</v>
      </c>
      <c r="F125" s="22" t="s">
        <v>25</v>
      </c>
      <c r="G125" s="22" t="s">
        <v>21</v>
      </c>
      <c r="H125" s="22">
        <v>44</v>
      </c>
      <c r="I125" s="24">
        <v>41480</v>
      </c>
      <c r="J125" s="27">
        <v>977</v>
      </c>
      <c r="K125" s="25">
        <v>0</v>
      </c>
      <c r="L125" s="22" t="s">
        <v>30</v>
      </c>
      <c r="M125" s="23" t="s">
        <v>52</v>
      </c>
    </row>
    <row r="126" spans="1:13" x14ac:dyDescent="0.35">
      <c r="A126" s="22" t="s">
        <v>383</v>
      </c>
      <c r="B126" s="22" t="s">
        <v>1219</v>
      </c>
      <c r="C126" s="22" t="s">
        <v>53</v>
      </c>
      <c r="D126" s="22" t="s">
        <v>24</v>
      </c>
      <c r="E126" s="22" t="s">
        <v>33</v>
      </c>
      <c r="F126" s="22" t="s">
        <v>25</v>
      </c>
      <c r="G126" s="22" t="s">
        <v>21</v>
      </c>
      <c r="H126" s="22">
        <v>53</v>
      </c>
      <c r="I126" s="24">
        <v>40616</v>
      </c>
      <c r="J126" s="27">
        <v>973</v>
      </c>
      <c r="K126" s="25">
        <v>0.08</v>
      </c>
      <c r="L126" s="22" t="s">
        <v>30</v>
      </c>
      <c r="M126" s="23" t="s">
        <v>52</v>
      </c>
    </row>
    <row r="127" spans="1:13" x14ac:dyDescent="0.35">
      <c r="A127" s="22" t="s">
        <v>384</v>
      </c>
      <c r="B127" s="22" t="s">
        <v>1220</v>
      </c>
      <c r="C127" s="22" t="s">
        <v>60</v>
      </c>
      <c r="D127" s="22" t="s">
        <v>24</v>
      </c>
      <c r="E127" s="22" t="s">
        <v>1102</v>
      </c>
      <c r="F127" s="22" t="s">
        <v>15</v>
      </c>
      <c r="G127" s="22" t="s">
        <v>21</v>
      </c>
      <c r="H127" s="22">
        <v>46</v>
      </c>
      <c r="I127" s="24">
        <v>44205</v>
      </c>
      <c r="J127" s="27">
        <v>536</v>
      </c>
      <c r="K127" s="25">
        <v>0</v>
      </c>
      <c r="L127" s="22" t="s">
        <v>30</v>
      </c>
      <c r="M127" s="23" t="s">
        <v>52</v>
      </c>
    </row>
    <row r="128" spans="1:13" x14ac:dyDescent="0.35">
      <c r="A128" s="22" t="s">
        <v>385</v>
      </c>
      <c r="B128" s="22" t="s">
        <v>1221</v>
      </c>
      <c r="C128" s="22" t="s">
        <v>74</v>
      </c>
      <c r="D128" s="22" t="s">
        <v>43</v>
      </c>
      <c r="E128" s="22" t="s">
        <v>29</v>
      </c>
      <c r="F128" s="22" t="s">
        <v>25</v>
      </c>
      <c r="G128" s="22" t="s">
        <v>44</v>
      </c>
      <c r="H128" s="22">
        <v>30</v>
      </c>
      <c r="I128" s="24">
        <v>43309</v>
      </c>
      <c r="J128" s="27">
        <v>822</v>
      </c>
      <c r="K128" s="25">
        <v>0</v>
      </c>
      <c r="L128" s="22" t="s">
        <v>45</v>
      </c>
      <c r="M128" s="23" t="s">
        <v>66</v>
      </c>
    </row>
    <row r="129" spans="1:13" x14ac:dyDescent="0.35">
      <c r="A129" s="22" t="s">
        <v>386</v>
      </c>
      <c r="B129" s="22" t="s">
        <v>1222</v>
      </c>
      <c r="C129" s="22" t="s">
        <v>83</v>
      </c>
      <c r="D129" s="22" t="s">
        <v>28</v>
      </c>
      <c r="E129" s="22" t="s">
        <v>29</v>
      </c>
      <c r="F129" s="22" t="s">
        <v>15</v>
      </c>
      <c r="G129" s="22" t="s">
        <v>21</v>
      </c>
      <c r="H129" s="22">
        <v>28</v>
      </c>
      <c r="I129" s="24">
        <v>43681</v>
      </c>
      <c r="J129" s="27">
        <v>707</v>
      </c>
      <c r="K129" s="25">
        <v>0</v>
      </c>
      <c r="L129" s="22" t="s">
        <v>30</v>
      </c>
      <c r="M129" s="23" t="s">
        <v>52</v>
      </c>
    </row>
    <row r="130" spans="1:13" x14ac:dyDescent="0.35">
      <c r="A130" s="22" t="s">
        <v>387</v>
      </c>
      <c r="B130" s="22" t="s">
        <v>1223</v>
      </c>
      <c r="C130" s="22" t="s">
        <v>57</v>
      </c>
      <c r="D130" s="22" t="s">
        <v>56</v>
      </c>
      <c r="E130" s="22" t="s">
        <v>1102</v>
      </c>
      <c r="F130" s="22" t="s">
        <v>15</v>
      </c>
      <c r="G130" s="22" t="s">
        <v>21</v>
      </c>
      <c r="H130" s="22">
        <v>35</v>
      </c>
      <c r="I130" s="24">
        <v>44180</v>
      </c>
      <c r="J130" s="27">
        <v>564</v>
      </c>
      <c r="K130" s="25">
        <v>0</v>
      </c>
      <c r="L130" s="22" t="s">
        <v>30</v>
      </c>
      <c r="M130" s="23" t="s">
        <v>31</v>
      </c>
    </row>
    <row r="131" spans="1:13" x14ac:dyDescent="0.35">
      <c r="A131" s="22" t="s">
        <v>388</v>
      </c>
      <c r="B131" s="22" t="s">
        <v>1224</v>
      </c>
      <c r="C131" s="22" t="s">
        <v>55</v>
      </c>
      <c r="D131" s="22" t="s">
        <v>13</v>
      </c>
      <c r="E131" s="22" t="s">
        <v>14</v>
      </c>
      <c r="F131" s="22" t="s">
        <v>15</v>
      </c>
      <c r="G131" s="22" t="s">
        <v>21</v>
      </c>
      <c r="H131" s="22">
        <v>58</v>
      </c>
      <c r="I131" s="24">
        <v>35297</v>
      </c>
      <c r="J131" s="27">
        <v>866</v>
      </c>
      <c r="K131" s="25">
        <v>0</v>
      </c>
      <c r="L131" s="22" t="s">
        <v>30</v>
      </c>
      <c r="M131" s="23" t="s">
        <v>31</v>
      </c>
    </row>
    <row r="132" spans="1:13" x14ac:dyDescent="0.35">
      <c r="A132" s="22" t="s">
        <v>389</v>
      </c>
      <c r="B132" s="22" t="s">
        <v>1225</v>
      </c>
      <c r="C132" s="22" t="s">
        <v>38</v>
      </c>
      <c r="D132" s="22" t="s">
        <v>43</v>
      </c>
      <c r="E132" s="22" t="s">
        <v>1102</v>
      </c>
      <c r="F132" s="22" t="s">
        <v>25</v>
      </c>
      <c r="G132" s="22" t="s">
        <v>44</v>
      </c>
      <c r="H132" s="22">
        <v>47</v>
      </c>
      <c r="I132" s="24">
        <v>37400</v>
      </c>
      <c r="J132" s="27">
        <v>758</v>
      </c>
      <c r="K132" s="25">
        <v>0</v>
      </c>
      <c r="L132" s="22" t="s">
        <v>17</v>
      </c>
      <c r="M132" s="23" t="s">
        <v>18</v>
      </c>
    </row>
    <row r="133" spans="1:13" x14ac:dyDescent="0.35">
      <c r="A133" s="22" t="s">
        <v>390</v>
      </c>
      <c r="B133" s="22" t="s">
        <v>1226</v>
      </c>
      <c r="C133" s="22" t="s">
        <v>38</v>
      </c>
      <c r="D133" s="22" t="s">
        <v>39</v>
      </c>
      <c r="E133" s="22" t="s">
        <v>1102</v>
      </c>
      <c r="F133" s="22" t="s">
        <v>25</v>
      </c>
      <c r="G133" s="22" t="s">
        <v>21</v>
      </c>
      <c r="H133" s="22">
        <v>43</v>
      </c>
      <c r="I133" s="24">
        <v>39110</v>
      </c>
      <c r="J133" s="27">
        <v>642</v>
      </c>
      <c r="K133" s="25">
        <v>0</v>
      </c>
      <c r="L133" s="22" t="s">
        <v>30</v>
      </c>
      <c r="M133" s="23" t="s">
        <v>31</v>
      </c>
    </row>
    <row r="134" spans="1:13" x14ac:dyDescent="0.35">
      <c r="A134" s="22" t="s">
        <v>391</v>
      </c>
      <c r="B134" s="22" t="s">
        <v>1227</v>
      </c>
      <c r="C134" s="22" t="s">
        <v>55</v>
      </c>
      <c r="D134" s="22" t="s">
        <v>13</v>
      </c>
      <c r="E134" s="22" t="s">
        <v>33</v>
      </c>
      <c r="F134" s="22" t="s">
        <v>25</v>
      </c>
      <c r="G134" s="22" t="s">
        <v>41</v>
      </c>
      <c r="H134" s="22">
        <v>47</v>
      </c>
      <c r="I134" s="24">
        <v>42212</v>
      </c>
      <c r="J134" s="27">
        <v>997</v>
      </c>
      <c r="K134" s="25">
        <v>0</v>
      </c>
      <c r="L134" s="22" t="s">
        <v>17</v>
      </c>
      <c r="M134" s="23" t="s">
        <v>35</v>
      </c>
    </row>
    <row r="135" spans="1:13" x14ac:dyDescent="0.35">
      <c r="A135" s="22" t="s">
        <v>260</v>
      </c>
      <c r="B135" s="22" t="s">
        <v>1228</v>
      </c>
      <c r="C135" s="22" t="s">
        <v>34</v>
      </c>
      <c r="D135" s="22" t="s">
        <v>24</v>
      </c>
      <c r="E135" s="22" t="s">
        <v>14</v>
      </c>
      <c r="F135" s="22" t="s">
        <v>15</v>
      </c>
      <c r="G135" s="22" t="s">
        <v>44</v>
      </c>
      <c r="H135" s="22">
        <v>57</v>
      </c>
      <c r="I135" s="24">
        <v>41514</v>
      </c>
      <c r="J135" s="27">
        <v>970</v>
      </c>
      <c r="K135" s="25">
        <v>0</v>
      </c>
      <c r="L135" s="22" t="s">
        <v>45</v>
      </c>
      <c r="M135" s="23" t="s">
        <v>1134</v>
      </c>
    </row>
    <row r="136" spans="1:13" x14ac:dyDescent="0.35">
      <c r="A136" s="22" t="s">
        <v>392</v>
      </c>
      <c r="B136" s="22" t="s">
        <v>1229</v>
      </c>
      <c r="C136" s="22" t="s">
        <v>62</v>
      </c>
      <c r="D136" s="22" t="s">
        <v>24</v>
      </c>
      <c r="E136" s="22" t="s">
        <v>29</v>
      </c>
      <c r="F136" s="22" t="s">
        <v>25</v>
      </c>
      <c r="G136" s="22" t="s">
        <v>41</v>
      </c>
      <c r="H136" s="22">
        <v>47</v>
      </c>
      <c r="I136" s="24">
        <v>38384</v>
      </c>
      <c r="J136" s="27">
        <v>598</v>
      </c>
      <c r="K136" s="25">
        <v>0</v>
      </c>
      <c r="L136" s="22" t="s">
        <v>17</v>
      </c>
      <c r="M136" s="23" t="s">
        <v>35</v>
      </c>
    </row>
    <row r="137" spans="1:13" x14ac:dyDescent="0.35">
      <c r="A137" s="22" t="s">
        <v>393</v>
      </c>
      <c r="B137" s="22" t="s">
        <v>1230</v>
      </c>
      <c r="C137" s="22" t="s">
        <v>53</v>
      </c>
      <c r="D137" s="22" t="s">
        <v>43</v>
      </c>
      <c r="E137" s="22" t="s">
        <v>14</v>
      </c>
      <c r="F137" s="22" t="s">
        <v>15</v>
      </c>
      <c r="G137" s="22" t="s">
        <v>21</v>
      </c>
      <c r="H137" s="22">
        <v>50</v>
      </c>
      <c r="I137" s="24">
        <v>39507</v>
      </c>
      <c r="J137" s="27">
        <v>593</v>
      </c>
      <c r="K137" s="25">
        <v>0.1</v>
      </c>
      <c r="L137" s="22" t="s">
        <v>30</v>
      </c>
      <c r="M137" s="23" t="s">
        <v>61</v>
      </c>
    </row>
    <row r="138" spans="1:13" x14ac:dyDescent="0.35">
      <c r="A138" s="22" t="s">
        <v>394</v>
      </c>
      <c r="B138" s="22" t="s">
        <v>1231</v>
      </c>
      <c r="C138" s="22" t="s">
        <v>57</v>
      </c>
      <c r="D138" s="22" t="s">
        <v>39</v>
      </c>
      <c r="E138" s="22" t="s">
        <v>14</v>
      </c>
      <c r="F138" s="22" t="s">
        <v>15</v>
      </c>
      <c r="G138" s="22" t="s">
        <v>21</v>
      </c>
      <c r="H138" s="22">
        <v>27</v>
      </c>
      <c r="I138" s="24">
        <v>43908</v>
      </c>
      <c r="J138" s="27">
        <v>906</v>
      </c>
      <c r="K138" s="25">
        <v>0</v>
      </c>
      <c r="L138" s="22" t="s">
        <v>17</v>
      </c>
      <c r="M138" s="23" t="s">
        <v>18</v>
      </c>
    </row>
    <row r="139" spans="1:13" x14ac:dyDescent="0.35">
      <c r="A139" s="22" t="s">
        <v>132</v>
      </c>
      <c r="B139" s="22" t="s">
        <v>1232</v>
      </c>
      <c r="C139" s="22" t="s">
        <v>1111</v>
      </c>
      <c r="D139" s="22" t="s">
        <v>56</v>
      </c>
      <c r="E139" s="22" t="s">
        <v>29</v>
      </c>
      <c r="F139" s="22" t="s">
        <v>15</v>
      </c>
      <c r="G139" s="22" t="s">
        <v>44</v>
      </c>
      <c r="H139" s="22">
        <v>26</v>
      </c>
      <c r="I139" s="24">
        <v>44421</v>
      </c>
      <c r="J139" s="27">
        <v>811</v>
      </c>
      <c r="K139" s="25">
        <v>0.13</v>
      </c>
      <c r="L139" s="22" t="s">
        <v>45</v>
      </c>
      <c r="M139" s="23" t="s">
        <v>46</v>
      </c>
    </row>
    <row r="140" spans="1:13" x14ac:dyDescent="0.35">
      <c r="A140" s="22" t="s">
        <v>207</v>
      </c>
      <c r="B140" s="22" t="s">
        <v>1233</v>
      </c>
      <c r="C140" s="22" t="s">
        <v>32</v>
      </c>
      <c r="D140" s="22" t="s">
        <v>24</v>
      </c>
      <c r="E140" s="22" t="s">
        <v>29</v>
      </c>
      <c r="F140" s="22" t="s">
        <v>25</v>
      </c>
      <c r="G140" s="22" t="s">
        <v>21</v>
      </c>
      <c r="H140" s="22">
        <v>43</v>
      </c>
      <c r="I140" s="24">
        <v>39881</v>
      </c>
      <c r="J140" s="27">
        <v>566</v>
      </c>
      <c r="K140" s="25">
        <v>0</v>
      </c>
      <c r="L140" s="22" t="s">
        <v>30</v>
      </c>
      <c r="M140" s="23" t="s">
        <v>31</v>
      </c>
    </row>
    <row r="141" spans="1:13" x14ac:dyDescent="0.35">
      <c r="A141" s="22" t="s">
        <v>395</v>
      </c>
      <c r="B141" s="22" t="s">
        <v>1234</v>
      </c>
      <c r="C141" s="22" t="s">
        <v>12</v>
      </c>
      <c r="D141" s="22" t="s">
        <v>56</v>
      </c>
      <c r="E141" s="22" t="s">
        <v>29</v>
      </c>
      <c r="F141" s="22" t="s">
        <v>15</v>
      </c>
      <c r="G141" s="22" t="s">
        <v>44</v>
      </c>
      <c r="H141" s="22">
        <v>49</v>
      </c>
      <c r="I141" s="24">
        <v>36063</v>
      </c>
      <c r="J141" s="27">
        <v>900</v>
      </c>
      <c r="K141" s="25">
        <v>0.34</v>
      </c>
      <c r="L141" s="22" t="s">
        <v>45</v>
      </c>
      <c r="M141" s="23" t="s">
        <v>46</v>
      </c>
    </row>
    <row r="142" spans="1:13" x14ac:dyDescent="0.35">
      <c r="A142" s="22" t="s">
        <v>396</v>
      </c>
      <c r="B142" s="22" t="s">
        <v>1235</v>
      </c>
      <c r="C142" s="22" t="s">
        <v>1111</v>
      </c>
      <c r="D142" s="22" t="s">
        <v>43</v>
      </c>
      <c r="E142" s="22" t="s">
        <v>14</v>
      </c>
      <c r="F142" s="22" t="s">
        <v>15</v>
      </c>
      <c r="G142" s="22" t="s">
        <v>16</v>
      </c>
      <c r="H142" s="22">
        <v>36</v>
      </c>
      <c r="I142" s="24">
        <v>42888</v>
      </c>
      <c r="J142" s="27">
        <v>528</v>
      </c>
      <c r="K142" s="25">
        <v>0.1</v>
      </c>
      <c r="L142" s="22" t="s">
        <v>17</v>
      </c>
      <c r="M142" s="23" t="s">
        <v>26</v>
      </c>
    </row>
    <row r="143" spans="1:13" x14ac:dyDescent="0.35">
      <c r="A143" s="22" t="s">
        <v>397</v>
      </c>
      <c r="B143" s="22" t="s">
        <v>1236</v>
      </c>
      <c r="C143" s="22" t="s">
        <v>57</v>
      </c>
      <c r="D143" s="22" t="s">
        <v>56</v>
      </c>
      <c r="E143" s="22" t="s">
        <v>29</v>
      </c>
      <c r="F143" s="22" t="s">
        <v>15</v>
      </c>
      <c r="G143" s="22" t="s">
        <v>44</v>
      </c>
      <c r="H143" s="22">
        <v>51</v>
      </c>
      <c r="I143" s="24">
        <v>35003</v>
      </c>
      <c r="J143" s="27">
        <v>991</v>
      </c>
      <c r="K143" s="25">
        <v>0</v>
      </c>
      <c r="L143" s="22" t="s">
        <v>45</v>
      </c>
      <c r="M143" s="23" t="s">
        <v>46</v>
      </c>
    </row>
    <row r="144" spans="1:13" x14ac:dyDescent="0.35">
      <c r="A144" s="22" t="s">
        <v>398</v>
      </c>
      <c r="B144" s="22" t="s">
        <v>1237</v>
      </c>
      <c r="C144" s="22" t="s">
        <v>57</v>
      </c>
      <c r="D144" s="22" t="s">
        <v>56</v>
      </c>
      <c r="E144" s="22" t="s">
        <v>29</v>
      </c>
      <c r="F144" s="22" t="s">
        <v>15</v>
      </c>
      <c r="G144" s="22" t="s">
        <v>44</v>
      </c>
      <c r="H144" s="22">
        <v>46</v>
      </c>
      <c r="I144" s="24">
        <v>37511</v>
      </c>
      <c r="J144" s="27">
        <v>762</v>
      </c>
      <c r="K144" s="25">
        <v>0</v>
      </c>
      <c r="L144" s="22" t="s">
        <v>45</v>
      </c>
      <c r="M144" s="23" t="s">
        <v>66</v>
      </c>
    </row>
    <row r="145" spans="1:13" x14ac:dyDescent="0.35">
      <c r="A145" s="22" t="s">
        <v>399</v>
      </c>
      <c r="B145" s="22" t="s">
        <v>1238</v>
      </c>
      <c r="C145" s="22" t="s">
        <v>55</v>
      </c>
      <c r="D145" s="22" t="s">
        <v>13</v>
      </c>
      <c r="E145" s="22" t="s">
        <v>33</v>
      </c>
      <c r="F145" s="22" t="s">
        <v>25</v>
      </c>
      <c r="G145" s="22" t="s">
        <v>44</v>
      </c>
      <c r="H145" s="22">
        <v>37</v>
      </c>
      <c r="I145" s="24">
        <v>43783</v>
      </c>
      <c r="J145" s="27">
        <v>894</v>
      </c>
      <c r="K145" s="25">
        <v>0</v>
      </c>
      <c r="L145" s="22" t="s">
        <v>17</v>
      </c>
      <c r="M145" s="23" t="s">
        <v>18</v>
      </c>
    </row>
    <row r="146" spans="1:13" x14ac:dyDescent="0.35">
      <c r="A146" s="22" t="s">
        <v>400</v>
      </c>
      <c r="B146" s="22" t="s">
        <v>1239</v>
      </c>
      <c r="C146" s="22" t="s">
        <v>38</v>
      </c>
      <c r="D146" s="22" t="s">
        <v>13</v>
      </c>
      <c r="E146" s="22" t="s">
        <v>33</v>
      </c>
      <c r="F146" s="22" t="s">
        <v>25</v>
      </c>
      <c r="G146" s="22" t="s">
        <v>44</v>
      </c>
      <c r="H146" s="22">
        <v>43</v>
      </c>
      <c r="I146" s="24">
        <v>43268</v>
      </c>
      <c r="J146" s="27">
        <v>630</v>
      </c>
      <c r="K146" s="25">
        <v>0</v>
      </c>
      <c r="L146" s="22" t="s">
        <v>45</v>
      </c>
      <c r="M146" s="23" t="s">
        <v>66</v>
      </c>
    </row>
    <row r="147" spans="1:13" x14ac:dyDescent="0.35">
      <c r="A147" s="22" t="s">
        <v>128</v>
      </c>
      <c r="B147" s="22" t="s">
        <v>1240</v>
      </c>
      <c r="C147" s="22" t="s">
        <v>36</v>
      </c>
      <c r="D147" s="22" t="s">
        <v>39</v>
      </c>
      <c r="E147" s="22" t="s">
        <v>1102</v>
      </c>
      <c r="F147" s="22" t="s">
        <v>15</v>
      </c>
      <c r="G147" s="22" t="s">
        <v>41</v>
      </c>
      <c r="H147" s="22">
        <v>53</v>
      </c>
      <c r="I147" s="24">
        <v>41496</v>
      </c>
      <c r="J147" s="27">
        <v>589</v>
      </c>
      <c r="K147" s="25">
        <v>0.15</v>
      </c>
      <c r="L147" s="22" t="s">
        <v>17</v>
      </c>
      <c r="M147" s="23" t="s">
        <v>26</v>
      </c>
    </row>
    <row r="148" spans="1:13" x14ac:dyDescent="0.35">
      <c r="A148" s="22" t="s">
        <v>177</v>
      </c>
      <c r="B148" s="22" t="s">
        <v>1241</v>
      </c>
      <c r="C148" s="22" t="s">
        <v>77</v>
      </c>
      <c r="D148" s="22" t="s">
        <v>24</v>
      </c>
      <c r="E148" s="22" t="s">
        <v>14</v>
      </c>
      <c r="F148" s="22" t="s">
        <v>15</v>
      </c>
      <c r="G148" s="22" t="s">
        <v>21</v>
      </c>
      <c r="H148" s="22">
        <v>58</v>
      </c>
      <c r="I148" s="24">
        <v>41744</v>
      </c>
      <c r="J148" s="27">
        <v>642</v>
      </c>
      <c r="K148" s="25">
        <v>0</v>
      </c>
      <c r="L148" s="22" t="s">
        <v>30</v>
      </c>
      <c r="M148" s="23" t="s">
        <v>52</v>
      </c>
    </row>
    <row r="149" spans="1:13" x14ac:dyDescent="0.35">
      <c r="A149" s="22" t="s">
        <v>401</v>
      </c>
      <c r="B149" s="22" t="s">
        <v>1242</v>
      </c>
      <c r="C149" s="22" t="s">
        <v>53</v>
      </c>
      <c r="D149" s="22" t="s">
        <v>39</v>
      </c>
      <c r="E149" s="22" t="s">
        <v>29</v>
      </c>
      <c r="F149" s="22" t="s">
        <v>25</v>
      </c>
      <c r="G149" s="22" t="s">
        <v>16</v>
      </c>
      <c r="H149" s="22">
        <v>57</v>
      </c>
      <c r="I149" s="24">
        <v>35256</v>
      </c>
      <c r="J149" s="27">
        <v>927</v>
      </c>
      <c r="K149" s="25">
        <v>0.08</v>
      </c>
      <c r="L149" s="22" t="s">
        <v>17</v>
      </c>
      <c r="M149" s="23" t="s">
        <v>40</v>
      </c>
    </row>
    <row r="150" spans="1:13" x14ac:dyDescent="0.35">
      <c r="A150" s="22" t="s">
        <v>402</v>
      </c>
      <c r="B150" s="22" t="s">
        <v>1243</v>
      </c>
      <c r="C150" s="22" t="s">
        <v>67</v>
      </c>
      <c r="D150" s="22" t="s">
        <v>24</v>
      </c>
      <c r="E150" s="22" t="s">
        <v>33</v>
      </c>
      <c r="F150" s="22" t="s">
        <v>15</v>
      </c>
      <c r="G150" s="22" t="s">
        <v>44</v>
      </c>
      <c r="H150" s="22">
        <v>31</v>
      </c>
      <c r="I150" s="24">
        <v>42301</v>
      </c>
      <c r="J150" s="27">
        <v>889</v>
      </c>
      <c r="K150" s="25">
        <v>0</v>
      </c>
      <c r="L150" s="22" t="s">
        <v>45</v>
      </c>
      <c r="M150" s="23" t="s">
        <v>1134</v>
      </c>
    </row>
    <row r="151" spans="1:13" x14ac:dyDescent="0.35">
      <c r="A151" s="22" t="s">
        <v>403</v>
      </c>
      <c r="B151" s="22" t="s">
        <v>1244</v>
      </c>
      <c r="C151" s="22" t="s">
        <v>74</v>
      </c>
      <c r="D151" s="22" t="s">
        <v>43</v>
      </c>
      <c r="E151" s="22" t="s">
        <v>33</v>
      </c>
      <c r="F151" s="22" t="s">
        <v>25</v>
      </c>
      <c r="G151" s="22" t="s">
        <v>21</v>
      </c>
      <c r="H151" s="22">
        <v>40</v>
      </c>
      <c r="I151" s="24">
        <v>39255</v>
      </c>
      <c r="J151" s="27">
        <v>974</v>
      </c>
      <c r="K151" s="25">
        <v>0</v>
      </c>
      <c r="L151" s="22" t="s">
        <v>30</v>
      </c>
      <c r="M151" s="23" t="s">
        <v>65</v>
      </c>
    </row>
    <row r="152" spans="1:13" x14ac:dyDescent="0.35">
      <c r="A152" s="22" t="s">
        <v>404</v>
      </c>
      <c r="B152" s="22" t="s">
        <v>1245</v>
      </c>
      <c r="C152" s="22" t="s">
        <v>59</v>
      </c>
      <c r="D152" s="22" t="s">
        <v>24</v>
      </c>
      <c r="E152" s="22" t="s">
        <v>14</v>
      </c>
      <c r="F152" s="22" t="s">
        <v>25</v>
      </c>
      <c r="G152" s="22" t="s">
        <v>41</v>
      </c>
      <c r="H152" s="22">
        <v>47</v>
      </c>
      <c r="I152" s="24">
        <v>39593</v>
      </c>
      <c r="J152" s="27">
        <v>537</v>
      </c>
      <c r="K152" s="25">
        <v>0</v>
      </c>
      <c r="L152" s="22" t="s">
        <v>17</v>
      </c>
      <c r="M152" s="23" t="s">
        <v>40</v>
      </c>
    </row>
    <row r="153" spans="1:13" x14ac:dyDescent="0.35">
      <c r="A153" s="22" t="s">
        <v>263</v>
      </c>
      <c r="B153" s="22" t="s">
        <v>1246</v>
      </c>
      <c r="C153" s="22" t="s">
        <v>62</v>
      </c>
      <c r="D153" s="22" t="s">
        <v>24</v>
      </c>
      <c r="E153" s="22" t="s">
        <v>33</v>
      </c>
      <c r="F153" s="22" t="s">
        <v>15</v>
      </c>
      <c r="G153" s="22" t="s">
        <v>44</v>
      </c>
      <c r="H153" s="22">
        <v>51</v>
      </c>
      <c r="I153" s="24">
        <v>39207</v>
      </c>
      <c r="J153" s="27">
        <v>500</v>
      </c>
      <c r="K153" s="25">
        <v>0</v>
      </c>
      <c r="L153" s="22" t="s">
        <v>45</v>
      </c>
      <c r="M153" s="23" t="s">
        <v>1134</v>
      </c>
    </row>
    <row r="154" spans="1:13" x14ac:dyDescent="0.35">
      <c r="A154" s="22" t="s">
        <v>405</v>
      </c>
      <c r="B154" s="22" t="s">
        <v>1247</v>
      </c>
      <c r="C154" s="22" t="s">
        <v>72</v>
      </c>
      <c r="D154" s="22" t="s">
        <v>24</v>
      </c>
      <c r="E154" s="22" t="s">
        <v>14</v>
      </c>
      <c r="F154" s="22" t="s">
        <v>25</v>
      </c>
      <c r="G154" s="22" t="s">
        <v>21</v>
      </c>
      <c r="H154" s="22">
        <v>57</v>
      </c>
      <c r="I154" s="24">
        <v>44106</v>
      </c>
      <c r="J154" s="27">
        <v>881</v>
      </c>
      <c r="K154" s="25">
        <v>0</v>
      </c>
      <c r="L154" s="22" t="s">
        <v>30</v>
      </c>
      <c r="M154" s="23" t="s">
        <v>65</v>
      </c>
    </row>
    <row r="155" spans="1:13" x14ac:dyDescent="0.35">
      <c r="A155" s="22" t="s">
        <v>406</v>
      </c>
      <c r="B155" s="22" t="s">
        <v>1248</v>
      </c>
      <c r="C155" s="22" t="s">
        <v>60</v>
      </c>
      <c r="D155" s="22" t="s">
        <v>24</v>
      </c>
      <c r="E155" s="22" t="s">
        <v>29</v>
      </c>
      <c r="F155" s="22" t="s">
        <v>25</v>
      </c>
      <c r="G155" s="22" t="s">
        <v>16</v>
      </c>
      <c r="H155" s="22">
        <v>46</v>
      </c>
      <c r="I155" s="24">
        <v>44522</v>
      </c>
      <c r="J155" s="27">
        <v>648</v>
      </c>
      <c r="K155" s="25">
        <v>0</v>
      </c>
      <c r="L155" s="22" t="s">
        <v>17</v>
      </c>
      <c r="M155" s="23" t="s">
        <v>26</v>
      </c>
    </row>
    <row r="156" spans="1:13" x14ac:dyDescent="0.35">
      <c r="A156" s="22" t="s">
        <v>407</v>
      </c>
      <c r="B156" s="22" t="s">
        <v>1249</v>
      </c>
      <c r="C156" s="22" t="s">
        <v>83</v>
      </c>
      <c r="D156" s="22" t="s">
        <v>28</v>
      </c>
      <c r="E156" s="22" t="s">
        <v>29</v>
      </c>
      <c r="F156" s="22" t="s">
        <v>25</v>
      </c>
      <c r="G156" s="22" t="s">
        <v>44</v>
      </c>
      <c r="H156" s="22">
        <v>40</v>
      </c>
      <c r="I156" s="24">
        <v>44807</v>
      </c>
      <c r="J156" s="27">
        <v>570</v>
      </c>
      <c r="K156" s="25">
        <v>0</v>
      </c>
      <c r="L156" s="22" t="s">
        <v>17</v>
      </c>
      <c r="M156" s="23" t="s">
        <v>18</v>
      </c>
    </row>
    <row r="157" spans="1:13" x14ac:dyDescent="0.35">
      <c r="A157" s="22" t="s">
        <v>408</v>
      </c>
      <c r="B157" s="22" t="s">
        <v>1250</v>
      </c>
      <c r="C157" s="22" t="s">
        <v>57</v>
      </c>
      <c r="D157" s="22" t="s">
        <v>56</v>
      </c>
      <c r="E157" s="22" t="s">
        <v>14</v>
      </c>
      <c r="F157" s="22" t="s">
        <v>25</v>
      </c>
      <c r="G157" s="22" t="s">
        <v>21</v>
      </c>
      <c r="H157" s="22">
        <v>43</v>
      </c>
      <c r="I157" s="24">
        <v>38004</v>
      </c>
      <c r="J157" s="27">
        <v>621</v>
      </c>
      <c r="K157" s="25">
        <v>0</v>
      </c>
      <c r="L157" s="22" t="s">
        <v>30</v>
      </c>
      <c r="M157" s="23" t="s">
        <v>52</v>
      </c>
    </row>
    <row r="158" spans="1:13" x14ac:dyDescent="0.35">
      <c r="A158" s="22" t="s">
        <v>409</v>
      </c>
      <c r="B158" s="22" t="s">
        <v>1251</v>
      </c>
      <c r="C158" s="22" t="s">
        <v>60</v>
      </c>
      <c r="D158" s="22" t="s">
        <v>24</v>
      </c>
      <c r="E158" s="22" t="s">
        <v>14</v>
      </c>
      <c r="F158" s="22" t="s">
        <v>25</v>
      </c>
      <c r="G158" s="22" t="s">
        <v>16</v>
      </c>
      <c r="H158" s="22">
        <v>54</v>
      </c>
      <c r="I158" s="24">
        <v>44303</v>
      </c>
      <c r="J158" s="27">
        <v>619</v>
      </c>
      <c r="K158" s="25">
        <v>0</v>
      </c>
      <c r="L158" s="22" t="s">
        <v>17</v>
      </c>
      <c r="M158" s="23" t="s">
        <v>26</v>
      </c>
    </row>
    <row r="159" spans="1:13" x14ac:dyDescent="0.35">
      <c r="A159" s="22" t="s">
        <v>410</v>
      </c>
      <c r="B159" s="22" t="s">
        <v>1252</v>
      </c>
      <c r="C159" s="22" t="s">
        <v>1111</v>
      </c>
      <c r="D159" s="22" t="s">
        <v>43</v>
      </c>
      <c r="E159" s="22" t="s">
        <v>14</v>
      </c>
      <c r="F159" s="22" t="s">
        <v>15</v>
      </c>
      <c r="G159" s="22" t="s">
        <v>41</v>
      </c>
      <c r="H159" s="22">
        <v>27</v>
      </c>
      <c r="I159" s="24">
        <v>44198</v>
      </c>
      <c r="J159" s="27">
        <v>577</v>
      </c>
      <c r="K159" s="25">
        <v>0.15</v>
      </c>
      <c r="L159" s="22" t="s">
        <v>17</v>
      </c>
      <c r="M159" s="23" t="s">
        <v>54</v>
      </c>
    </row>
    <row r="160" spans="1:13" x14ac:dyDescent="0.35">
      <c r="A160" s="22" t="s">
        <v>411</v>
      </c>
      <c r="B160" s="22" t="s">
        <v>1253</v>
      </c>
      <c r="C160" s="22" t="s">
        <v>55</v>
      </c>
      <c r="D160" s="22" t="s">
        <v>56</v>
      </c>
      <c r="E160" s="22" t="s">
        <v>33</v>
      </c>
      <c r="F160" s="22" t="s">
        <v>15</v>
      </c>
      <c r="G160" s="22" t="s">
        <v>21</v>
      </c>
      <c r="H160" s="22">
        <v>56</v>
      </c>
      <c r="I160" s="24">
        <v>36387</v>
      </c>
      <c r="J160" s="27">
        <v>856</v>
      </c>
      <c r="K160" s="25">
        <v>0</v>
      </c>
      <c r="L160" s="22" t="s">
        <v>17</v>
      </c>
      <c r="M160" s="23" t="s">
        <v>54</v>
      </c>
    </row>
    <row r="161" spans="1:13" x14ac:dyDescent="0.35">
      <c r="A161" s="22" t="s">
        <v>412</v>
      </c>
      <c r="B161" s="22" t="s">
        <v>1254</v>
      </c>
      <c r="C161" s="22" t="s">
        <v>72</v>
      </c>
      <c r="D161" s="22" t="s">
        <v>24</v>
      </c>
      <c r="E161" s="22" t="s">
        <v>1102</v>
      </c>
      <c r="F161" s="22" t="s">
        <v>15</v>
      </c>
      <c r="G161" s="22" t="s">
        <v>44</v>
      </c>
      <c r="H161" s="22">
        <v>36</v>
      </c>
      <c r="I161" s="24">
        <v>44785</v>
      </c>
      <c r="J161" s="27">
        <v>516</v>
      </c>
      <c r="K161" s="25">
        <v>0</v>
      </c>
      <c r="L161" s="22" t="s">
        <v>17</v>
      </c>
      <c r="M161" s="23" t="s">
        <v>40</v>
      </c>
    </row>
    <row r="162" spans="1:13" x14ac:dyDescent="0.35">
      <c r="A162" s="22" t="s">
        <v>413</v>
      </c>
      <c r="B162" s="22" t="s">
        <v>1255</v>
      </c>
      <c r="C162" s="22" t="s">
        <v>53</v>
      </c>
      <c r="D162" s="22" t="s">
        <v>13</v>
      </c>
      <c r="E162" s="22" t="s">
        <v>33</v>
      </c>
      <c r="F162" s="22" t="s">
        <v>25</v>
      </c>
      <c r="G162" s="22" t="s">
        <v>21</v>
      </c>
      <c r="H162" s="22">
        <v>53</v>
      </c>
      <c r="I162" s="24">
        <v>38531</v>
      </c>
      <c r="J162" s="27">
        <v>912</v>
      </c>
      <c r="K162" s="25">
        <v>0.08</v>
      </c>
      <c r="L162" s="22" t="s">
        <v>30</v>
      </c>
      <c r="M162" s="23" t="s">
        <v>61</v>
      </c>
    </row>
    <row r="163" spans="1:13" x14ac:dyDescent="0.35">
      <c r="A163" s="22" t="s">
        <v>414</v>
      </c>
      <c r="B163" s="22" t="s">
        <v>1256</v>
      </c>
      <c r="C163" s="22" t="s">
        <v>36</v>
      </c>
      <c r="D163" s="22" t="s">
        <v>28</v>
      </c>
      <c r="E163" s="22" t="s">
        <v>14</v>
      </c>
      <c r="F163" s="22" t="s">
        <v>15</v>
      </c>
      <c r="G163" s="22" t="s">
        <v>16</v>
      </c>
      <c r="H163" s="22">
        <v>31</v>
      </c>
      <c r="I163" s="24">
        <v>43165</v>
      </c>
      <c r="J163" s="27">
        <v>973</v>
      </c>
      <c r="K163" s="25">
        <v>0.24</v>
      </c>
      <c r="L163" s="22" t="s">
        <v>17</v>
      </c>
      <c r="M163" s="23" t="s">
        <v>22</v>
      </c>
    </row>
    <row r="164" spans="1:13" x14ac:dyDescent="0.35">
      <c r="A164" s="22" t="s">
        <v>415</v>
      </c>
      <c r="B164" s="22" t="s">
        <v>1257</v>
      </c>
      <c r="C164" s="22" t="s">
        <v>42</v>
      </c>
      <c r="D164" s="22" t="s">
        <v>43</v>
      </c>
      <c r="E164" s="22" t="s">
        <v>1102</v>
      </c>
      <c r="F164" s="22" t="s">
        <v>25</v>
      </c>
      <c r="G164" s="22" t="s">
        <v>16</v>
      </c>
      <c r="H164" s="22">
        <v>45</v>
      </c>
      <c r="I164" s="24">
        <v>42494</v>
      </c>
      <c r="J164" s="27">
        <v>908</v>
      </c>
      <c r="K164" s="25">
        <v>0</v>
      </c>
      <c r="L164" s="22" t="s">
        <v>17</v>
      </c>
      <c r="M164" s="23" t="s">
        <v>26</v>
      </c>
    </row>
    <row r="165" spans="1:13" x14ac:dyDescent="0.35">
      <c r="A165" s="22" t="s">
        <v>416</v>
      </c>
      <c r="B165" s="22" t="s">
        <v>1258</v>
      </c>
      <c r="C165" s="22" t="s">
        <v>70</v>
      </c>
      <c r="D165" s="22" t="s">
        <v>28</v>
      </c>
      <c r="E165" s="22" t="s">
        <v>29</v>
      </c>
      <c r="F165" s="22" t="s">
        <v>25</v>
      </c>
      <c r="G165" s="22" t="s">
        <v>16</v>
      </c>
      <c r="H165" s="22">
        <v>29</v>
      </c>
      <c r="I165" s="24">
        <v>44619</v>
      </c>
      <c r="J165" s="27">
        <v>556</v>
      </c>
      <c r="K165" s="25">
        <v>0</v>
      </c>
      <c r="L165" s="22" t="s">
        <v>17</v>
      </c>
      <c r="M165" s="23" t="s">
        <v>22</v>
      </c>
    </row>
    <row r="166" spans="1:13" x14ac:dyDescent="0.35">
      <c r="A166" s="22" t="s">
        <v>145</v>
      </c>
      <c r="B166" s="22" t="s">
        <v>1259</v>
      </c>
      <c r="C166" s="22" t="s">
        <v>34</v>
      </c>
      <c r="D166" s="22" t="s">
        <v>24</v>
      </c>
      <c r="E166" s="22" t="s">
        <v>14</v>
      </c>
      <c r="F166" s="22" t="s">
        <v>15</v>
      </c>
      <c r="G166" s="22" t="s">
        <v>21</v>
      </c>
      <c r="H166" s="22">
        <v>27</v>
      </c>
      <c r="I166" s="24">
        <v>44071</v>
      </c>
      <c r="J166" s="27">
        <v>777</v>
      </c>
      <c r="K166" s="25">
        <v>0</v>
      </c>
      <c r="L166" s="22" t="s">
        <v>17</v>
      </c>
      <c r="M166" s="23" t="s">
        <v>26</v>
      </c>
    </row>
    <row r="167" spans="1:13" x14ac:dyDescent="0.35">
      <c r="A167" s="22" t="s">
        <v>417</v>
      </c>
      <c r="B167" s="22" t="s">
        <v>1260</v>
      </c>
      <c r="C167" s="22" t="s">
        <v>27</v>
      </c>
      <c r="D167" s="22" t="s">
        <v>28</v>
      </c>
      <c r="E167" s="22" t="s">
        <v>14</v>
      </c>
      <c r="F167" s="22" t="s">
        <v>25</v>
      </c>
      <c r="G167" s="22" t="s">
        <v>16</v>
      </c>
      <c r="H167" s="22">
        <v>26</v>
      </c>
      <c r="I167" s="24">
        <v>44669</v>
      </c>
      <c r="J167" s="27">
        <v>892</v>
      </c>
      <c r="K167" s="25">
        <v>0</v>
      </c>
      <c r="L167" s="22" t="s">
        <v>17</v>
      </c>
      <c r="M167" s="23" t="s">
        <v>22</v>
      </c>
    </row>
    <row r="168" spans="1:13" x14ac:dyDescent="0.35">
      <c r="A168" s="22" t="s">
        <v>418</v>
      </c>
      <c r="B168" s="22" t="s">
        <v>1261</v>
      </c>
      <c r="C168" s="22" t="s">
        <v>76</v>
      </c>
      <c r="D168" s="22" t="s">
        <v>28</v>
      </c>
      <c r="E168" s="22" t="s">
        <v>14</v>
      </c>
      <c r="F168" s="22" t="s">
        <v>15</v>
      </c>
      <c r="G168" s="22" t="s">
        <v>44</v>
      </c>
      <c r="H168" s="22">
        <v>53</v>
      </c>
      <c r="I168" s="24">
        <v>39978</v>
      </c>
      <c r="J168" s="27">
        <v>707</v>
      </c>
      <c r="K168" s="25">
        <v>0.1</v>
      </c>
      <c r="L168" s="22" t="s">
        <v>17</v>
      </c>
      <c r="M168" s="23" t="s">
        <v>22</v>
      </c>
    </row>
    <row r="169" spans="1:13" x14ac:dyDescent="0.35">
      <c r="A169" s="22" t="s">
        <v>419</v>
      </c>
      <c r="B169" s="22" t="s">
        <v>1262</v>
      </c>
      <c r="C169" s="22" t="s">
        <v>36</v>
      </c>
      <c r="D169" s="22" t="s">
        <v>56</v>
      </c>
      <c r="E169" s="22" t="s">
        <v>29</v>
      </c>
      <c r="F169" s="22" t="s">
        <v>15</v>
      </c>
      <c r="G169" s="22" t="s">
        <v>21</v>
      </c>
      <c r="H169" s="22">
        <v>64</v>
      </c>
      <c r="I169" s="24">
        <v>41157</v>
      </c>
      <c r="J169" s="27">
        <v>633</v>
      </c>
      <c r="K169" s="25">
        <v>0.22</v>
      </c>
      <c r="L169" s="22" t="s">
        <v>30</v>
      </c>
      <c r="M169" s="23" t="s">
        <v>31</v>
      </c>
    </row>
    <row r="170" spans="1:13" x14ac:dyDescent="0.35">
      <c r="A170" s="22" t="s">
        <v>420</v>
      </c>
      <c r="B170" s="22" t="s">
        <v>1263</v>
      </c>
      <c r="C170" s="22" t="s">
        <v>36</v>
      </c>
      <c r="D170" s="22" t="s">
        <v>39</v>
      </c>
      <c r="E170" s="22" t="s">
        <v>33</v>
      </c>
      <c r="F170" s="22" t="s">
        <v>25</v>
      </c>
      <c r="G170" s="22" t="s">
        <v>41</v>
      </c>
      <c r="H170" s="22">
        <v>32</v>
      </c>
      <c r="I170" s="24">
        <v>43258</v>
      </c>
      <c r="J170" s="27">
        <v>863</v>
      </c>
      <c r="K170" s="25">
        <v>0.23</v>
      </c>
      <c r="L170" s="22" t="s">
        <v>17</v>
      </c>
      <c r="M170" s="23" t="s">
        <v>26</v>
      </c>
    </row>
    <row r="171" spans="1:13" x14ac:dyDescent="0.35">
      <c r="A171" s="22" t="s">
        <v>421</v>
      </c>
      <c r="B171" s="22" t="s">
        <v>1264</v>
      </c>
      <c r="C171" s="22" t="s">
        <v>12</v>
      </c>
      <c r="D171" s="22" t="s">
        <v>56</v>
      </c>
      <c r="E171" s="22" t="s">
        <v>33</v>
      </c>
      <c r="F171" s="22" t="s">
        <v>15</v>
      </c>
      <c r="G171" s="22" t="s">
        <v>21</v>
      </c>
      <c r="H171" s="22">
        <v>42</v>
      </c>
      <c r="I171" s="24">
        <v>42174</v>
      </c>
      <c r="J171" s="27">
        <v>823</v>
      </c>
      <c r="K171" s="25">
        <v>0.38</v>
      </c>
      <c r="L171" s="22" t="s">
        <v>17</v>
      </c>
      <c r="M171" s="23" t="s">
        <v>40</v>
      </c>
    </row>
    <row r="172" spans="1:13" x14ac:dyDescent="0.35">
      <c r="A172" s="22" t="s">
        <v>422</v>
      </c>
      <c r="B172" s="22" t="s">
        <v>1265</v>
      </c>
      <c r="C172" s="22" t="s">
        <v>47</v>
      </c>
      <c r="D172" s="22" t="s">
        <v>24</v>
      </c>
      <c r="E172" s="22" t="s">
        <v>29</v>
      </c>
      <c r="F172" s="22" t="s">
        <v>15</v>
      </c>
      <c r="G172" s="22" t="s">
        <v>16</v>
      </c>
      <c r="H172" s="22">
        <v>31</v>
      </c>
      <c r="I172" s="24">
        <v>43317</v>
      </c>
      <c r="J172" s="27">
        <v>582</v>
      </c>
      <c r="K172" s="25">
        <v>0</v>
      </c>
      <c r="L172" s="22" t="s">
        <v>17</v>
      </c>
      <c r="M172" s="23" t="s">
        <v>35</v>
      </c>
    </row>
    <row r="173" spans="1:13" x14ac:dyDescent="0.35">
      <c r="A173" s="22" t="s">
        <v>423</v>
      </c>
      <c r="B173" s="22" t="s">
        <v>1266</v>
      </c>
      <c r="C173" s="22" t="s">
        <v>72</v>
      </c>
      <c r="D173" s="22" t="s">
        <v>24</v>
      </c>
      <c r="E173" s="22" t="s">
        <v>14</v>
      </c>
      <c r="F173" s="22" t="s">
        <v>15</v>
      </c>
      <c r="G173" s="22" t="s">
        <v>21</v>
      </c>
      <c r="H173" s="22">
        <v>40</v>
      </c>
      <c r="I173" s="24">
        <v>39352</v>
      </c>
      <c r="J173" s="27">
        <v>733</v>
      </c>
      <c r="K173" s="25">
        <v>0</v>
      </c>
      <c r="L173" s="22" t="s">
        <v>30</v>
      </c>
      <c r="M173" s="23" t="s">
        <v>65</v>
      </c>
    </row>
    <row r="174" spans="1:13" x14ac:dyDescent="0.35">
      <c r="A174" s="22" t="s">
        <v>424</v>
      </c>
      <c r="B174" s="22" t="s">
        <v>1267</v>
      </c>
      <c r="C174" s="22" t="s">
        <v>50</v>
      </c>
      <c r="D174" s="22" t="s">
        <v>28</v>
      </c>
      <c r="E174" s="22" t="s">
        <v>14</v>
      </c>
      <c r="F174" s="22" t="s">
        <v>25</v>
      </c>
      <c r="G174" s="22" t="s">
        <v>21</v>
      </c>
      <c r="H174" s="22">
        <v>46</v>
      </c>
      <c r="I174" s="24">
        <v>37768</v>
      </c>
      <c r="J174" s="27">
        <v>703</v>
      </c>
      <c r="K174" s="25">
        <v>0</v>
      </c>
      <c r="L174" s="22" t="s">
        <v>30</v>
      </c>
      <c r="M174" s="23" t="s">
        <v>31</v>
      </c>
    </row>
    <row r="175" spans="1:13" x14ac:dyDescent="0.35">
      <c r="A175" s="22" t="s">
        <v>425</v>
      </c>
      <c r="B175" s="22" t="s">
        <v>1268</v>
      </c>
      <c r="C175" s="22" t="s">
        <v>12</v>
      </c>
      <c r="D175" s="22" t="s">
        <v>13</v>
      </c>
      <c r="E175" s="22" t="s">
        <v>1102</v>
      </c>
      <c r="F175" s="22" t="s">
        <v>25</v>
      </c>
      <c r="G175" s="22" t="s">
        <v>16</v>
      </c>
      <c r="H175" s="22">
        <v>35</v>
      </c>
      <c r="I175" s="24">
        <v>42562</v>
      </c>
      <c r="J175" s="27">
        <v>838</v>
      </c>
      <c r="K175" s="25">
        <v>0.31</v>
      </c>
      <c r="L175" s="22" t="s">
        <v>17</v>
      </c>
      <c r="M175" s="23" t="s">
        <v>22</v>
      </c>
    </row>
    <row r="176" spans="1:13" x14ac:dyDescent="0.35">
      <c r="A176" s="22" t="s">
        <v>426</v>
      </c>
      <c r="B176" s="22" t="s">
        <v>1269</v>
      </c>
      <c r="C176" s="22" t="s">
        <v>23</v>
      </c>
      <c r="D176" s="22" t="s">
        <v>24</v>
      </c>
      <c r="E176" s="22" t="s">
        <v>1102</v>
      </c>
      <c r="F176" s="22" t="s">
        <v>25</v>
      </c>
      <c r="G176" s="22" t="s">
        <v>21</v>
      </c>
      <c r="H176" s="22">
        <v>64</v>
      </c>
      <c r="I176" s="24">
        <v>34512</v>
      </c>
      <c r="J176" s="27">
        <v>843</v>
      </c>
      <c r="K176" s="25">
        <v>0</v>
      </c>
      <c r="L176" s="22" t="s">
        <v>30</v>
      </c>
      <c r="M176" s="23" t="s">
        <v>31</v>
      </c>
    </row>
    <row r="177" spans="1:13" x14ac:dyDescent="0.35">
      <c r="A177" s="22" t="s">
        <v>427</v>
      </c>
      <c r="B177" s="22" t="s">
        <v>1270</v>
      </c>
      <c r="C177" s="22" t="s">
        <v>38</v>
      </c>
      <c r="D177" s="22" t="s">
        <v>56</v>
      </c>
      <c r="E177" s="22" t="s">
        <v>14</v>
      </c>
      <c r="F177" s="22" t="s">
        <v>15</v>
      </c>
      <c r="G177" s="22" t="s">
        <v>44</v>
      </c>
      <c r="H177" s="22">
        <v>58</v>
      </c>
      <c r="I177" s="24">
        <v>41797</v>
      </c>
      <c r="J177" s="27">
        <v>840</v>
      </c>
      <c r="K177" s="25">
        <v>0</v>
      </c>
      <c r="L177" s="22" t="s">
        <v>45</v>
      </c>
      <c r="M177" s="23" t="s">
        <v>66</v>
      </c>
    </row>
    <row r="178" spans="1:13" x14ac:dyDescent="0.35">
      <c r="A178" s="22" t="s">
        <v>428</v>
      </c>
      <c r="B178" s="22" t="s">
        <v>1271</v>
      </c>
      <c r="C178" s="22" t="s">
        <v>58</v>
      </c>
      <c r="D178" s="22" t="s">
        <v>28</v>
      </c>
      <c r="E178" s="22" t="s">
        <v>33</v>
      </c>
      <c r="F178" s="22" t="s">
        <v>25</v>
      </c>
      <c r="G178" s="22" t="s">
        <v>16</v>
      </c>
      <c r="H178" s="22">
        <v>61</v>
      </c>
      <c r="I178" s="24">
        <v>42368</v>
      </c>
      <c r="J178" s="27">
        <v>546</v>
      </c>
      <c r="K178" s="25">
        <v>0</v>
      </c>
      <c r="L178" s="22" t="s">
        <v>17</v>
      </c>
      <c r="M178" s="23" t="s">
        <v>35</v>
      </c>
    </row>
    <row r="179" spans="1:13" x14ac:dyDescent="0.35">
      <c r="A179" s="22" t="s">
        <v>212</v>
      </c>
      <c r="B179" s="22" t="s">
        <v>1272</v>
      </c>
      <c r="C179" s="22" t="s">
        <v>55</v>
      </c>
      <c r="D179" s="22" t="s">
        <v>13</v>
      </c>
      <c r="E179" s="22" t="s">
        <v>33</v>
      </c>
      <c r="F179" s="22" t="s">
        <v>25</v>
      </c>
      <c r="G179" s="22" t="s">
        <v>44</v>
      </c>
      <c r="H179" s="22">
        <v>41</v>
      </c>
      <c r="I179" s="24">
        <v>44151</v>
      </c>
      <c r="J179" s="27">
        <v>565</v>
      </c>
      <c r="K179" s="25">
        <v>0</v>
      </c>
      <c r="L179" s="22" t="s">
        <v>45</v>
      </c>
      <c r="M179" s="23" t="s">
        <v>1134</v>
      </c>
    </row>
    <row r="180" spans="1:13" x14ac:dyDescent="0.35">
      <c r="A180" s="22" t="s">
        <v>429</v>
      </c>
      <c r="B180" s="22" t="s">
        <v>1273</v>
      </c>
      <c r="C180" s="22" t="s">
        <v>55</v>
      </c>
      <c r="D180" s="22" t="s">
        <v>39</v>
      </c>
      <c r="E180" s="22" t="s">
        <v>1102</v>
      </c>
      <c r="F180" s="22" t="s">
        <v>15</v>
      </c>
      <c r="G180" s="22" t="s">
        <v>44</v>
      </c>
      <c r="H180" s="22">
        <v>25</v>
      </c>
      <c r="I180" s="24">
        <v>44207</v>
      </c>
      <c r="J180" s="27">
        <v>557</v>
      </c>
      <c r="K180" s="25">
        <v>0</v>
      </c>
      <c r="L180" s="22" t="s">
        <v>45</v>
      </c>
      <c r="M180" s="23" t="s">
        <v>46</v>
      </c>
    </row>
    <row r="181" spans="1:13" x14ac:dyDescent="0.35">
      <c r="A181" s="22" t="s">
        <v>430</v>
      </c>
      <c r="B181" s="22" t="s">
        <v>1274</v>
      </c>
      <c r="C181" s="22" t="s">
        <v>12</v>
      </c>
      <c r="D181" s="22" t="s">
        <v>20</v>
      </c>
      <c r="E181" s="22" t="s">
        <v>33</v>
      </c>
      <c r="F181" s="22" t="s">
        <v>15</v>
      </c>
      <c r="G181" s="22" t="s">
        <v>21</v>
      </c>
      <c r="H181" s="22">
        <v>50</v>
      </c>
      <c r="I181" s="24">
        <v>40752</v>
      </c>
      <c r="J181" s="27">
        <v>822</v>
      </c>
      <c r="K181" s="25">
        <v>0.33</v>
      </c>
      <c r="L181" s="22" t="s">
        <v>30</v>
      </c>
      <c r="M181" s="23" t="s">
        <v>52</v>
      </c>
    </row>
    <row r="182" spans="1:13" x14ac:dyDescent="0.35">
      <c r="A182" s="22" t="s">
        <v>431</v>
      </c>
      <c r="B182" s="22" t="s">
        <v>1275</v>
      </c>
      <c r="C182" s="22" t="s">
        <v>1111</v>
      </c>
      <c r="D182" s="22" t="s">
        <v>56</v>
      </c>
      <c r="E182" s="22" t="s">
        <v>14</v>
      </c>
      <c r="F182" s="22" t="s">
        <v>25</v>
      </c>
      <c r="G182" s="22" t="s">
        <v>44</v>
      </c>
      <c r="H182" s="22">
        <v>61</v>
      </c>
      <c r="I182" s="24">
        <v>39012</v>
      </c>
      <c r="J182" s="27">
        <v>927</v>
      </c>
      <c r="K182" s="25">
        <v>0.13</v>
      </c>
      <c r="L182" s="22" t="s">
        <v>45</v>
      </c>
      <c r="M182" s="23" t="s">
        <v>1134</v>
      </c>
    </row>
    <row r="183" spans="1:13" x14ac:dyDescent="0.35">
      <c r="A183" s="22" t="s">
        <v>94</v>
      </c>
      <c r="B183" s="22" t="s">
        <v>1276</v>
      </c>
      <c r="C183" s="22" t="s">
        <v>57</v>
      </c>
      <c r="D183" s="22" t="s">
        <v>13</v>
      </c>
      <c r="E183" s="22" t="s">
        <v>14</v>
      </c>
      <c r="F183" s="22" t="s">
        <v>15</v>
      </c>
      <c r="G183" s="22" t="s">
        <v>21</v>
      </c>
      <c r="H183" s="22">
        <v>63</v>
      </c>
      <c r="I183" s="24">
        <v>40689</v>
      </c>
      <c r="J183" s="27">
        <v>890</v>
      </c>
      <c r="K183" s="25">
        <v>0</v>
      </c>
      <c r="L183" s="22" t="s">
        <v>17</v>
      </c>
      <c r="M183" s="23" t="s">
        <v>40</v>
      </c>
    </row>
    <row r="184" spans="1:13" x14ac:dyDescent="0.35">
      <c r="A184" s="22" t="s">
        <v>432</v>
      </c>
      <c r="B184" s="22" t="s">
        <v>1277</v>
      </c>
      <c r="C184" s="22" t="s">
        <v>12</v>
      </c>
      <c r="D184" s="22" t="s">
        <v>43</v>
      </c>
      <c r="E184" s="22" t="s">
        <v>14</v>
      </c>
      <c r="F184" s="22" t="s">
        <v>15</v>
      </c>
      <c r="G184" s="22" t="s">
        <v>21</v>
      </c>
      <c r="H184" s="22">
        <v>45</v>
      </c>
      <c r="I184" s="24">
        <v>41663</v>
      </c>
      <c r="J184" s="27">
        <v>508</v>
      </c>
      <c r="K184" s="25">
        <v>0.34</v>
      </c>
      <c r="L184" s="22" t="s">
        <v>17</v>
      </c>
      <c r="M184" s="23" t="s">
        <v>54</v>
      </c>
    </row>
    <row r="185" spans="1:13" x14ac:dyDescent="0.35">
      <c r="A185" s="22" t="s">
        <v>141</v>
      </c>
      <c r="B185" s="22" t="s">
        <v>1278</v>
      </c>
      <c r="C185" s="22" t="s">
        <v>1111</v>
      </c>
      <c r="D185" s="22" t="s">
        <v>56</v>
      </c>
      <c r="E185" s="22" t="s">
        <v>1102</v>
      </c>
      <c r="F185" s="22" t="s">
        <v>25</v>
      </c>
      <c r="G185" s="22" t="s">
        <v>44</v>
      </c>
      <c r="H185" s="22">
        <v>33</v>
      </c>
      <c r="I185" s="24">
        <v>41531</v>
      </c>
      <c r="J185" s="27">
        <v>896</v>
      </c>
      <c r="K185" s="25">
        <v>0.11</v>
      </c>
      <c r="L185" s="22" t="s">
        <v>45</v>
      </c>
      <c r="M185" s="23" t="s">
        <v>1134</v>
      </c>
    </row>
    <row r="186" spans="1:13" x14ac:dyDescent="0.35">
      <c r="A186" s="22" t="s">
        <v>433</v>
      </c>
      <c r="B186" s="22" t="s">
        <v>1279</v>
      </c>
      <c r="C186" s="22" t="s">
        <v>27</v>
      </c>
      <c r="D186" s="22" t="s">
        <v>28</v>
      </c>
      <c r="E186" s="22" t="s">
        <v>29</v>
      </c>
      <c r="F186" s="22" t="s">
        <v>25</v>
      </c>
      <c r="G186" s="22" t="s">
        <v>44</v>
      </c>
      <c r="H186" s="22">
        <v>62</v>
      </c>
      <c r="I186" s="24">
        <v>34799</v>
      </c>
      <c r="J186" s="27">
        <v>610</v>
      </c>
      <c r="K186" s="25">
        <v>0</v>
      </c>
      <c r="L186" s="22" t="s">
        <v>45</v>
      </c>
      <c r="M186" s="23" t="s">
        <v>46</v>
      </c>
    </row>
    <row r="187" spans="1:13" x14ac:dyDescent="0.35">
      <c r="A187" s="22" t="s">
        <v>434</v>
      </c>
      <c r="B187" s="22" t="s">
        <v>1280</v>
      </c>
      <c r="C187" s="22" t="s">
        <v>12</v>
      </c>
      <c r="D187" s="22" t="s">
        <v>43</v>
      </c>
      <c r="E187" s="22" t="s">
        <v>29</v>
      </c>
      <c r="F187" s="22" t="s">
        <v>15</v>
      </c>
      <c r="G187" s="22" t="s">
        <v>21</v>
      </c>
      <c r="H187" s="22">
        <v>43</v>
      </c>
      <c r="I187" s="24">
        <v>38109</v>
      </c>
      <c r="J187" s="27">
        <v>727</v>
      </c>
      <c r="K187" s="25">
        <v>0.35</v>
      </c>
      <c r="L187" s="22" t="s">
        <v>17</v>
      </c>
      <c r="M187" s="23" t="s">
        <v>22</v>
      </c>
    </row>
    <row r="188" spans="1:13" x14ac:dyDescent="0.35">
      <c r="A188" s="22" t="s">
        <v>435</v>
      </c>
      <c r="B188" s="22" t="s">
        <v>1281</v>
      </c>
      <c r="C188" s="22" t="s">
        <v>38</v>
      </c>
      <c r="D188" s="22" t="s">
        <v>43</v>
      </c>
      <c r="E188" s="22" t="s">
        <v>33</v>
      </c>
      <c r="F188" s="22" t="s">
        <v>25</v>
      </c>
      <c r="G188" s="22" t="s">
        <v>41</v>
      </c>
      <c r="H188" s="22">
        <v>48</v>
      </c>
      <c r="I188" s="24">
        <v>43766</v>
      </c>
      <c r="J188" s="27">
        <v>897</v>
      </c>
      <c r="K188" s="25">
        <v>0</v>
      </c>
      <c r="L188" s="22" t="s">
        <v>17</v>
      </c>
      <c r="M188" s="23" t="s">
        <v>22</v>
      </c>
    </row>
    <row r="189" spans="1:13" x14ac:dyDescent="0.35">
      <c r="A189" s="22" t="s">
        <v>130</v>
      </c>
      <c r="B189" s="22" t="s">
        <v>1282</v>
      </c>
      <c r="C189" s="22" t="s">
        <v>38</v>
      </c>
      <c r="D189" s="22" t="s">
        <v>13</v>
      </c>
      <c r="E189" s="22" t="s">
        <v>29</v>
      </c>
      <c r="F189" s="22" t="s">
        <v>25</v>
      </c>
      <c r="G189" s="22" t="s">
        <v>21</v>
      </c>
      <c r="H189" s="22">
        <v>42</v>
      </c>
      <c r="I189" s="24">
        <v>41387</v>
      </c>
      <c r="J189" s="27">
        <v>709</v>
      </c>
      <c r="K189" s="25">
        <v>0</v>
      </c>
      <c r="L189" s="22" t="s">
        <v>30</v>
      </c>
      <c r="M189" s="23" t="s">
        <v>65</v>
      </c>
    </row>
    <row r="190" spans="1:13" x14ac:dyDescent="0.35">
      <c r="A190" s="22" t="s">
        <v>86</v>
      </c>
      <c r="B190" s="22" t="s">
        <v>1283</v>
      </c>
      <c r="C190" s="22" t="s">
        <v>1111</v>
      </c>
      <c r="D190" s="22" t="s">
        <v>13</v>
      </c>
      <c r="E190" s="22" t="s">
        <v>29</v>
      </c>
      <c r="F190" s="22" t="s">
        <v>25</v>
      </c>
      <c r="G190" s="22" t="s">
        <v>21</v>
      </c>
      <c r="H190" s="22">
        <v>49</v>
      </c>
      <c r="I190" s="24">
        <v>36516</v>
      </c>
      <c r="J190" s="27">
        <v>914</v>
      </c>
      <c r="K190" s="25">
        <v>0.12</v>
      </c>
      <c r="L190" s="22" t="s">
        <v>30</v>
      </c>
      <c r="M190" s="23" t="s">
        <v>31</v>
      </c>
    </row>
    <row r="191" spans="1:13" x14ac:dyDescent="0.35">
      <c r="A191" s="22" t="s">
        <v>281</v>
      </c>
      <c r="B191" s="22" t="s">
        <v>1284</v>
      </c>
      <c r="C191" s="22" t="s">
        <v>42</v>
      </c>
      <c r="D191" s="22" t="s">
        <v>43</v>
      </c>
      <c r="E191" s="22" t="s">
        <v>29</v>
      </c>
      <c r="F191" s="22" t="s">
        <v>25</v>
      </c>
      <c r="G191" s="22" t="s">
        <v>21</v>
      </c>
      <c r="H191" s="22">
        <v>33</v>
      </c>
      <c r="I191" s="24">
        <v>44769</v>
      </c>
      <c r="J191" s="27">
        <v>806</v>
      </c>
      <c r="K191" s="25">
        <v>0</v>
      </c>
      <c r="L191" s="22" t="s">
        <v>30</v>
      </c>
      <c r="M191" s="23" t="s">
        <v>65</v>
      </c>
    </row>
    <row r="192" spans="1:13" x14ac:dyDescent="0.35">
      <c r="A192" s="22" t="s">
        <v>237</v>
      </c>
      <c r="B192" s="22" t="s">
        <v>1285</v>
      </c>
      <c r="C192" s="22" t="s">
        <v>47</v>
      </c>
      <c r="D192" s="22" t="s">
        <v>24</v>
      </c>
      <c r="E192" s="22" t="s">
        <v>14</v>
      </c>
      <c r="F192" s="22" t="s">
        <v>15</v>
      </c>
      <c r="G192" s="22" t="s">
        <v>21</v>
      </c>
      <c r="H192" s="22">
        <v>39</v>
      </c>
      <c r="I192" s="24">
        <v>42260</v>
      </c>
      <c r="J192" s="27">
        <v>530</v>
      </c>
      <c r="K192" s="25">
        <v>0</v>
      </c>
      <c r="L192" s="22" t="s">
        <v>30</v>
      </c>
      <c r="M192" s="23" t="s">
        <v>65</v>
      </c>
    </row>
    <row r="193" spans="1:13" x14ac:dyDescent="0.35">
      <c r="A193" s="22" t="s">
        <v>265</v>
      </c>
      <c r="B193" s="22" t="s">
        <v>1286</v>
      </c>
      <c r="C193" s="22" t="s">
        <v>57</v>
      </c>
      <c r="D193" s="22" t="s">
        <v>13</v>
      </c>
      <c r="E193" s="22" t="s">
        <v>1102</v>
      </c>
      <c r="F193" s="22" t="s">
        <v>15</v>
      </c>
      <c r="G193" s="22" t="s">
        <v>21</v>
      </c>
      <c r="H193" s="22">
        <v>51</v>
      </c>
      <c r="I193" s="24">
        <v>38363</v>
      </c>
      <c r="J193" s="27">
        <v>610</v>
      </c>
      <c r="K193" s="25">
        <v>0</v>
      </c>
      <c r="L193" s="22" t="s">
        <v>17</v>
      </c>
      <c r="M193" s="23" t="s">
        <v>18</v>
      </c>
    </row>
    <row r="194" spans="1:13" x14ac:dyDescent="0.35">
      <c r="A194" s="22" t="s">
        <v>436</v>
      </c>
      <c r="B194" s="22" t="s">
        <v>1287</v>
      </c>
      <c r="C194" s="22" t="s">
        <v>72</v>
      </c>
      <c r="D194" s="22" t="s">
        <v>24</v>
      </c>
      <c r="E194" s="22" t="s">
        <v>1102</v>
      </c>
      <c r="F194" s="22" t="s">
        <v>15</v>
      </c>
      <c r="G194" s="22" t="s">
        <v>16</v>
      </c>
      <c r="H194" s="22">
        <v>49</v>
      </c>
      <c r="I194" s="24">
        <v>44339</v>
      </c>
      <c r="J194" s="27">
        <v>551</v>
      </c>
      <c r="K194" s="25">
        <v>0</v>
      </c>
      <c r="L194" s="22" t="s">
        <v>17</v>
      </c>
      <c r="M194" s="23" t="s">
        <v>54</v>
      </c>
    </row>
    <row r="195" spans="1:13" x14ac:dyDescent="0.35">
      <c r="A195" s="22" t="s">
        <v>437</v>
      </c>
      <c r="B195" s="22" t="s">
        <v>1288</v>
      </c>
      <c r="C195" s="22" t="s">
        <v>38</v>
      </c>
      <c r="D195" s="22" t="s">
        <v>39</v>
      </c>
      <c r="E195" s="22" t="s">
        <v>14</v>
      </c>
      <c r="F195" s="22" t="s">
        <v>25</v>
      </c>
      <c r="G195" s="22" t="s">
        <v>21</v>
      </c>
      <c r="H195" s="22">
        <v>30</v>
      </c>
      <c r="I195" s="24">
        <v>43965</v>
      </c>
      <c r="J195" s="27">
        <v>661</v>
      </c>
      <c r="K195" s="25">
        <v>0</v>
      </c>
      <c r="L195" s="22" t="s">
        <v>30</v>
      </c>
      <c r="M195" s="23" t="s">
        <v>31</v>
      </c>
    </row>
    <row r="196" spans="1:13" x14ac:dyDescent="0.35">
      <c r="A196" s="22" t="s">
        <v>438</v>
      </c>
      <c r="B196" s="22" t="s">
        <v>1289</v>
      </c>
      <c r="C196" s="22" t="s">
        <v>74</v>
      </c>
      <c r="D196" s="22" t="s">
        <v>43</v>
      </c>
      <c r="E196" s="22" t="s">
        <v>33</v>
      </c>
      <c r="F196" s="22" t="s">
        <v>15</v>
      </c>
      <c r="G196" s="22" t="s">
        <v>44</v>
      </c>
      <c r="H196" s="22">
        <v>41</v>
      </c>
      <c r="I196" s="24">
        <v>42321</v>
      </c>
      <c r="J196" s="27">
        <v>516</v>
      </c>
      <c r="K196" s="25">
        <v>0</v>
      </c>
      <c r="L196" s="22" t="s">
        <v>17</v>
      </c>
      <c r="M196" s="23" t="s">
        <v>40</v>
      </c>
    </row>
    <row r="197" spans="1:13" x14ac:dyDescent="0.35">
      <c r="A197" s="22" t="s">
        <v>439</v>
      </c>
      <c r="B197" s="22" t="s">
        <v>1290</v>
      </c>
      <c r="C197" s="22" t="s">
        <v>47</v>
      </c>
      <c r="D197" s="22" t="s">
        <v>24</v>
      </c>
      <c r="E197" s="22" t="s">
        <v>14</v>
      </c>
      <c r="F197" s="22" t="s">
        <v>25</v>
      </c>
      <c r="G197" s="22" t="s">
        <v>41</v>
      </c>
      <c r="H197" s="22">
        <v>58</v>
      </c>
      <c r="I197" s="24">
        <v>40529</v>
      </c>
      <c r="J197" s="27">
        <v>871</v>
      </c>
      <c r="K197" s="25">
        <v>0</v>
      </c>
      <c r="L197" s="22" t="s">
        <v>17</v>
      </c>
      <c r="M197" s="23" t="s">
        <v>26</v>
      </c>
    </row>
    <row r="198" spans="1:13" x14ac:dyDescent="0.35">
      <c r="A198" s="22" t="s">
        <v>440</v>
      </c>
      <c r="B198" s="22" t="s">
        <v>1291</v>
      </c>
      <c r="C198" s="22" t="s">
        <v>77</v>
      </c>
      <c r="D198" s="22" t="s">
        <v>24</v>
      </c>
      <c r="E198" s="22" t="s">
        <v>1102</v>
      </c>
      <c r="F198" s="22" t="s">
        <v>25</v>
      </c>
      <c r="G198" s="22" t="s">
        <v>21</v>
      </c>
      <c r="H198" s="22">
        <v>55</v>
      </c>
      <c r="I198" s="24">
        <v>39809</v>
      </c>
      <c r="J198" s="27">
        <v>532</v>
      </c>
      <c r="K198" s="25">
        <v>0</v>
      </c>
      <c r="L198" s="22" t="s">
        <v>30</v>
      </c>
      <c r="M198" s="23" t="s">
        <v>61</v>
      </c>
    </row>
    <row r="199" spans="1:13" x14ac:dyDescent="0.35">
      <c r="A199" s="22" t="s">
        <v>441</v>
      </c>
      <c r="B199" s="22" t="s">
        <v>1292</v>
      </c>
      <c r="C199" s="22" t="s">
        <v>57</v>
      </c>
      <c r="D199" s="22" t="s">
        <v>39</v>
      </c>
      <c r="E199" s="22" t="s">
        <v>14</v>
      </c>
      <c r="F199" s="22" t="s">
        <v>15</v>
      </c>
      <c r="G199" s="22" t="s">
        <v>21</v>
      </c>
      <c r="H199" s="22">
        <v>40</v>
      </c>
      <c r="I199" s="24">
        <v>42435</v>
      </c>
      <c r="J199" s="27">
        <v>809</v>
      </c>
      <c r="K199" s="25">
        <v>0</v>
      </c>
      <c r="L199" s="22" t="s">
        <v>17</v>
      </c>
      <c r="M199" s="23" t="s">
        <v>18</v>
      </c>
    </row>
    <row r="200" spans="1:13" x14ac:dyDescent="0.35">
      <c r="A200" s="22" t="s">
        <v>442</v>
      </c>
      <c r="B200" s="22" t="s">
        <v>1293</v>
      </c>
      <c r="C200" s="22" t="s">
        <v>53</v>
      </c>
      <c r="D200" s="22" t="s">
        <v>13</v>
      </c>
      <c r="E200" s="22" t="s">
        <v>1102</v>
      </c>
      <c r="F200" s="22" t="s">
        <v>25</v>
      </c>
      <c r="G200" s="22" t="s">
        <v>44</v>
      </c>
      <c r="H200" s="22">
        <v>41</v>
      </c>
      <c r="I200" s="24">
        <v>41647</v>
      </c>
      <c r="J200" s="27">
        <v>882</v>
      </c>
      <c r="K200" s="25">
        <v>0.06</v>
      </c>
      <c r="L200" s="22" t="s">
        <v>17</v>
      </c>
      <c r="M200" s="23" t="s">
        <v>18</v>
      </c>
    </row>
    <row r="201" spans="1:13" x14ac:dyDescent="0.35">
      <c r="A201" s="22" t="s">
        <v>443</v>
      </c>
      <c r="B201" s="22" t="s">
        <v>1294</v>
      </c>
      <c r="C201" s="22" t="s">
        <v>83</v>
      </c>
      <c r="D201" s="22" t="s">
        <v>28</v>
      </c>
      <c r="E201" s="22" t="s">
        <v>14</v>
      </c>
      <c r="F201" s="22" t="s">
        <v>25</v>
      </c>
      <c r="G201" s="22" t="s">
        <v>16</v>
      </c>
      <c r="H201" s="22">
        <v>45</v>
      </c>
      <c r="I201" s="24">
        <v>38573</v>
      </c>
      <c r="J201" s="27">
        <v>939</v>
      </c>
      <c r="K201" s="25">
        <v>0</v>
      </c>
      <c r="L201" s="22" t="s">
        <v>17</v>
      </c>
      <c r="M201" s="23" t="s">
        <v>35</v>
      </c>
    </row>
    <row r="202" spans="1:13" x14ac:dyDescent="0.35">
      <c r="A202" s="22" t="s">
        <v>269</v>
      </c>
      <c r="B202" s="22" t="s">
        <v>1295</v>
      </c>
      <c r="C202" s="22" t="s">
        <v>38</v>
      </c>
      <c r="D202" s="22" t="s">
        <v>56</v>
      </c>
      <c r="E202" s="22" t="s">
        <v>29</v>
      </c>
      <c r="F202" s="22" t="s">
        <v>25</v>
      </c>
      <c r="G202" s="22" t="s">
        <v>44</v>
      </c>
      <c r="H202" s="22">
        <v>57</v>
      </c>
      <c r="I202" s="24">
        <v>40272</v>
      </c>
      <c r="J202" s="27">
        <v>800</v>
      </c>
      <c r="K202" s="25">
        <v>0</v>
      </c>
      <c r="L202" s="22" t="s">
        <v>17</v>
      </c>
      <c r="M202" s="23" t="s">
        <v>22</v>
      </c>
    </row>
    <row r="203" spans="1:13" x14ac:dyDescent="0.35">
      <c r="A203" s="22" t="s">
        <v>444</v>
      </c>
      <c r="B203" s="22" t="s">
        <v>1296</v>
      </c>
      <c r="C203" s="22" t="s">
        <v>36</v>
      </c>
      <c r="D203" s="22" t="s">
        <v>24</v>
      </c>
      <c r="E203" s="22" t="s">
        <v>33</v>
      </c>
      <c r="F203" s="22" t="s">
        <v>15</v>
      </c>
      <c r="G203" s="22" t="s">
        <v>16</v>
      </c>
      <c r="H203" s="22">
        <v>65</v>
      </c>
      <c r="I203" s="24">
        <v>35308</v>
      </c>
      <c r="J203" s="27">
        <v>725</v>
      </c>
      <c r="K203" s="25">
        <v>0.3</v>
      </c>
      <c r="L203" s="22" t="s">
        <v>17</v>
      </c>
      <c r="M203" s="23" t="s">
        <v>26</v>
      </c>
    </row>
    <row r="204" spans="1:13" x14ac:dyDescent="0.35">
      <c r="A204" s="22" t="s">
        <v>445</v>
      </c>
      <c r="B204" s="22" t="s">
        <v>1297</v>
      </c>
      <c r="C204" s="22" t="s">
        <v>77</v>
      </c>
      <c r="D204" s="22" t="s">
        <v>24</v>
      </c>
      <c r="E204" s="22" t="s">
        <v>14</v>
      </c>
      <c r="F204" s="22" t="s">
        <v>15</v>
      </c>
      <c r="G204" s="22" t="s">
        <v>16</v>
      </c>
      <c r="H204" s="22">
        <v>44</v>
      </c>
      <c r="I204" s="24">
        <v>37668</v>
      </c>
      <c r="J204" s="27">
        <v>934</v>
      </c>
      <c r="K204" s="25">
        <v>0</v>
      </c>
      <c r="L204" s="22" t="s">
        <v>17</v>
      </c>
      <c r="M204" s="23" t="s">
        <v>35</v>
      </c>
    </row>
    <row r="205" spans="1:13" x14ac:dyDescent="0.35">
      <c r="A205" s="22" t="s">
        <v>446</v>
      </c>
      <c r="B205" s="22" t="s">
        <v>1298</v>
      </c>
      <c r="C205" s="22" t="s">
        <v>57</v>
      </c>
      <c r="D205" s="22" t="s">
        <v>13</v>
      </c>
      <c r="E205" s="22" t="s">
        <v>1102</v>
      </c>
      <c r="F205" s="22" t="s">
        <v>15</v>
      </c>
      <c r="G205" s="22" t="s">
        <v>44</v>
      </c>
      <c r="H205" s="22">
        <v>52</v>
      </c>
      <c r="I205" s="24">
        <v>41835</v>
      </c>
      <c r="J205" s="27">
        <v>897</v>
      </c>
      <c r="K205" s="25">
        <v>0</v>
      </c>
      <c r="L205" s="22" t="s">
        <v>17</v>
      </c>
      <c r="M205" s="23" t="s">
        <v>40</v>
      </c>
    </row>
    <row r="206" spans="1:13" x14ac:dyDescent="0.35">
      <c r="A206" s="22" t="s">
        <v>138</v>
      </c>
      <c r="B206" s="22" t="s">
        <v>1299</v>
      </c>
      <c r="C206" s="22" t="s">
        <v>57</v>
      </c>
      <c r="D206" s="22" t="s">
        <v>13</v>
      </c>
      <c r="E206" s="22" t="s">
        <v>29</v>
      </c>
      <c r="F206" s="22" t="s">
        <v>25</v>
      </c>
      <c r="G206" s="22" t="s">
        <v>21</v>
      </c>
      <c r="H206" s="22">
        <v>52</v>
      </c>
      <c r="I206" s="24">
        <v>37000</v>
      </c>
      <c r="J206" s="27">
        <v>805</v>
      </c>
      <c r="K206" s="25">
        <v>0</v>
      </c>
      <c r="L206" s="22" t="s">
        <v>17</v>
      </c>
      <c r="M206" s="23" t="s">
        <v>18</v>
      </c>
    </row>
    <row r="207" spans="1:13" x14ac:dyDescent="0.35">
      <c r="A207" s="22" t="s">
        <v>447</v>
      </c>
      <c r="B207" s="22" t="s">
        <v>1300</v>
      </c>
      <c r="C207" s="22" t="s">
        <v>36</v>
      </c>
      <c r="D207" s="22" t="s">
        <v>20</v>
      </c>
      <c r="E207" s="22" t="s">
        <v>1102</v>
      </c>
      <c r="F207" s="22" t="s">
        <v>25</v>
      </c>
      <c r="G207" s="22" t="s">
        <v>44</v>
      </c>
      <c r="H207" s="22">
        <v>53</v>
      </c>
      <c r="I207" s="24">
        <v>37224</v>
      </c>
      <c r="J207" s="27">
        <v>758</v>
      </c>
      <c r="K207" s="25">
        <v>0.16</v>
      </c>
      <c r="L207" s="22" t="s">
        <v>17</v>
      </c>
      <c r="M207" s="23" t="s">
        <v>35</v>
      </c>
    </row>
    <row r="208" spans="1:13" x14ac:dyDescent="0.35">
      <c r="A208" s="22" t="s">
        <v>448</v>
      </c>
      <c r="B208" s="22" t="s">
        <v>1301</v>
      </c>
      <c r="C208" s="22" t="s">
        <v>53</v>
      </c>
      <c r="D208" s="22" t="s">
        <v>39</v>
      </c>
      <c r="E208" s="22" t="s">
        <v>14</v>
      </c>
      <c r="F208" s="22" t="s">
        <v>25</v>
      </c>
      <c r="G208" s="22" t="s">
        <v>21</v>
      </c>
      <c r="H208" s="22">
        <v>31</v>
      </c>
      <c r="I208" s="24">
        <v>44528</v>
      </c>
      <c r="J208" s="27">
        <v>905</v>
      </c>
      <c r="K208" s="25">
        <v>0.06</v>
      </c>
      <c r="L208" s="22" t="s">
        <v>17</v>
      </c>
      <c r="M208" s="23" t="s">
        <v>35</v>
      </c>
    </row>
    <row r="209" spans="1:13" x14ac:dyDescent="0.35">
      <c r="A209" s="22" t="s">
        <v>449</v>
      </c>
      <c r="B209" s="22" t="s">
        <v>1302</v>
      </c>
      <c r="C209" s="22" t="s">
        <v>53</v>
      </c>
      <c r="D209" s="22" t="s">
        <v>13</v>
      </c>
      <c r="E209" s="22" t="s">
        <v>33</v>
      </c>
      <c r="F209" s="22" t="s">
        <v>15</v>
      </c>
      <c r="G209" s="22" t="s">
        <v>44</v>
      </c>
      <c r="H209" s="22">
        <v>63</v>
      </c>
      <c r="I209" s="24">
        <v>42988</v>
      </c>
      <c r="J209" s="27">
        <v>511</v>
      </c>
      <c r="K209" s="25">
        <v>0.05</v>
      </c>
      <c r="L209" s="22" t="s">
        <v>17</v>
      </c>
      <c r="M209" s="23" t="s">
        <v>40</v>
      </c>
    </row>
    <row r="210" spans="1:13" x14ac:dyDescent="0.35">
      <c r="A210" s="22" t="s">
        <v>450</v>
      </c>
      <c r="B210" s="22" t="s">
        <v>1303</v>
      </c>
      <c r="C210" s="22" t="s">
        <v>1111</v>
      </c>
      <c r="D210" s="22" t="s">
        <v>20</v>
      </c>
      <c r="E210" s="22" t="s">
        <v>1102</v>
      </c>
      <c r="F210" s="22" t="s">
        <v>15</v>
      </c>
      <c r="G210" s="22" t="s">
        <v>41</v>
      </c>
      <c r="H210" s="22">
        <v>39</v>
      </c>
      <c r="I210" s="24">
        <v>41292</v>
      </c>
      <c r="J210" s="27">
        <v>963</v>
      </c>
      <c r="K210" s="25">
        <v>0.13</v>
      </c>
      <c r="L210" s="22" t="s">
        <v>17</v>
      </c>
      <c r="M210" s="23" t="s">
        <v>18</v>
      </c>
    </row>
    <row r="211" spans="1:13" x14ac:dyDescent="0.35">
      <c r="A211" s="22" t="s">
        <v>451</v>
      </c>
      <c r="B211" s="22" t="s">
        <v>1304</v>
      </c>
      <c r="C211" s="22" t="s">
        <v>67</v>
      </c>
      <c r="D211" s="22" t="s">
        <v>24</v>
      </c>
      <c r="E211" s="22" t="s">
        <v>1102</v>
      </c>
      <c r="F211" s="22" t="s">
        <v>25</v>
      </c>
      <c r="G211" s="22" t="s">
        <v>16</v>
      </c>
      <c r="H211" s="22">
        <v>63</v>
      </c>
      <c r="I211" s="24">
        <v>36627</v>
      </c>
      <c r="J211" s="27">
        <v>933</v>
      </c>
      <c r="K211" s="25">
        <v>0</v>
      </c>
      <c r="L211" s="22" t="s">
        <v>17</v>
      </c>
      <c r="M211" s="23" t="s">
        <v>54</v>
      </c>
    </row>
    <row r="212" spans="1:13" x14ac:dyDescent="0.35">
      <c r="A212" s="22" t="s">
        <v>452</v>
      </c>
      <c r="B212" s="22" t="s">
        <v>1305</v>
      </c>
      <c r="C212" s="22" t="s">
        <v>34</v>
      </c>
      <c r="D212" s="22" t="s">
        <v>24</v>
      </c>
      <c r="E212" s="22" t="s">
        <v>33</v>
      </c>
      <c r="F212" s="22" t="s">
        <v>25</v>
      </c>
      <c r="G212" s="22" t="s">
        <v>21</v>
      </c>
      <c r="H212" s="22">
        <v>27</v>
      </c>
      <c r="I212" s="24">
        <v>44066</v>
      </c>
      <c r="J212" s="27">
        <v>978</v>
      </c>
      <c r="K212" s="25">
        <v>0</v>
      </c>
      <c r="L212" s="22" t="s">
        <v>30</v>
      </c>
      <c r="M212" s="23" t="s">
        <v>65</v>
      </c>
    </row>
    <row r="213" spans="1:13" x14ac:dyDescent="0.35">
      <c r="A213" s="22" t="s">
        <v>453</v>
      </c>
      <c r="B213" s="22" t="s">
        <v>1306</v>
      </c>
      <c r="C213" s="22" t="s">
        <v>36</v>
      </c>
      <c r="D213" s="22" t="s">
        <v>43</v>
      </c>
      <c r="E213" s="22" t="s">
        <v>29</v>
      </c>
      <c r="F213" s="22" t="s">
        <v>15</v>
      </c>
      <c r="G213" s="22" t="s">
        <v>44</v>
      </c>
      <c r="H213" s="22">
        <v>30</v>
      </c>
      <c r="I213" s="24">
        <v>44883</v>
      </c>
      <c r="J213" s="27">
        <v>516</v>
      </c>
      <c r="K213" s="25">
        <v>0.24</v>
      </c>
      <c r="L213" s="22" t="s">
        <v>45</v>
      </c>
      <c r="M213" s="23" t="s">
        <v>66</v>
      </c>
    </row>
    <row r="214" spans="1:13" x14ac:dyDescent="0.35">
      <c r="A214" s="22" t="s">
        <v>454</v>
      </c>
      <c r="B214" s="22" t="s">
        <v>1307</v>
      </c>
      <c r="C214" s="22" t="s">
        <v>1111</v>
      </c>
      <c r="D214" s="22" t="s">
        <v>43</v>
      </c>
      <c r="E214" s="22" t="s">
        <v>1102</v>
      </c>
      <c r="F214" s="22" t="s">
        <v>15</v>
      </c>
      <c r="G214" s="22" t="s">
        <v>16</v>
      </c>
      <c r="H214" s="22">
        <v>51</v>
      </c>
      <c r="I214" s="24">
        <v>37932</v>
      </c>
      <c r="J214" s="27">
        <v>755</v>
      </c>
      <c r="K214" s="25">
        <v>0.12</v>
      </c>
      <c r="L214" s="22" t="s">
        <v>17</v>
      </c>
      <c r="M214" s="23" t="s">
        <v>54</v>
      </c>
    </row>
    <row r="215" spans="1:13" x14ac:dyDescent="0.35">
      <c r="A215" s="22" t="s">
        <v>455</v>
      </c>
      <c r="B215" s="22" t="s">
        <v>1308</v>
      </c>
      <c r="C215" s="22" t="s">
        <v>23</v>
      </c>
      <c r="D215" s="22" t="s">
        <v>24</v>
      </c>
      <c r="E215" s="22" t="s">
        <v>14</v>
      </c>
      <c r="F215" s="22" t="s">
        <v>25</v>
      </c>
      <c r="G215" s="22" t="s">
        <v>21</v>
      </c>
      <c r="H215" s="22">
        <v>58</v>
      </c>
      <c r="I215" s="24">
        <v>44458</v>
      </c>
      <c r="J215" s="27">
        <v>859</v>
      </c>
      <c r="K215" s="25">
        <v>0</v>
      </c>
      <c r="L215" s="22" t="s">
        <v>30</v>
      </c>
      <c r="M215" s="23" t="s">
        <v>65</v>
      </c>
    </row>
    <row r="216" spans="1:13" x14ac:dyDescent="0.35">
      <c r="A216" s="22" t="s">
        <v>157</v>
      </c>
      <c r="B216" s="22" t="s">
        <v>1309</v>
      </c>
      <c r="C216" s="22" t="s">
        <v>36</v>
      </c>
      <c r="D216" s="22" t="s">
        <v>13</v>
      </c>
      <c r="E216" s="22" t="s">
        <v>29</v>
      </c>
      <c r="F216" s="22" t="s">
        <v>15</v>
      </c>
      <c r="G216" s="22" t="s">
        <v>44</v>
      </c>
      <c r="H216" s="22">
        <v>62</v>
      </c>
      <c r="I216" s="24">
        <v>40754</v>
      </c>
      <c r="J216" s="27">
        <v>599</v>
      </c>
      <c r="K216" s="25">
        <v>0.24</v>
      </c>
      <c r="L216" s="22" t="s">
        <v>45</v>
      </c>
      <c r="M216" s="23" t="s">
        <v>66</v>
      </c>
    </row>
    <row r="217" spans="1:13" x14ac:dyDescent="0.35">
      <c r="A217" s="22" t="s">
        <v>126</v>
      </c>
      <c r="B217" s="22" t="s">
        <v>1310</v>
      </c>
      <c r="C217" s="22" t="s">
        <v>12</v>
      </c>
      <c r="D217" s="22" t="s">
        <v>43</v>
      </c>
      <c r="E217" s="22" t="s">
        <v>33</v>
      </c>
      <c r="F217" s="22" t="s">
        <v>15</v>
      </c>
      <c r="G217" s="22" t="s">
        <v>44</v>
      </c>
      <c r="H217" s="22">
        <v>27</v>
      </c>
      <c r="I217" s="24">
        <v>44539</v>
      </c>
      <c r="J217" s="27">
        <v>575</v>
      </c>
      <c r="K217" s="25">
        <v>0.3</v>
      </c>
      <c r="L217" s="22" t="s">
        <v>45</v>
      </c>
      <c r="M217" s="23" t="s">
        <v>46</v>
      </c>
    </row>
    <row r="218" spans="1:13" x14ac:dyDescent="0.35">
      <c r="A218" s="22" t="s">
        <v>456</v>
      </c>
      <c r="B218" s="22" t="s">
        <v>1311</v>
      </c>
      <c r="C218" s="22" t="s">
        <v>12</v>
      </c>
      <c r="D218" s="22" t="s">
        <v>56</v>
      </c>
      <c r="E218" s="22" t="s">
        <v>29</v>
      </c>
      <c r="F218" s="22" t="s">
        <v>15</v>
      </c>
      <c r="G218" s="22" t="s">
        <v>21</v>
      </c>
      <c r="H218" s="22">
        <v>63</v>
      </c>
      <c r="I218" s="24">
        <v>38211</v>
      </c>
      <c r="J218" s="27">
        <v>517</v>
      </c>
      <c r="K218" s="25">
        <v>0.4</v>
      </c>
      <c r="L218" s="22" t="s">
        <v>30</v>
      </c>
      <c r="M218" s="23" t="s">
        <v>61</v>
      </c>
    </row>
    <row r="219" spans="1:13" x14ac:dyDescent="0.35">
      <c r="A219" s="22" t="s">
        <v>457</v>
      </c>
      <c r="B219" s="22" t="s">
        <v>1312</v>
      </c>
      <c r="C219" s="22" t="s">
        <v>53</v>
      </c>
      <c r="D219" s="22" t="s">
        <v>24</v>
      </c>
      <c r="E219" s="22" t="s">
        <v>14</v>
      </c>
      <c r="F219" s="22" t="s">
        <v>15</v>
      </c>
      <c r="G219" s="22" t="s">
        <v>21</v>
      </c>
      <c r="H219" s="22">
        <v>52</v>
      </c>
      <c r="I219" s="24">
        <v>41345</v>
      </c>
      <c r="J219" s="27">
        <v>927</v>
      </c>
      <c r="K219" s="25">
        <v>0.06</v>
      </c>
      <c r="L219" s="22" t="s">
        <v>30</v>
      </c>
      <c r="M219" s="23" t="s">
        <v>52</v>
      </c>
    </row>
    <row r="220" spans="1:13" x14ac:dyDescent="0.35">
      <c r="A220" s="22" t="s">
        <v>458</v>
      </c>
      <c r="B220" s="22" t="s">
        <v>1313</v>
      </c>
      <c r="C220" s="22" t="s">
        <v>57</v>
      </c>
      <c r="D220" s="22" t="s">
        <v>13</v>
      </c>
      <c r="E220" s="22" t="s">
        <v>33</v>
      </c>
      <c r="F220" s="22" t="s">
        <v>25</v>
      </c>
      <c r="G220" s="22" t="s">
        <v>44</v>
      </c>
      <c r="H220" s="22">
        <v>36</v>
      </c>
      <c r="I220" s="24">
        <v>43747</v>
      </c>
      <c r="J220" s="27">
        <v>723</v>
      </c>
      <c r="K220" s="25">
        <v>0</v>
      </c>
      <c r="L220" s="22" t="s">
        <v>45</v>
      </c>
      <c r="M220" s="23" t="s">
        <v>1134</v>
      </c>
    </row>
    <row r="221" spans="1:13" x14ac:dyDescent="0.35">
      <c r="A221" s="22" t="s">
        <v>276</v>
      </c>
      <c r="B221" s="22" t="s">
        <v>1314</v>
      </c>
      <c r="C221" s="22" t="s">
        <v>51</v>
      </c>
      <c r="D221" s="22" t="s">
        <v>28</v>
      </c>
      <c r="E221" s="22" t="s">
        <v>14</v>
      </c>
      <c r="F221" s="22" t="s">
        <v>15</v>
      </c>
      <c r="G221" s="22" t="s">
        <v>21</v>
      </c>
      <c r="H221" s="22">
        <v>47</v>
      </c>
      <c r="I221" s="24">
        <v>36917</v>
      </c>
      <c r="J221" s="27">
        <v>620</v>
      </c>
      <c r="K221" s="25">
        <v>0</v>
      </c>
      <c r="L221" s="22" t="s">
        <v>17</v>
      </c>
      <c r="M221" s="23" t="s">
        <v>54</v>
      </c>
    </row>
    <row r="222" spans="1:13" x14ac:dyDescent="0.35">
      <c r="A222" s="22" t="s">
        <v>459</v>
      </c>
      <c r="B222" s="22" t="s">
        <v>1315</v>
      </c>
      <c r="C222" s="22" t="s">
        <v>34</v>
      </c>
      <c r="D222" s="22" t="s">
        <v>24</v>
      </c>
      <c r="E222" s="22" t="s">
        <v>1102</v>
      </c>
      <c r="F222" s="22" t="s">
        <v>25</v>
      </c>
      <c r="G222" s="22" t="s">
        <v>16</v>
      </c>
      <c r="H222" s="22">
        <v>27</v>
      </c>
      <c r="I222" s="24">
        <v>44276</v>
      </c>
      <c r="J222" s="27">
        <v>724</v>
      </c>
      <c r="K222" s="25">
        <v>0</v>
      </c>
      <c r="L222" s="22" t="s">
        <v>17</v>
      </c>
      <c r="M222" s="23" t="s">
        <v>35</v>
      </c>
    </row>
    <row r="223" spans="1:13" x14ac:dyDescent="0.35">
      <c r="A223" s="22" t="s">
        <v>460</v>
      </c>
      <c r="B223" s="22" t="s">
        <v>1316</v>
      </c>
      <c r="C223" s="22" t="s">
        <v>48</v>
      </c>
      <c r="D223" s="22" t="s">
        <v>24</v>
      </c>
      <c r="E223" s="22" t="s">
        <v>29</v>
      </c>
      <c r="F223" s="22" t="s">
        <v>15</v>
      </c>
      <c r="G223" s="22" t="s">
        <v>16</v>
      </c>
      <c r="H223" s="22">
        <v>45</v>
      </c>
      <c r="I223" s="24">
        <v>44278</v>
      </c>
      <c r="J223" s="27">
        <v>561</v>
      </c>
      <c r="K223" s="25">
        <v>0.06</v>
      </c>
      <c r="L223" s="22" t="s">
        <v>17</v>
      </c>
      <c r="M223" s="23" t="s">
        <v>22</v>
      </c>
    </row>
    <row r="224" spans="1:13" x14ac:dyDescent="0.35">
      <c r="A224" s="22" t="s">
        <v>461</v>
      </c>
      <c r="B224" s="22" t="s">
        <v>1317</v>
      </c>
      <c r="C224" s="22" t="s">
        <v>38</v>
      </c>
      <c r="D224" s="22" t="s">
        <v>39</v>
      </c>
      <c r="E224" s="22" t="s">
        <v>29</v>
      </c>
      <c r="F224" s="22" t="s">
        <v>25</v>
      </c>
      <c r="G224" s="22" t="s">
        <v>41</v>
      </c>
      <c r="H224" s="22">
        <v>47</v>
      </c>
      <c r="I224" s="24">
        <v>44902</v>
      </c>
      <c r="J224" s="27">
        <v>635</v>
      </c>
      <c r="K224" s="25">
        <v>0</v>
      </c>
      <c r="L224" s="22" t="s">
        <v>17</v>
      </c>
      <c r="M224" s="23" t="s">
        <v>18</v>
      </c>
    </row>
    <row r="225" spans="1:13" x14ac:dyDescent="0.35">
      <c r="A225" s="22" t="s">
        <v>462</v>
      </c>
      <c r="B225" s="22" t="s">
        <v>1318</v>
      </c>
      <c r="C225" s="22" t="s">
        <v>32</v>
      </c>
      <c r="D225" s="22" t="s">
        <v>24</v>
      </c>
      <c r="E225" s="22" t="s">
        <v>1102</v>
      </c>
      <c r="F225" s="22" t="s">
        <v>15</v>
      </c>
      <c r="G225" s="22" t="s">
        <v>16</v>
      </c>
      <c r="H225" s="22">
        <v>26</v>
      </c>
      <c r="I225" s="24">
        <v>43942</v>
      </c>
      <c r="J225" s="27">
        <v>630</v>
      </c>
      <c r="K225" s="25">
        <v>0</v>
      </c>
      <c r="L225" s="22" t="s">
        <v>17</v>
      </c>
      <c r="M225" s="23" t="s">
        <v>54</v>
      </c>
    </row>
    <row r="226" spans="1:13" x14ac:dyDescent="0.35">
      <c r="A226" s="22" t="s">
        <v>463</v>
      </c>
      <c r="B226" s="22" t="s">
        <v>1319</v>
      </c>
      <c r="C226" s="22" t="s">
        <v>55</v>
      </c>
      <c r="D226" s="22" t="s">
        <v>13</v>
      </c>
      <c r="E226" s="22" t="s">
        <v>14</v>
      </c>
      <c r="F226" s="22" t="s">
        <v>25</v>
      </c>
      <c r="G226" s="22" t="s">
        <v>21</v>
      </c>
      <c r="H226" s="22">
        <v>58</v>
      </c>
      <c r="I226" s="24">
        <v>39077</v>
      </c>
      <c r="J226" s="27">
        <v>717</v>
      </c>
      <c r="K226" s="25">
        <v>0</v>
      </c>
      <c r="L226" s="22" t="s">
        <v>30</v>
      </c>
      <c r="M226" s="23" t="s">
        <v>31</v>
      </c>
    </row>
    <row r="227" spans="1:13" x14ac:dyDescent="0.35">
      <c r="A227" s="22" t="s">
        <v>165</v>
      </c>
      <c r="B227" s="22" t="s">
        <v>1320</v>
      </c>
      <c r="C227" s="22" t="s">
        <v>58</v>
      </c>
      <c r="D227" s="22" t="s">
        <v>28</v>
      </c>
      <c r="E227" s="22" t="s">
        <v>29</v>
      </c>
      <c r="F227" s="22" t="s">
        <v>15</v>
      </c>
      <c r="G227" s="22" t="s">
        <v>44</v>
      </c>
      <c r="H227" s="22">
        <v>60</v>
      </c>
      <c r="I227" s="24">
        <v>35898</v>
      </c>
      <c r="J227" s="27">
        <v>627</v>
      </c>
      <c r="K227" s="25">
        <v>0</v>
      </c>
      <c r="L227" s="22" t="s">
        <v>45</v>
      </c>
      <c r="M227" s="23" t="s">
        <v>46</v>
      </c>
    </row>
    <row r="228" spans="1:13" x14ac:dyDescent="0.35">
      <c r="A228" s="22" t="s">
        <v>464</v>
      </c>
      <c r="B228" s="22" t="s">
        <v>1321</v>
      </c>
      <c r="C228" s="22" t="s">
        <v>53</v>
      </c>
      <c r="D228" s="22" t="s">
        <v>13</v>
      </c>
      <c r="E228" s="22" t="s">
        <v>29</v>
      </c>
      <c r="F228" s="22" t="s">
        <v>25</v>
      </c>
      <c r="G228" s="22" t="s">
        <v>21</v>
      </c>
      <c r="H228" s="22">
        <v>45</v>
      </c>
      <c r="I228" s="24">
        <v>40368</v>
      </c>
      <c r="J228" s="27">
        <v>956</v>
      </c>
      <c r="K228" s="25">
        <v>0.09</v>
      </c>
      <c r="L228" s="22" t="s">
        <v>17</v>
      </c>
      <c r="M228" s="23" t="s">
        <v>22</v>
      </c>
    </row>
    <row r="229" spans="1:13" x14ac:dyDescent="0.35">
      <c r="A229" s="22" t="s">
        <v>465</v>
      </c>
      <c r="B229" s="22" t="s">
        <v>1322</v>
      </c>
      <c r="C229" s="22" t="s">
        <v>73</v>
      </c>
      <c r="D229" s="22" t="s">
        <v>24</v>
      </c>
      <c r="E229" s="22" t="s">
        <v>1102</v>
      </c>
      <c r="F229" s="22" t="s">
        <v>15</v>
      </c>
      <c r="G229" s="22" t="s">
        <v>44</v>
      </c>
      <c r="H229" s="22">
        <v>45</v>
      </c>
      <c r="I229" s="24">
        <v>39114</v>
      </c>
      <c r="J229" s="27">
        <v>779</v>
      </c>
      <c r="K229" s="25">
        <v>0</v>
      </c>
      <c r="L229" s="22" t="s">
        <v>17</v>
      </c>
      <c r="M229" s="23" t="s">
        <v>26</v>
      </c>
    </row>
    <row r="230" spans="1:13" x14ac:dyDescent="0.35">
      <c r="A230" s="22" t="s">
        <v>466</v>
      </c>
      <c r="B230" s="22" t="s">
        <v>1323</v>
      </c>
      <c r="C230" s="22" t="s">
        <v>68</v>
      </c>
      <c r="D230" s="22" t="s">
        <v>20</v>
      </c>
      <c r="E230" s="22" t="s">
        <v>33</v>
      </c>
      <c r="F230" s="22" t="s">
        <v>25</v>
      </c>
      <c r="G230" s="22" t="s">
        <v>16</v>
      </c>
      <c r="H230" s="22">
        <v>40</v>
      </c>
      <c r="I230" s="24">
        <v>41951</v>
      </c>
      <c r="J230" s="27">
        <v>932</v>
      </c>
      <c r="K230" s="25">
        <v>0</v>
      </c>
      <c r="L230" s="22" t="s">
        <v>17</v>
      </c>
      <c r="M230" s="23" t="s">
        <v>54</v>
      </c>
    </row>
    <row r="231" spans="1:13" x14ac:dyDescent="0.35">
      <c r="A231" s="22" t="s">
        <v>467</v>
      </c>
      <c r="B231" s="22" t="s">
        <v>1324</v>
      </c>
      <c r="C231" s="22" t="s">
        <v>34</v>
      </c>
      <c r="D231" s="22" t="s">
        <v>24</v>
      </c>
      <c r="E231" s="22" t="s">
        <v>33</v>
      </c>
      <c r="F231" s="22" t="s">
        <v>25</v>
      </c>
      <c r="G231" s="22" t="s">
        <v>16</v>
      </c>
      <c r="H231" s="22">
        <v>27</v>
      </c>
      <c r="I231" s="24">
        <v>44751</v>
      </c>
      <c r="J231" s="27">
        <v>899</v>
      </c>
      <c r="K231" s="25">
        <v>0</v>
      </c>
      <c r="L231" s="22" t="s">
        <v>17</v>
      </c>
      <c r="M231" s="23" t="s">
        <v>22</v>
      </c>
    </row>
    <row r="232" spans="1:13" x14ac:dyDescent="0.35">
      <c r="A232" s="22" t="s">
        <v>468</v>
      </c>
      <c r="B232" s="22" t="s">
        <v>1325</v>
      </c>
      <c r="C232" s="22" t="s">
        <v>38</v>
      </c>
      <c r="D232" s="22" t="s">
        <v>56</v>
      </c>
      <c r="E232" s="22" t="s">
        <v>33</v>
      </c>
      <c r="F232" s="22" t="s">
        <v>25</v>
      </c>
      <c r="G232" s="22" t="s">
        <v>21</v>
      </c>
      <c r="H232" s="22">
        <v>36</v>
      </c>
      <c r="I232" s="24">
        <v>43903</v>
      </c>
      <c r="J232" s="27">
        <v>595</v>
      </c>
      <c r="K232" s="25">
        <v>0</v>
      </c>
      <c r="L232" s="22" t="s">
        <v>30</v>
      </c>
      <c r="M232" s="23" t="s">
        <v>65</v>
      </c>
    </row>
    <row r="233" spans="1:13" x14ac:dyDescent="0.35">
      <c r="A233" s="22" t="s">
        <v>469</v>
      </c>
      <c r="B233" s="22" t="s">
        <v>1326</v>
      </c>
      <c r="C233" s="22" t="s">
        <v>36</v>
      </c>
      <c r="D233" s="22" t="s">
        <v>13</v>
      </c>
      <c r="E233" s="22" t="s">
        <v>29</v>
      </c>
      <c r="F233" s="22" t="s">
        <v>25</v>
      </c>
      <c r="G233" s="22" t="s">
        <v>21</v>
      </c>
      <c r="H233" s="22">
        <v>28</v>
      </c>
      <c r="I233" s="24">
        <v>44846</v>
      </c>
      <c r="J233" s="27">
        <v>939</v>
      </c>
      <c r="K233" s="25">
        <v>0.25</v>
      </c>
      <c r="L233" s="22" t="s">
        <v>30</v>
      </c>
      <c r="M233" s="23" t="s">
        <v>52</v>
      </c>
    </row>
    <row r="234" spans="1:13" x14ac:dyDescent="0.35">
      <c r="A234" s="22" t="s">
        <v>470</v>
      </c>
      <c r="B234" s="22" t="s">
        <v>1327</v>
      </c>
      <c r="C234" s="22" t="s">
        <v>1111</v>
      </c>
      <c r="D234" s="22" t="s">
        <v>39</v>
      </c>
      <c r="E234" s="22" t="s">
        <v>33</v>
      </c>
      <c r="F234" s="22" t="s">
        <v>15</v>
      </c>
      <c r="G234" s="22" t="s">
        <v>41</v>
      </c>
      <c r="H234" s="22">
        <v>57</v>
      </c>
      <c r="I234" s="24">
        <v>44420</v>
      </c>
      <c r="J234" s="27">
        <v>576</v>
      </c>
      <c r="K234" s="25">
        <v>0.11</v>
      </c>
      <c r="L234" s="22" t="s">
        <v>17</v>
      </c>
      <c r="M234" s="23" t="s">
        <v>22</v>
      </c>
    </row>
    <row r="235" spans="1:13" x14ac:dyDescent="0.35">
      <c r="A235" s="22" t="s">
        <v>81</v>
      </c>
      <c r="B235" s="22" t="s">
        <v>1328</v>
      </c>
      <c r="C235" s="22" t="s">
        <v>59</v>
      </c>
      <c r="D235" s="22" t="s">
        <v>24</v>
      </c>
      <c r="E235" s="22" t="s">
        <v>33</v>
      </c>
      <c r="F235" s="22" t="s">
        <v>25</v>
      </c>
      <c r="G235" s="22" t="s">
        <v>41</v>
      </c>
      <c r="H235" s="22">
        <v>57</v>
      </c>
      <c r="I235" s="24">
        <v>44757</v>
      </c>
      <c r="J235" s="27">
        <v>745</v>
      </c>
      <c r="K235" s="25">
        <v>0</v>
      </c>
      <c r="L235" s="22" t="s">
        <v>17</v>
      </c>
      <c r="M235" s="23" t="s">
        <v>54</v>
      </c>
    </row>
    <row r="236" spans="1:13" x14ac:dyDescent="0.35">
      <c r="A236" s="22" t="s">
        <v>471</v>
      </c>
      <c r="B236" s="22" t="s">
        <v>1329</v>
      </c>
      <c r="C236" s="22" t="s">
        <v>34</v>
      </c>
      <c r="D236" s="22" t="s">
        <v>24</v>
      </c>
      <c r="E236" s="22" t="s">
        <v>14</v>
      </c>
      <c r="F236" s="22" t="s">
        <v>25</v>
      </c>
      <c r="G236" s="22" t="s">
        <v>44</v>
      </c>
      <c r="H236" s="22">
        <v>30</v>
      </c>
      <c r="I236" s="24">
        <v>42744</v>
      </c>
      <c r="J236" s="27">
        <v>919</v>
      </c>
      <c r="K236" s="25">
        <v>0</v>
      </c>
      <c r="L236" s="22" t="s">
        <v>45</v>
      </c>
      <c r="M236" s="23" t="s">
        <v>66</v>
      </c>
    </row>
    <row r="237" spans="1:13" x14ac:dyDescent="0.35">
      <c r="A237" s="22" t="s">
        <v>472</v>
      </c>
      <c r="B237" s="22" t="s">
        <v>1330</v>
      </c>
      <c r="C237" s="22" t="s">
        <v>12</v>
      </c>
      <c r="D237" s="22" t="s">
        <v>28</v>
      </c>
      <c r="E237" s="22" t="s">
        <v>1102</v>
      </c>
      <c r="F237" s="22" t="s">
        <v>15</v>
      </c>
      <c r="G237" s="22" t="s">
        <v>16</v>
      </c>
      <c r="H237" s="22">
        <v>26</v>
      </c>
      <c r="I237" s="24">
        <v>44584</v>
      </c>
      <c r="J237" s="27">
        <v>599</v>
      </c>
      <c r="K237" s="25">
        <v>0.39</v>
      </c>
      <c r="L237" s="22" t="s">
        <v>17</v>
      </c>
      <c r="M237" s="23" t="s">
        <v>40</v>
      </c>
    </row>
    <row r="238" spans="1:13" x14ac:dyDescent="0.35">
      <c r="A238" s="22" t="s">
        <v>473</v>
      </c>
      <c r="B238" s="22" t="s">
        <v>1331</v>
      </c>
      <c r="C238" s="22" t="s">
        <v>60</v>
      </c>
      <c r="D238" s="22" t="s">
        <v>24</v>
      </c>
      <c r="E238" s="22" t="s">
        <v>29</v>
      </c>
      <c r="F238" s="22" t="s">
        <v>15</v>
      </c>
      <c r="G238" s="22" t="s">
        <v>44</v>
      </c>
      <c r="H238" s="22">
        <v>53</v>
      </c>
      <c r="I238" s="24">
        <v>41282</v>
      </c>
      <c r="J238" s="27">
        <v>501</v>
      </c>
      <c r="K238" s="25">
        <v>0</v>
      </c>
      <c r="L238" s="22" t="s">
        <v>45</v>
      </c>
      <c r="M238" s="23" t="s">
        <v>66</v>
      </c>
    </row>
    <row r="239" spans="1:13" x14ac:dyDescent="0.35">
      <c r="A239" s="22" t="s">
        <v>474</v>
      </c>
      <c r="B239" s="22" t="s">
        <v>1332</v>
      </c>
      <c r="C239" s="22" t="s">
        <v>42</v>
      </c>
      <c r="D239" s="22" t="s">
        <v>43</v>
      </c>
      <c r="E239" s="22" t="s">
        <v>33</v>
      </c>
      <c r="F239" s="22" t="s">
        <v>25</v>
      </c>
      <c r="G239" s="22" t="s">
        <v>21</v>
      </c>
      <c r="H239" s="22">
        <v>59</v>
      </c>
      <c r="I239" s="24">
        <v>41770</v>
      </c>
      <c r="J239" s="27">
        <v>651</v>
      </c>
      <c r="K239" s="25">
        <v>0</v>
      </c>
      <c r="L239" s="22" t="s">
        <v>30</v>
      </c>
      <c r="M239" s="23" t="s">
        <v>65</v>
      </c>
    </row>
    <row r="240" spans="1:13" x14ac:dyDescent="0.35">
      <c r="A240" s="22" t="s">
        <v>475</v>
      </c>
      <c r="B240" s="22" t="s">
        <v>1333</v>
      </c>
      <c r="C240" s="22" t="s">
        <v>71</v>
      </c>
      <c r="D240" s="22" t="s">
        <v>24</v>
      </c>
      <c r="E240" s="22" t="s">
        <v>1102</v>
      </c>
      <c r="F240" s="22" t="s">
        <v>25</v>
      </c>
      <c r="G240" s="22" t="s">
        <v>21</v>
      </c>
      <c r="H240" s="22">
        <v>56</v>
      </c>
      <c r="I240" s="24">
        <v>37850</v>
      </c>
      <c r="J240" s="27">
        <v>908</v>
      </c>
      <c r="K240" s="25">
        <v>0</v>
      </c>
      <c r="L240" s="22" t="s">
        <v>17</v>
      </c>
      <c r="M240" s="23" t="s">
        <v>54</v>
      </c>
    </row>
    <row r="241" spans="1:13" x14ac:dyDescent="0.35">
      <c r="A241" s="22" t="s">
        <v>476</v>
      </c>
      <c r="B241" s="22" t="s">
        <v>1334</v>
      </c>
      <c r="C241" s="22" t="s">
        <v>53</v>
      </c>
      <c r="D241" s="22" t="s">
        <v>24</v>
      </c>
      <c r="E241" s="22" t="s">
        <v>29</v>
      </c>
      <c r="F241" s="22" t="s">
        <v>25</v>
      </c>
      <c r="G241" s="22" t="s">
        <v>16</v>
      </c>
      <c r="H241" s="22">
        <v>41</v>
      </c>
      <c r="I241" s="24">
        <v>41059</v>
      </c>
      <c r="J241" s="27">
        <v>968</v>
      </c>
      <c r="K241" s="25">
        <v>0.1</v>
      </c>
      <c r="L241" s="22" t="s">
        <v>17</v>
      </c>
      <c r="M241" s="23" t="s">
        <v>18</v>
      </c>
    </row>
    <row r="242" spans="1:13" x14ac:dyDescent="0.35">
      <c r="A242" s="22" t="s">
        <v>477</v>
      </c>
      <c r="B242" s="22" t="s">
        <v>1335</v>
      </c>
      <c r="C242" s="22" t="s">
        <v>53</v>
      </c>
      <c r="D242" s="22" t="s">
        <v>39</v>
      </c>
      <c r="E242" s="22" t="s">
        <v>29</v>
      </c>
      <c r="F242" s="22" t="s">
        <v>15</v>
      </c>
      <c r="G242" s="22" t="s">
        <v>21</v>
      </c>
      <c r="H242" s="22">
        <v>46</v>
      </c>
      <c r="I242" s="24">
        <v>42759</v>
      </c>
      <c r="J242" s="27">
        <v>732</v>
      </c>
      <c r="K242" s="25">
        <v>0.06</v>
      </c>
      <c r="L242" s="22" t="s">
        <v>17</v>
      </c>
      <c r="M242" s="23" t="s">
        <v>40</v>
      </c>
    </row>
    <row r="243" spans="1:13" x14ac:dyDescent="0.35">
      <c r="A243" s="22" t="s">
        <v>478</v>
      </c>
      <c r="B243" s="22" t="s">
        <v>1336</v>
      </c>
      <c r="C243" s="22" t="s">
        <v>73</v>
      </c>
      <c r="D243" s="22" t="s">
        <v>24</v>
      </c>
      <c r="E243" s="22" t="s">
        <v>33</v>
      </c>
      <c r="F243" s="22" t="s">
        <v>25</v>
      </c>
      <c r="G243" s="22" t="s">
        <v>44</v>
      </c>
      <c r="H243" s="22">
        <v>49</v>
      </c>
      <c r="I243" s="24">
        <v>44108</v>
      </c>
      <c r="J243" s="27">
        <v>805</v>
      </c>
      <c r="K243" s="25">
        <v>0</v>
      </c>
      <c r="L243" s="22" t="s">
        <v>17</v>
      </c>
      <c r="M243" s="23" t="s">
        <v>18</v>
      </c>
    </row>
    <row r="244" spans="1:13" x14ac:dyDescent="0.35">
      <c r="A244" s="22" t="s">
        <v>479</v>
      </c>
      <c r="B244" s="22" t="s">
        <v>1337</v>
      </c>
      <c r="C244" s="22" t="s">
        <v>62</v>
      </c>
      <c r="D244" s="22" t="s">
        <v>24</v>
      </c>
      <c r="E244" s="22" t="s">
        <v>1102</v>
      </c>
      <c r="F244" s="22" t="s">
        <v>25</v>
      </c>
      <c r="G244" s="22" t="s">
        <v>16</v>
      </c>
      <c r="H244" s="22">
        <v>42</v>
      </c>
      <c r="I244" s="24">
        <v>44270</v>
      </c>
      <c r="J244" s="27">
        <v>517</v>
      </c>
      <c r="K244" s="25">
        <v>0</v>
      </c>
      <c r="L244" s="22" t="s">
        <v>17</v>
      </c>
      <c r="M244" s="23" t="s">
        <v>22</v>
      </c>
    </row>
    <row r="245" spans="1:13" x14ac:dyDescent="0.35">
      <c r="A245" s="22" t="s">
        <v>480</v>
      </c>
      <c r="B245" s="22" t="s">
        <v>1338</v>
      </c>
      <c r="C245" s="22" t="s">
        <v>12</v>
      </c>
      <c r="D245" s="22" t="s">
        <v>43</v>
      </c>
      <c r="E245" s="22" t="s">
        <v>1102</v>
      </c>
      <c r="F245" s="22" t="s">
        <v>15</v>
      </c>
      <c r="G245" s="22" t="s">
        <v>21</v>
      </c>
      <c r="H245" s="22">
        <v>55</v>
      </c>
      <c r="I245" s="24">
        <v>36222</v>
      </c>
      <c r="J245" s="27">
        <v>941</v>
      </c>
      <c r="K245" s="25">
        <v>0.34</v>
      </c>
      <c r="L245" s="22" t="s">
        <v>17</v>
      </c>
      <c r="M245" s="23" t="s">
        <v>40</v>
      </c>
    </row>
    <row r="246" spans="1:13" x14ac:dyDescent="0.35">
      <c r="A246" s="22" t="s">
        <v>481</v>
      </c>
      <c r="B246" s="22" t="s">
        <v>1339</v>
      </c>
      <c r="C246" s="22" t="s">
        <v>36</v>
      </c>
      <c r="D246" s="22" t="s">
        <v>24</v>
      </c>
      <c r="E246" s="22" t="s">
        <v>14</v>
      </c>
      <c r="F246" s="22" t="s">
        <v>25</v>
      </c>
      <c r="G246" s="22" t="s">
        <v>44</v>
      </c>
      <c r="H246" s="22">
        <v>44</v>
      </c>
      <c r="I246" s="24">
        <v>41874</v>
      </c>
      <c r="J246" s="27">
        <v>611</v>
      </c>
      <c r="K246" s="25">
        <v>0.27</v>
      </c>
      <c r="L246" s="22" t="s">
        <v>17</v>
      </c>
      <c r="M246" s="23" t="s">
        <v>26</v>
      </c>
    </row>
    <row r="247" spans="1:13" x14ac:dyDescent="0.35">
      <c r="A247" s="22" t="s">
        <v>482</v>
      </c>
      <c r="B247" s="22" t="s">
        <v>1340</v>
      </c>
      <c r="C247" s="22" t="s">
        <v>12</v>
      </c>
      <c r="D247" s="22" t="s">
        <v>56</v>
      </c>
      <c r="E247" s="22" t="s">
        <v>33</v>
      </c>
      <c r="F247" s="22" t="s">
        <v>25</v>
      </c>
      <c r="G247" s="22" t="s">
        <v>21</v>
      </c>
      <c r="H247" s="22">
        <v>28</v>
      </c>
      <c r="I247" s="24">
        <v>43410</v>
      </c>
      <c r="J247" s="27">
        <v>591</v>
      </c>
      <c r="K247" s="25">
        <v>0.31</v>
      </c>
      <c r="L247" s="22" t="s">
        <v>17</v>
      </c>
      <c r="M247" s="23" t="s">
        <v>35</v>
      </c>
    </row>
    <row r="248" spans="1:13" x14ac:dyDescent="0.35">
      <c r="A248" s="22" t="s">
        <v>483</v>
      </c>
      <c r="B248" s="22" t="s">
        <v>1341</v>
      </c>
      <c r="C248" s="22" t="s">
        <v>36</v>
      </c>
      <c r="D248" s="22" t="s">
        <v>24</v>
      </c>
      <c r="E248" s="22" t="s">
        <v>33</v>
      </c>
      <c r="F248" s="22" t="s">
        <v>25</v>
      </c>
      <c r="G248" s="22" t="s">
        <v>41</v>
      </c>
      <c r="H248" s="22">
        <v>41</v>
      </c>
      <c r="I248" s="24">
        <v>41537</v>
      </c>
      <c r="J248" s="27">
        <v>591</v>
      </c>
      <c r="K248" s="25">
        <v>0.22</v>
      </c>
      <c r="L248" s="22" t="s">
        <v>17</v>
      </c>
      <c r="M248" s="23" t="s">
        <v>40</v>
      </c>
    </row>
    <row r="249" spans="1:13" x14ac:dyDescent="0.35">
      <c r="A249" s="22" t="s">
        <v>232</v>
      </c>
      <c r="B249" s="22" t="s">
        <v>1342</v>
      </c>
      <c r="C249" s="22" t="s">
        <v>69</v>
      </c>
      <c r="D249" s="22" t="s">
        <v>28</v>
      </c>
      <c r="E249" s="22" t="s">
        <v>33</v>
      </c>
      <c r="F249" s="22" t="s">
        <v>25</v>
      </c>
      <c r="G249" s="22" t="s">
        <v>21</v>
      </c>
      <c r="H249" s="22">
        <v>60</v>
      </c>
      <c r="I249" s="24">
        <v>35321</v>
      </c>
      <c r="J249" s="27">
        <v>630</v>
      </c>
      <c r="K249" s="25">
        <v>0</v>
      </c>
      <c r="L249" s="22" t="s">
        <v>30</v>
      </c>
      <c r="M249" s="23" t="s">
        <v>52</v>
      </c>
    </row>
    <row r="250" spans="1:13" x14ac:dyDescent="0.35">
      <c r="A250" s="22" t="s">
        <v>484</v>
      </c>
      <c r="B250" s="22" t="s">
        <v>1343</v>
      </c>
      <c r="C250" s="22" t="s">
        <v>53</v>
      </c>
      <c r="D250" s="22" t="s">
        <v>43</v>
      </c>
      <c r="E250" s="22" t="s">
        <v>33</v>
      </c>
      <c r="F250" s="22" t="s">
        <v>15</v>
      </c>
      <c r="G250" s="22" t="s">
        <v>21</v>
      </c>
      <c r="H250" s="22">
        <v>54</v>
      </c>
      <c r="I250" s="24">
        <v>40131</v>
      </c>
      <c r="J250" s="27">
        <v>637</v>
      </c>
      <c r="K250" s="25">
        <v>0.06</v>
      </c>
      <c r="L250" s="22" t="s">
        <v>17</v>
      </c>
      <c r="M250" s="23" t="s">
        <v>40</v>
      </c>
    </row>
    <row r="251" spans="1:13" x14ac:dyDescent="0.35">
      <c r="A251" s="22" t="s">
        <v>485</v>
      </c>
      <c r="B251" s="22" t="s">
        <v>1344</v>
      </c>
      <c r="C251" s="22" t="s">
        <v>53</v>
      </c>
      <c r="D251" s="22" t="s">
        <v>24</v>
      </c>
      <c r="E251" s="22" t="s">
        <v>14</v>
      </c>
      <c r="F251" s="22" t="s">
        <v>15</v>
      </c>
      <c r="G251" s="22" t="s">
        <v>44</v>
      </c>
      <c r="H251" s="22">
        <v>34</v>
      </c>
      <c r="I251" s="24">
        <v>42280</v>
      </c>
      <c r="J251" s="27">
        <v>530</v>
      </c>
      <c r="K251" s="25">
        <v>0.1</v>
      </c>
      <c r="L251" s="22" t="s">
        <v>45</v>
      </c>
      <c r="M251" s="23" t="s">
        <v>66</v>
      </c>
    </row>
    <row r="252" spans="1:13" x14ac:dyDescent="0.35">
      <c r="A252" s="22" t="s">
        <v>97</v>
      </c>
      <c r="B252" s="22" t="s">
        <v>1345</v>
      </c>
      <c r="C252" s="22" t="s">
        <v>32</v>
      </c>
      <c r="D252" s="22" t="s">
        <v>24</v>
      </c>
      <c r="E252" s="22" t="s">
        <v>1102</v>
      </c>
      <c r="F252" s="22" t="s">
        <v>15</v>
      </c>
      <c r="G252" s="22" t="s">
        <v>44</v>
      </c>
      <c r="H252" s="22">
        <v>53</v>
      </c>
      <c r="I252" s="24">
        <v>43934</v>
      </c>
      <c r="J252" s="27">
        <v>565</v>
      </c>
      <c r="K252" s="25">
        <v>0</v>
      </c>
      <c r="L252" s="22" t="s">
        <v>45</v>
      </c>
      <c r="M252" s="23" t="s">
        <v>46</v>
      </c>
    </row>
    <row r="253" spans="1:13" x14ac:dyDescent="0.35">
      <c r="A253" s="22" t="s">
        <v>486</v>
      </c>
      <c r="B253" s="22" t="s">
        <v>1346</v>
      </c>
      <c r="C253" s="22" t="s">
        <v>62</v>
      </c>
      <c r="D253" s="22" t="s">
        <v>24</v>
      </c>
      <c r="E253" s="22" t="s">
        <v>29</v>
      </c>
      <c r="F253" s="22" t="s">
        <v>15</v>
      </c>
      <c r="G253" s="22" t="s">
        <v>21</v>
      </c>
      <c r="H253" s="22">
        <v>48</v>
      </c>
      <c r="I253" s="24">
        <v>40805</v>
      </c>
      <c r="J253" s="27">
        <v>503</v>
      </c>
      <c r="K253" s="25">
        <v>0</v>
      </c>
      <c r="L253" s="22" t="s">
        <v>17</v>
      </c>
      <c r="M253" s="23" t="s">
        <v>54</v>
      </c>
    </row>
    <row r="254" spans="1:13" x14ac:dyDescent="0.35">
      <c r="A254" s="22" t="s">
        <v>156</v>
      </c>
      <c r="B254" s="22" t="s">
        <v>1347</v>
      </c>
      <c r="C254" s="22" t="s">
        <v>42</v>
      </c>
      <c r="D254" s="22" t="s">
        <v>43</v>
      </c>
      <c r="E254" s="22" t="s">
        <v>29</v>
      </c>
      <c r="F254" s="22" t="s">
        <v>15</v>
      </c>
      <c r="G254" s="22" t="s">
        <v>44</v>
      </c>
      <c r="H254" s="22">
        <v>43</v>
      </c>
      <c r="I254" s="24">
        <v>42862</v>
      </c>
      <c r="J254" s="27">
        <v>680</v>
      </c>
      <c r="K254" s="25">
        <v>0</v>
      </c>
      <c r="L254" s="22" t="s">
        <v>17</v>
      </c>
      <c r="M254" s="23" t="s">
        <v>26</v>
      </c>
    </row>
    <row r="255" spans="1:13" x14ac:dyDescent="0.35">
      <c r="A255" s="22" t="s">
        <v>487</v>
      </c>
      <c r="B255" s="22" t="s">
        <v>1348</v>
      </c>
      <c r="C255" s="22" t="s">
        <v>50</v>
      </c>
      <c r="D255" s="22" t="s">
        <v>28</v>
      </c>
      <c r="E255" s="22" t="s">
        <v>14</v>
      </c>
      <c r="F255" s="22" t="s">
        <v>15</v>
      </c>
      <c r="G255" s="22" t="s">
        <v>21</v>
      </c>
      <c r="H255" s="22">
        <v>60</v>
      </c>
      <c r="I255" s="24">
        <v>35719</v>
      </c>
      <c r="J255" s="27">
        <v>805</v>
      </c>
      <c r="K255" s="25">
        <v>0</v>
      </c>
      <c r="L255" s="22" t="s">
        <v>30</v>
      </c>
      <c r="M255" s="23" t="s">
        <v>65</v>
      </c>
    </row>
    <row r="256" spans="1:13" x14ac:dyDescent="0.35">
      <c r="A256" s="22" t="s">
        <v>488</v>
      </c>
      <c r="B256" s="22" t="s">
        <v>1349</v>
      </c>
      <c r="C256" s="22" t="s">
        <v>12</v>
      </c>
      <c r="D256" s="22" t="s">
        <v>43</v>
      </c>
      <c r="E256" s="22" t="s">
        <v>1102</v>
      </c>
      <c r="F256" s="22" t="s">
        <v>15</v>
      </c>
      <c r="G256" s="22" t="s">
        <v>41</v>
      </c>
      <c r="H256" s="22">
        <v>42</v>
      </c>
      <c r="I256" s="24">
        <v>43508</v>
      </c>
      <c r="J256" s="27">
        <v>833</v>
      </c>
      <c r="K256" s="25">
        <v>0.36</v>
      </c>
      <c r="L256" s="22" t="s">
        <v>17</v>
      </c>
      <c r="M256" s="23" t="s">
        <v>22</v>
      </c>
    </row>
    <row r="257" spans="1:13" x14ac:dyDescent="0.35">
      <c r="A257" s="22" t="s">
        <v>489</v>
      </c>
      <c r="B257" s="22" t="s">
        <v>1350</v>
      </c>
      <c r="C257" s="22" t="s">
        <v>34</v>
      </c>
      <c r="D257" s="22" t="s">
        <v>24</v>
      </c>
      <c r="E257" s="22" t="s">
        <v>33</v>
      </c>
      <c r="F257" s="22" t="s">
        <v>25</v>
      </c>
      <c r="G257" s="22" t="s">
        <v>44</v>
      </c>
      <c r="H257" s="22">
        <v>52</v>
      </c>
      <c r="I257" s="24">
        <v>39569</v>
      </c>
      <c r="J257" s="27">
        <v>583</v>
      </c>
      <c r="K257" s="25">
        <v>0</v>
      </c>
      <c r="L257" s="22" t="s">
        <v>17</v>
      </c>
      <c r="M257" s="23" t="s">
        <v>40</v>
      </c>
    </row>
    <row r="258" spans="1:13" x14ac:dyDescent="0.35">
      <c r="A258" s="22" t="s">
        <v>110</v>
      </c>
      <c r="B258" s="22" t="s">
        <v>1351</v>
      </c>
      <c r="C258" s="22" t="s">
        <v>76</v>
      </c>
      <c r="D258" s="22" t="s">
        <v>28</v>
      </c>
      <c r="E258" s="22" t="s">
        <v>1102</v>
      </c>
      <c r="F258" s="22" t="s">
        <v>25</v>
      </c>
      <c r="G258" s="22" t="s">
        <v>16</v>
      </c>
      <c r="H258" s="22">
        <v>50</v>
      </c>
      <c r="I258" s="24">
        <v>36212</v>
      </c>
      <c r="J258" s="27">
        <v>612</v>
      </c>
      <c r="K258" s="25">
        <v>0.11</v>
      </c>
      <c r="L258" s="22" t="s">
        <v>17</v>
      </c>
      <c r="M258" s="23" t="s">
        <v>18</v>
      </c>
    </row>
    <row r="259" spans="1:13" x14ac:dyDescent="0.35">
      <c r="A259" s="22" t="s">
        <v>256</v>
      </c>
      <c r="B259" s="22" t="s">
        <v>1352</v>
      </c>
      <c r="C259" s="22" t="s">
        <v>73</v>
      </c>
      <c r="D259" s="22" t="s">
        <v>24</v>
      </c>
      <c r="E259" s="22" t="s">
        <v>33</v>
      </c>
      <c r="F259" s="22" t="s">
        <v>15</v>
      </c>
      <c r="G259" s="22" t="s">
        <v>44</v>
      </c>
      <c r="H259" s="22">
        <v>37</v>
      </c>
      <c r="I259" s="24">
        <v>39873</v>
      </c>
      <c r="J259" s="27">
        <v>865</v>
      </c>
      <c r="K259" s="25">
        <v>0</v>
      </c>
      <c r="L259" s="22" t="s">
        <v>17</v>
      </c>
      <c r="M259" s="23" t="s">
        <v>18</v>
      </c>
    </row>
    <row r="260" spans="1:13" x14ac:dyDescent="0.35">
      <c r="A260" s="22" t="s">
        <v>490</v>
      </c>
      <c r="B260" s="22" t="s">
        <v>1353</v>
      </c>
      <c r="C260" s="22" t="s">
        <v>42</v>
      </c>
      <c r="D260" s="22" t="s">
        <v>43</v>
      </c>
      <c r="E260" s="22" t="s">
        <v>33</v>
      </c>
      <c r="F260" s="22" t="s">
        <v>25</v>
      </c>
      <c r="G260" s="22" t="s">
        <v>21</v>
      </c>
      <c r="H260" s="22">
        <v>58</v>
      </c>
      <c r="I260" s="24">
        <v>41940</v>
      </c>
      <c r="J260" s="27">
        <v>609</v>
      </c>
      <c r="K260" s="25">
        <v>0</v>
      </c>
      <c r="L260" s="22" t="s">
        <v>30</v>
      </c>
      <c r="M260" s="23" t="s">
        <v>31</v>
      </c>
    </row>
    <row r="261" spans="1:13" x14ac:dyDescent="0.35">
      <c r="A261" s="22" t="s">
        <v>491</v>
      </c>
      <c r="B261" s="22" t="s">
        <v>1354</v>
      </c>
      <c r="C261" s="22" t="s">
        <v>1111</v>
      </c>
      <c r="D261" s="22" t="s">
        <v>39</v>
      </c>
      <c r="E261" s="22" t="s">
        <v>29</v>
      </c>
      <c r="F261" s="22" t="s">
        <v>15</v>
      </c>
      <c r="G261" s="22" t="s">
        <v>44</v>
      </c>
      <c r="H261" s="22">
        <v>39</v>
      </c>
      <c r="I261" s="24">
        <v>42901</v>
      </c>
      <c r="J261" s="27">
        <v>594</v>
      </c>
      <c r="K261" s="25">
        <v>0.14000000000000001</v>
      </c>
      <c r="L261" s="22" t="s">
        <v>45</v>
      </c>
      <c r="M261" s="23" t="s">
        <v>66</v>
      </c>
    </row>
    <row r="262" spans="1:13" x14ac:dyDescent="0.35">
      <c r="A262" s="22" t="s">
        <v>492</v>
      </c>
      <c r="B262" s="22" t="s">
        <v>1355</v>
      </c>
      <c r="C262" s="22" t="s">
        <v>12</v>
      </c>
      <c r="D262" s="22" t="s">
        <v>56</v>
      </c>
      <c r="E262" s="22" t="s">
        <v>29</v>
      </c>
      <c r="F262" s="22" t="s">
        <v>25</v>
      </c>
      <c r="G262" s="22" t="s">
        <v>21</v>
      </c>
      <c r="H262" s="22">
        <v>50</v>
      </c>
      <c r="I262" s="24">
        <v>35170</v>
      </c>
      <c r="J262" s="27">
        <v>734</v>
      </c>
      <c r="K262" s="25">
        <v>0.36</v>
      </c>
      <c r="L262" s="22" t="s">
        <v>17</v>
      </c>
      <c r="M262" s="23" t="s">
        <v>26</v>
      </c>
    </row>
    <row r="263" spans="1:13" x14ac:dyDescent="0.35">
      <c r="A263" s="22" t="s">
        <v>493</v>
      </c>
      <c r="B263" s="22" t="s">
        <v>1112</v>
      </c>
      <c r="C263" s="22" t="s">
        <v>55</v>
      </c>
      <c r="D263" s="22" t="s">
        <v>39</v>
      </c>
      <c r="E263" s="22" t="s">
        <v>14</v>
      </c>
      <c r="F263" s="22" t="s">
        <v>15</v>
      </c>
      <c r="G263" s="22" t="s">
        <v>21</v>
      </c>
      <c r="H263" s="22">
        <v>51</v>
      </c>
      <c r="I263" s="24">
        <v>39147</v>
      </c>
      <c r="J263" s="27">
        <v>635</v>
      </c>
      <c r="K263" s="25">
        <v>0</v>
      </c>
      <c r="L263" s="22" t="s">
        <v>30</v>
      </c>
      <c r="M263" s="23" t="s">
        <v>52</v>
      </c>
    </row>
    <row r="264" spans="1:13" x14ac:dyDescent="0.35">
      <c r="A264" s="22" t="s">
        <v>494</v>
      </c>
      <c r="B264" s="22" t="s">
        <v>1356</v>
      </c>
      <c r="C264" s="22" t="s">
        <v>38</v>
      </c>
      <c r="D264" s="22" t="s">
        <v>39</v>
      </c>
      <c r="E264" s="22" t="s">
        <v>1102</v>
      </c>
      <c r="F264" s="22" t="s">
        <v>25</v>
      </c>
      <c r="G264" s="22" t="s">
        <v>21</v>
      </c>
      <c r="H264" s="22">
        <v>31</v>
      </c>
      <c r="I264" s="24">
        <v>42015</v>
      </c>
      <c r="J264" s="27">
        <v>686</v>
      </c>
      <c r="K264" s="25">
        <v>0</v>
      </c>
      <c r="L264" s="22" t="s">
        <v>30</v>
      </c>
      <c r="M264" s="23" t="s">
        <v>52</v>
      </c>
    </row>
    <row r="265" spans="1:13" x14ac:dyDescent="0.35">
      <c r="A265" s="22" t="s">
        <v>495</v>
      </c>
      <c r="B265" s="22" t="s">
        <v>1357</v>
      </c>
      <c r="C265" s="22" t="s">
        <v>36</v>
      </c>
      <c r="D265" s="22" t="s">
        <v>24</v>
      </c>
      <c r="E265" s="22" t="s">
        <v>14</v>
      </c>
      <c r="F265" s="22" t="s">
        <v>15</v>
      </c>
      <c r="G265" s="22" t="s">
        <v>44</v>
      </c>
      <c r="H265" s="22">
        <v>52</v>
      </c>
      <c r="I265" s="24">
        <v>36381</v>
      </c>
      <c r="J265" s="27">
        <v>818</v>
      </c>
      <c r="K265" s="25">
        <v>0.27</v>
      </c>
      <c r="L265" s="22" t="s">
        <v>45</v>
      </c>
      <c r="M265" s="23" t="s">
        <v>46</v>
      </c>
    </row>
    <row r="266" spans="1:13" x14ac:dyDescent="0.35">
      <c r="A266" s="22" t="s">
        <v>496</v>
      </c>
      <c r="B266" s="22" t="s">
        <v>1358</v>
      </c>
      <c r="C266" s="22" t="s">
        <v>72</v>
      </c>
      <c r="D266" s="22" t="s">
        <v>24</v>
      </c>
      <c r="E266" s="22" t="s">
        <v>14</v>
      </c>
      <c r="F266" s="22" t="s">
        <v>15</v>
      </c>
      <c r="G266" s="22" t="s">
        <v>16</v>
      </c>
      <c r="H266" s="22">
        <v>63</v>
      </c>
      <c r="I266" s="24">
        <v>40532</v>
      </c>
      <c r="J266" s="27">
        <v>563</v>
      </c>
      <c r="K266" s="25">
        <v>0</v>
      </c>
      <c r="L266" s="22" t="s">
        <v>17</v>
      </c>
      <c r="M266" s="23" t="s">
        <v>54</v>
      </c>
    </row>
    <row r="267" spans="1:13" x14ac:dyDescent="0.35">
      <c r="A267" s="22" t="s">
        <v>497</v>
      </c>
      <c r="B267" s="22" t="s">
        <v>1359</v>
      </c>
      <c r="C267" s="22" t="s">
        <v>1111</v>
      </c>
      <c r="D267" s="22" t="s">
        <v>56</v>
      </c>
      <c r="E267" s="22" t="s">
        <v>14</v>
      </c>
      <c r="F267" s="22" t="s">
        <v>25</v>
      </c>
      <c r="G267" s="22" t="s">
        <v>41</v>
      </c>
      <c r="H267" s="22">
        <v>28</v>
      </c>
      <c r="I267" s="24">
        <v>44914</v>
      </c>
      <c r="J267" s="27">
        <v>549</v>
      </c>
      <c r="K267" s="25">
        <v>0.1</v>
      </c>
      <c r="L267" s="22" t="s">
        <v>17</v>
      </c>
      <c r="M267" s="23" t="s">
        <v>54</v>
      </c>
    </row>
    <row r="268" spans="1:13" x14ac:dyDescent="0.35">
      <c r="A268" s="22" t="s">
        <v>498</v>
      </c>
      <c r="B268" s="22" t="s">
        <v>1360</v>
      </c>
      <c r="C268" s="22" t="s">
        <v>12</v>
      </c>
      <c r="D268" s="22" t="s">
        <v>13</v>
      </c>
      <c r="E268" s="22" t="s">
        <v>14</v>
      </c>
      <c r="F268" s="22" t="s">
        <v>15</v>
      </c>
      <c r="G268" s="22" t="s">
        <v>44</v>
      </c>
      <c r="H268" s="22">
        <v>39</v>
      </c>
      <c r="I268" s="24">
        <v>41106</v>
      </c>
      <c r="J268" s="27">
        <v>780</v>
      </c>
      <c r="K268" s="25">
        <v>0.35</v>
      </c>
      <c r="L268" s="22" t="s">
        <v>45</v>
      </c>
      <c r="M268" s="23" t="s">
        <v>46</v>
      </c>
    </row>
    <row r="269" spans="1:13" x14ac:dyDescent="0.35">
      <c r="A269" s="22" t="s">
        <v>499</v>
      </c>
      <c r="B269" s="22" t="s">
        <v>1361</v>
      </c>
      <c r="C269" s="22" t="s">
        <v>36</v>
      </c>
      <c r="D269" s="22" t="s">
        <v>13</v>
      </c>
      <c r="E269" s="22" t="s">
        <v>1102</v>
      </c>
      <c r="F269" s="22" t="s">
        <v>15</v>
      </c>
      <c r="G269" s="22" t="s">
        <v>44</v>
      </c>
      <c r="H269" s="22">
        <v>36</v>
      </c>
      <c r="I269" s="24">
        <v>41538</v>
      </c>
      <c r="J269" s="27">
        <v>913</v>
      </c>
      <c r="K269" s="25">
        <v>0.15</v>
      </c>
      <c r="L269" s="22" t="s">
        <v>17</v>
      </c>
      <c r="M269" s="23" t="s">
        <v>26</v>
      </c>
    </row>
    <row r="270" spans="1:13" x14ac:dyDescent="0.35">
      <c r="A270" s="22" t="s">
        <v>500</v>
      </c>
      <c r="B270" s="22" t="s">
        <v>1362</v>
      </c>
      <c r="C270" s="22" t="s">
        <v>1111</v>
      </c>
      <c r="D270" s="22" t="s">
        <v>56</v>
      </c>
      <c r="E270" s="22" t="s">
        <v>1102</v>
      </c>
      <c r="F270" s="22" t="s">
        <v>15</v>
      </c>
      <c r="G270" s="22" t="s">
        <v>44</v>
      </c>
      <c r="H270" s="22">
        <v>63</v>
      </c>
      <c r="I270" s="24">
        <v>36161</v>
      </c>
      <c r="J270" s="27">
        <v>771</v>
      </c>
      <c r="K270" s="25">
        <v>0.14000000000000001</v>
      </c>
      <c r="L270" s="22" t="s">
        <v>17</v>
      </c>
      <c r="M270" s="23" t="s">
        <v>54</v>
      </c>
    </row>
    <row r="271" spans="1:13" x14ac:dyDescent="0.35">
      <c r="A271" s="22" t="s">
        <v>501</v>
      </c>
      <c r="B271" s="22" t="s">
        <v>1363</v>
      </c>
      <c r="C271" s="22" t="s">
        <v>36</v>
      </c>
      <c r="D271" s="22" t="s">
        <v>39</v>
      </c>
      <c r="E271" s="22" t="s">
        <v>29</v>
      </c>
      <c r="F271" s="22" t="s">
        <v>15</v>
      </c>
      <c r="G271" s="22" t="s">
        <v>21</v>
      </c>
      <c r="H271" s="22">
        <v>47</v>
      </c>
      <c r="I271" s="24">
        <v>41936</v>
      </c>
      <c r="J271" s="27">
        <v>536</v>
      </c>
      <c r="K271" s="25">
        <v>0.21</v>
      </c>
      <c r="L271" s="22" t="s">
        <v>17</v>
      </c>
      <c r="M271" s="23" t="s">
        <v>35</v>
      </c>
    </row>
    <row r="272" spans="1:13" x14ac:dyDescent="0.35">
      <c r="A272" s="22" t="s">
        <v>502</v>
      </c>
      <c r="B272" s="22" t="s">
        <v>1364</v>
      </c>
      <c r="C272" s="22" t="s">
        <v>12</v>
      </c>
      <c r="D272" s="22" t="s">
        <v>56</v>
      </c>
      <c r="E272" s="22" t="s">
        <v>14</v>
      </c>
      <c r="F272" s="22" t="s">
        <v>15</v>
      </c>
      <c r="G272" s="22" t="s">
        <v>21</v>
      </c>
      <c r="H272" s="22">
        <v>43</v>
      </c>
      <c r="I272" s="24">
        <v>38305</v>
      </c>
      <c r="J272" s="27">
        <v>625</v>
      </c>
      <c r="K272" s="25">
        <v>0.37</v>
      </c>
      <c r="L272" s="22" t="s">
        <v>17</v>
      </c>
      <c r="M272" s="23" t="s">
        <v>18</v>
      </c>
    </row>
    <row r="273" spans="1:13" x14ac:dyDescent="0.35">
      <c r="A273" s="22" t="s">
        <v>503</v>
      </c>
      <c r="B273" s="22" t="s">
        <v>1365</v>
      </c>
      <c r="C273" s="22" t="s">
        <v>53</v>
      </c>
      <c r="D273" s="22" t="s">
        <v>20</v>
      </c>
      <c r="E273" s="22" t="s">
        <v>1102</v>
      </c>
      <c r="F273" s="22" t="s">
        <v>15</v>
      </c>
      <c r="G273" s="22" t="s">
        <v>21</v>
      </c>
      <c r="H273" s="22">
        <v>39</v>
      </c>
      <c r="I273" s="24">
        <v>43370</v>
      </c>
      <c r="J273" s="27">
        <v>917</v>
      </c>
      <c r="K273" s="25">
        <v>7.0000000000000007E-2</v>
      </c>
      <c r="L273" s="22" t="s">
        <v>30</v>
      </c>
      <c r="M273" s="23" t="s">
        <v>31</v>
      </c>
    </row>
    <row r="274" spans="1:13" x14ac:dyDescent="0.35">
      <c r="A274" s="22" t="s">
        <v>37</v>
      </c>
      <c r="B274" s="22" t="s">
        <v>1366</v>
      </c>
      <c r="C274" s="22" t="s">
        <v>51</v>
      </c>
      <c r="D274" s="22" t="s">
        <v>28</v>
      </c>
      <c r="E274" s="22" t="s">
        <v>29</v>
      </c>
      <c r="F274" s="22" t="s">
        <v>25</v>
      </c>
      <c r="G274" s="22" t="s">
        <v>21</v>
      </c>
      <c r="H274" s="22">
        <v>55</v>
      </c>
      <c r="I274" s="24">
        <v>42134</v>
      </c>
      <c r="J274" s="27">
        <v>904</v>
      </c>
      <c r="K274" s="25">
        <v>0</v>
      </c>
      <c r="L274" s="22" t="s">
        <v>30</v>
      </c>
      <c r="M274" s="23" t="s">
        <v>65</v>
      </c>
    </row>
    <row r="275" spans="1:13" x14ac:dyDescent="0.35">
      <c r="A275" s="22" t="s">
        <v>504</v>
      </c>
      <c r="B275" s="22" t="s">
        <v>1367</v>
      </c>
      <c r="C275" s="22" t="s">
        <v>1111</v>
      </c>
      <c r="D275" s="22" t="s">
        <v>43</v>
      </c>
      <c r="E275" s="22" t="s">
        <v>29</v>
      </c>
      <c r="F275" s="22" t="s">
        <v>15</v>
      </c>
      <c r="G275" s="22" t="s">
        <v>21</v>
      </c>
      <c r="H275" s="22">
        <v>32</v>
      </c>
      <c r="I275" s="24">
        <v>44754</v>
      </c>
      <c r="J275" s="27">
        <v>500</v>
      </c>
      <c r="K275" s="25">
        <v>0.15</v>
      </c>
      <c r="L275" s="22" t="s">
        <v>17</v>
      </c>
      <c r="M275" s="23" t="s">
        <v>40</v>
      </c>
    </row>
    <row r="276" spans="1:13" x14ac:dyDescent="0.35">
      <c r="A276" s="22" t="s">
        <v>250</v>
      </c>
      <c r="B276" s="22" t="s">
        <v>1368</v>
      </c>
      <c r="C276" s="22" t="s">
        <v>12</v>
      </c>
      <c r="D276" s="22" t="s">
        <v>56</v>
      </c>
      <c r="E276" s="22" t="s">
        <v>33</v>
      </c>
      <c r="F276" s="22" t="s">
        <v>15</v>
      </c>
      <c r="G276" s="22" t="s">
        <v>21</v>
      </c>
      <c r="H276" s="22">
        <v>53</v>
      </c>
      <c r="I276" s="24">
        <v>38600</v>
      </c>
      <c r="J276" s="27">
        <v>976</v>
      </c>
      <c r="K276" s="25">
        <v>0.33</v>
      </c>
      <c r="L276" s="22" t="s">
        <v>30</v>
      </c>
      <c r="M276" s="23" t="s">
        <v>31</v>
      </c>
    </row>
    <row r="277" spans="1:13" x14ac:dyDescent="0.35">
      <c r="A277" s="22" t="s">
        <v>505</v>
      </c>
      <c r="B277" s="22" t="s">
        <v>1369</v>
      </c>
      <c r="C277" s="22" t="s">
        <v>38</v>
      </c>
      <c r="D277" s="22" t="s">
        <v>13</v>
      </c>
      <c r="E277" s="22" t="s">
        <v>33</v>
      </c>
      <c r="F277" s="22" t="s">
        <v>25</v>
      </c>
      <c r="G277" s="22" t="s">
        <v>21</v>
      </c>
      <c r="H277" s="22">
        <v>59</v>
      </c>
      <c r="I277" s="24">
        <v>39463</v>
      </c>
      <c r="J277" s="27">
        <v>804</v>
      </c>
      <c r="K277" s="25">
        <v>0</v>
      </c>
      <c r="L277" s="22" t="s">
        <v>30</v>
      </c>
      <c r="M277" s="23" t="s">
        <v>65</v>
      </c>
    </row>
    <row r="278" spans="1:13" x14ac:dyDescent="0.35">
      <c r="A278" s="22" t="s">
        <v>506</v>
      </c>
      <c r="B278" s="22" t="s">
        <v>1370</v>
      </c>
      <c r="C278" s="22" t="s">
        <v>36</v>
      </c>
      <c r="D278" s="22" t="s">
        <v>20</v>
      </c>
      <c r="E278" s="22" t="s">
        <v>29</v>
      </c>
      <c r="F278" s="22" t="s">
        <v>15</v>
      </c>
      <c r="G278" s="22" t="s">
        <v>21</v>
      </c>
      <c r="H278" s="22">
        <v>26</v>
      </c>
      <c r="I278" s="24">
        <v>44672</v>
      </c>
      <c r="J278" s="27">
        <v>712</v>
      </c>
      <c r="K278" s="25">
        <v>0.22</v>
      </c>
      <c r="L278" s="22" t="s">
        <v>17</v>
      </c>
      <c r="M278" s="23" t="s">
        <v>18</v>
      </c>
    </row>
    <row r="279" spans="1:13" x14ac:dyDescent="0.35">
      <c r="A279" s="22" t="s">
        <v>507</v>
      </c>
      <c r="B279" s="22" t="s">
        <v>1371</v>
      </c>
      <c r="C279" s="22" t="s">
        <v>68</v>
      </c>
      <c r="D279" s="22" t="s">
        <v>20</v>
      </c>
      <c r="E279" s="22" t="s">
        <v>29</v>
      </c>
      <c r="F279" s="22" t="s">
        <v>25</v>
      </c>
      <c r="G279" s="22" t="s">
        <v>21</v>
      </c>
      <c r="H279" s="22">
        <v>55</v>
      </c>
      <c r="I279" s="24">
        <v>37120</v>
      </c>
      <c r="J279" s="27">
        <v>825</v>
      </c>
      <c r="K279" s="25">
        <v>0</v>
      </c>
      <c r="L279" s="22" t="s">
        <v>17</v>
      </c>
      <c r="M279" s="23" t="s">
        <v>54</v>
      </c>
    </row>
    <row r="280" spans="1:13" x14ac:dyDescent="0.35">
      <c r="A280" s="22" t="s">
        <v>508</v>
      </c>
      <c r="B280" s="22" t="s">
        <v>1372</v>
      </c>
      <c r="C280" s="22" t="s">
        <v>53</v>
      </c>
      <c r="D280" s="22" t="s">
        <v>56</v>
      </c>
      <c r="E280" s="22" t="s">
        <v>1102</v>
      </c>
      <c r="F280" s="22" t="s">
        <v>25</v>
      </c>
      <c r="G280" s="22" t="s">
        <v>21</v>
      </c>
      <c r="H280" s="22">
        <v>34</v>
      </c>
      <c r="I280" s="24">
        <v>41472</v>
      </c>
      <c r="J280" s="27">
        <v>868</v>
      </c>
      <c r="K280" s="25">
        <v>0.1</v>
      </c>
      <c r="L280" s="22" t="s">
        <v>30</v>
      </c>
      <c r="M280" s="23" t="s">
        <v>31</v>
      </c>
    </row>
    <row r="281" spans="1:13" x14ac:dyDescent="0.35">
      <c r="A281" s="22" t="s">
        <v>509</v>
      </c>
      <c r="B281" s="22" t="s">
        <v>1373</v>
      </c>
      <c r="C281" s="22" t="s">
        <v>53</v>
      </c>
      <c r="D281" s="22" t="s">
        <v>39</v>
      </c>
      <c r="E281" s="22" t="s">
        <v>29</v>
      </c>
      <c r="F281" s="22" t="s">
        <v>25</v>
      </c>
      <c r="G281" s="22" t="s">
        <v>16</v>
      </c>
      <c r="H281" s="22">
        <v>45</v>
      </c>
      <c r="I281" s="24">
        <v>41004</v>
      </c>
      <c r="J281" s="27">
        <v>704</v>
      </c>
      <c r="K281" s="25">
        <v>0.09</v>
      </c>
      <c r="L281" s="22" t="s">
        <v>17</v>
      </c>
      <c r="M281" s="23" t="s">
        <v>22</v>
      </c>
    </row>
    <row r="282" spans="1:13" x14ac:dyDescent="0.35">
      <c r="A282" s="22" t="s">
        <v>510</v>
      </c>
      <c r="B282" s="22" t="s">
        <v>1374</v>
      </c>
      <c r="C282" s="22" t="s">
        <v>63</v>
      </c>
      <c r="D282" s="22" t="s">
        <v>20</v>
      </c>
      <c r="E282" s="22" t="s">
        <v>1102</v>
      </c>
      <c r="F282" s="22" t="s">
        <v>25</v>
      </c>
      <c r="G282" s="22" t="s">
        <v>21</v>
      </c>
      <c r="H282" s="22">
        <v>29</v>
      </c>
      <c r="I282" s="24">
        <v>44665</v>
      </c>
      <c r="J282" s="27">
        <v>583</v>
      </c>
      <c r="K282" s="25">
        <v>0</v>
      </c>
      <c r="L282" s="22" t="s">
        <v>17</v>
      </c>
      <c r="M282" s="23" t="s">
        <v>54</v>
      </c>
    </row>
    <row r="283" spans="1:13" x14ac:dyDescent="0.35">
      <c r="A283" s="22" t="s">
        <v>155</v>
      </c>
      <c r="B283" s="22" t="s">
        <v>1375</v>
      </c>
      <c r="C283" s="22" t="s">
        <v>36</v>
      </c>
      <c r="D283" s="22" t="s">
        <v>39</v>
      </c>
      <c r="E283" s="22" t="s">
        <v>1102</v>
      </c>
      <c r="F283" s="22" t="s">
        <v>15</v>
      </c>
      <c r="G283" s="22" t="s">
        <v>44</v>
      </c>
      <c r="H283" s="22">
        <v>45</v>
      </c>
      <c r="I283" s="24">
        <v>40693</v>
      </c>
      <c r="J283" s="27">
        <v>535</v>
      </c>
      <c r="K283" s="25">
        <v>0.28999999999999998</v>
      </c>
      <c r="L283" s="22" t="s">
        <v>45</v>
      </c>
      <c r="M283" s="23" t="s">
        <v>46</v>
      </c>
    </row>
    <row r="284" spans="1:13" x14ac:dyDescent="0.35">
      <c r="A284" s="22" t="s">
        <v>188</v>
      </c>
      <c r="B284" s="22" t="s">
        <v>1376</v>
      </c>
      <c r="C284" s="22" t="s">
        <v>19</v>
      </c>
      <c r="D284" s="22" t="s">
        <v>20</v>
      </c>
      <c r="E284" s="22" t="s">
        <v>1102</v>
      </c>
      <c r="F284" s="22" t="s">
        <v>25</v>
      </c>
      <c r="G284" s="22" t="s">
        <v>44</v>
      </c>
      <c r="H284" s="22">
        <v>34</v>
      </c>
      <c r="I284" s="24">
        <v>41005</v>
      </c>
      <c r="J284" s="27">
        <v>734</v>
      </c>
      <c r="K284" s="25">
        <v>0</v>
      </c>
      <c r="L284" s="22" t="s">
        <v>17</v>
      </c>
      <c r="M284" s="23" t="s">
        <v>54</v>
      </c>
    </row>
    <row r="285" spans="1:13" x14ac:dyDescent="0.35">
      <c r="A285" s="22" t="s">
        <v>170</v>
      </c>
      <c r="B285" s="22" t="s">
        <v>1377</v>
      </c>
      <c r="C285" s="22" t="s">
        <v>47</v>
      </c>
      <c r="D285" s="22" t="s">
        <v>24</v>
      </c>
      <c r="E285" s="22" t="s">
        <v>29</v>
      </c>
      <c r="F285" s="22" t="s">
        <v>25</v>
      </c>
      <c r="G285" s="22" t="s">
        <v>44</v>
      </c>
      <c r="H285" s="22">
        <v>26</v>
      </c>
      <c r="I285" s="24">
        <v>44353</v>
      </c>
      <c r="J285" s="27">
        <v>774</v>
      </c>
      <c r="K285" s="25">
        <v>0</v>
      </c>
      <c r="L285" s="22" t="s">
        <v>17</v>
      </c>
      <c r="M285" s="23" t="s">
        <v>40</v>
      </c>
    </row>
    <row r="286" spans="1:13" x14ac:dyDescent="0.35">
      <c r="A286" s="22" t="s">
        <v>511</v>
      </c>
      <c r="B286" s="22" t="s">
        <v>1378</v>
      </c>
      <c r="C286" s="22" t="s">
        <v>53</v>
      </c>
      <c r="D286" s="22" t="s">
        <v>43</v>
      </c>
      <c r="E286" s="22" t="s">
        <v>14</v>
      </c>
      <c r="F286" s="22" t="s">
        <v>15</v>
      </c>
      <c r="G286" s="22" t="s">
        <v>44</v>
      </c>
      <c r="H286" s="22">
        <v>30</v>
      </c>
      <c r="I286" s="24">
        <v>43065</v>
      </c>
      <c r="J286" s="27">
        <v>977</v>
      </c>
      <c r="K286" s="25">
        <v>7.0000000000000007E-2</v>
      </c>
      <c r="L286" s="22" t="s">
        <v>45</v>
      </c>
      <c r="M286" s="23" t="s">
        <v>66</v>
      </c>
    </row>
    <row r="287" spans="1:13" x14ac:dyDescent="0.35">
      <c r="A287" s="22" t="s">
        <v>512</v>
      </c>
      <c r="B287" s="22" t="s">
        <v>1379</v>
      </c>
      <c r="C287" s="22" t="s">
        <v>1111</v>
      </c>
      <c r="D287" s="22" t="s">
        <v>43</v>
      </c>
      <c r="E287" s="22" t="s">
        <v>14</v>
      </c>
      <c r="F287" s="22" t="s">
        <v>15</v>
      </c>
      <c r="G287" s="22" t="s">
        <v>21</v>
      </c>
      <c r="H287" s="22">
        <v>55</v>
      </c>
      <c r="I287" s="24">
        <v>36199</v>
      </c>
      <c r="J287" s="27">
        <v>632</v>
      </c>
      <c r="K287" s="25">
        <v>0.15</v>
      </c>
      <c r="L287" s="22" t="s">
        <v>17</v>
      </c>
      <c r="M287" s="23" t="s">
        <v>18</v>
      </c>
    </row>
    <row r="288" spans="1:13" x14ac:dyDescent="0.35">
      <c r="A288" s="22" t="s">
        <v>513</v>
      </c>
      <c r="B288" s="22" t="s">
        <v>1380</v>
      </c>
      <c r="C288" s="22" t="s">
        <v>48</v>
      </c>
      <c r="D288" s="22" t="s">
        <v>24</v>
      </c>
      <c r="E288" s="22" t="s">
        <v>29</v>
      </c>
      <c r="F288" s="22" t="s">
        <v>25</v>
      </c>
      <c r="G288" s="22" t="s">
        <v>21</v>
      </c>
      <c r="H288" s="22">
        <v>47</v>
      </c>
      <c r="I288" s="24">
        <v>37331</v>
      </c>
      <c r="J288" s="27">
        <v>905</v>
      </c>
      <c r="K288" s="25">
        <v>0.05</v>
      </c>
      <c r="L288" s="22" t="s">
        <v>17</v>
      </c>
      <c r="M288" s="23" t="s">
        <v>35</v>
      </c>
    </row>
    <row r="289" spans="1:13" x14ac:dyDescent="0.35">
      <c r="A289" s="22" t="s">
        <v>514</v>
      </c>
      <c r="B289" s="22" t="s">
        <v>1381</v>
      </c>
      <c r="C289" s="22" t="s">
        <v>51</v>
      </c>
      <c r="D289" s="22" t="s">
        <v>28</v>
      </c>
      <c r="E289" s="22" t="s">
        <v>33</v>
      </c>
      <c r="F289" s="22" t="s">
        <v>25</v>
      </c>
      <c r="G289" s="22" t="s">
        <v>44</v>
      </c>
      <c r="H289" s="22">
        <v>51</v>
      </c>
      <c r="I289" s="24">
        <v>38519</v>
      </c>
      <c r="J289" s="27">
        <v>670</v>
      </c>
      <c r="K289" s="25">
        <v>0</v>
      </c>
      <c r="L289" s="22" t="s">
        <v>45</v>
      </c>
      <c r="M289" s="23" t="s">
        <v>66</v>
      </c>
    </row>
    <row r="290" spans="1:13" x14ac:dyDescent="0.35">
      <c r="A290" s="22" t="s">
        <v>515</v>
      </c>
      <c r="B290" s="22" t="s">
        <v>1382</v>
      </c>
      <c r="C290" s="22" t="s">
        <v>1111</v>
      </c>
      <c r="D290" s="22" t="s">
        <v>24</v>
      </c>
      <c r="E290" s="22" t="s">
        <v>29</v>
      </c>
      <c r="F290" s="22" t="s">
        <v>15</v>
      </c>
      <c r="G290" s="22" t="s">
        <v>21</v>
      </c>
      <c r="H290" s="22">
        <v>54</v>
      </c>
      <c r="I290" s="24">
        <v>34160</v>
      </c>
      <c r="J290" s="27">
        <v>629</v>
      </c>
      <c r="K290" s="25">
        <v>0.1</v>
      </c>
      <c r="L290" s="22" t="s">
        <v>30</v>
      </c>
      <c r="M290" s="23" t="s">
        <v>52</v>
      </c>
    </row>
    <row r="291" spans="1:13" x14ac:dyDescent="0.35">
      <c r="A291" s="22" t="s">
        <v>516</v>
      </c>
      <c r="B291" s="22" t="s">
        <v>1383</v>
      </c>
      <c r="C291" s="22" t="s">
        <v>1111</v>
      </c>
      <c r="D291" s="22" t="s">
        <v>43</v>
      </c>
      <c r="E291" s="22" t="s">
        <v>29</v>
      </c>
      <c r="F291" s="22" t="s">
        <v>15</v>
      </c>
      <c r="G291" s="22" t="s">
        <v>21</v>
      </c>
      <c r="H291" s="22">
        <v>64</v>
      </c>
      <c r="I291" s="24">
        <v>35440</v>
      </c>
      <c r="J291" s="27">
        <v>788</v>
      </c>
      <c r="K291" s="25">
        <v>0.11</v>
      </c>
      <c r="L291" s="22" t="s">
        <v>17</v>
      </c>
      <c r="M291" s="23" t="s">
        <v>22</v>
      </c>
    </row>
    <row r="292" spans="1:13" x14ac:dyDescent="0.35">
      <c r="A292" s="22" t="s">
        <v>517</v>
      </c>
      <c r="B292" s="22" t="s">
        <v>1384</v>
      </c>
      <c r="C292" s="22" t="s">
        <v>53</v>
      </c>
      <c r="D292" s="22" t="s">
        <v>24</v>
      </c>
      <c r="E292" s="22" t="s">
        <v>33</v>
      </c>
      <c r="F292" s="22" t="s">
        <v>15</v>
      </c>
      <c r="G292" s="22" t="s">
        <v>44</v>
      </c>
      <c r="H292" s="22">
        <v>40</v>
      </c>
      <c r="I292" s="24">
        <v>40071</v>
      </c>
      <c r="J292" s="27">
        <v>742</v>
      </c>
      <c r="K292" s="25">
        <v>7.0000000000000007E-2</v>
      </c>
      <c r="L292" s="22" t="s">
        <v>17</v>
      </c>
      <c r="M292" s="23" t="s">
        <v>54</v>
      </c>
    </row>
    <row r="293" spans="1:13" x14ac:dyDescent="0.35">
      <c r="A293" s="22" t="s">
        <v>518</v>
      </c>
      <c r="B293" s="22" t="s">
        <v>1385</v>
      </c>
      <c r="C293" s="22" t="s">
        <v>60</v>
      </c>
      <c r="D293" s="22" t="s">
        <v>24</v>
      </c>
      <c r="E293" s="22" t="s">
        <v>33</v>
      </c>
      <c r="F293" s="22" t="s">
        <v>25</v>
      </c>
      <c r="G293" s="22" t="s">
        <v>44</v>
      </c>
      <c r="H293" s="22">
        <v>27</v>
      </c>
      <c r="I293" s="24">
        <v>43871</v>
      </c>
      <c r="J293" s="27">
        <v>960</v>
      </c>
      <c r="K293" s="25">
        <v>0</v>
      </c>
      <c r="L293" s="22" t="s">
        <v>17</v>
      </c>
      <c r="M293" s="23" t="s">
        <v>35</v>
      </c>
    </row>
    <row r="294" spans="1:13" x14ac:dyDescent="0.35">
      <c r="A294" s="22" t="s">
        <v>519</v>
      </c>
      <c r="B294" s="22" t="s">
        <v>1386</v>
      </c>
      <c r="C294" s="22" t="s">
        <v>12</v>
      </c>
      <c r="D294" s="22" t="s">
        <v>39</v>
      </c>
      <c r="E294" s="22" t="s">
        <v>33</v>
      </c>
      <c r="F294" s="22" t="s">
        <v>25</v>
      </c>
      <c r="G294" s="22" t="s">
        <v>16</v>
      </c>
      <c r="H294" s="22">
        <v>47</v>
      </c>
      <c r="I294" s="24">
        <v>44605</v>
      </c>
      <c r="J294" s="27">
        <v>608</v>
      </c>
      <c r="K294" s="25">
        <v>0.4</v>
      </c>
      <c r="L294" s="22" t="s">
        <v>17</v>
      </c>
      <c r="M294" s="23" t="s">
        <v>54</v>
      </c>
    </row>
    <row r="295" spans="1:13" x14ac:dyDescent="0.35">
      <c r="A295" s="22" t="s">
        <v>197</v>
      </c>
      <c r="B295" s="22" t="s">
        <v>1387</v>
      </c>
      <c r="C295" s="22" t="s">
        <v>12</v>
      </c>
      <c r="D295" s="22" t="s">
        <v>56</v>
      </c>
      <c r="E295" s="22" t="s">
        <v>1102</v>
      </c>
      <c r="F295" s="22" t="s">
        <v>15</v>
      </c>
      <c r="G295" s="22" t="s">
        <v>21</v>
      </c>
      <c r="H295" s="22">
        <v>28</v>
      </c>
      <c r="I295" s="24">
        <v>44184</v>
      </c>
      <c r="J295" s="27">
        <v>826</v>
      </c>
      <c r="K295" s="25">
        <v>0.38</v>
      </c>
      <c r="L295" s="22" t="s">
        <v>30</v>
      </c>
      <c r="M295" s="23" t="s">
        <v>31</v>
      </c>
    </row>
    <row r="296" spans="1:13" x14ac:dyDescent="0.35">
      <c r="A296" s="22" t="s">
        <v>520</v>
      </c>
      <c r="B296" s="22" t="s">
        <v>1388</v>
      </c>
      <c r="C296" s="22" t="s">
        <v>12</v>
      </c>
      <c r="D296" s="22" t="s">
        <v>20</v>
      </c>
      <c r="E296" s="22" t="s">
        <v>14</v>
      </c>
      <c r="F296" s="22" t="s">
        <v>15</v>
      </c>
      <c r="G296" s="22" t="s">
        <v>21</v>
      </c>
      <c r="H296" s="22">
        <v>35</v>
      </c>
      <c r="I296" s="24">
        <v>42083</v>
      </c>
      <c r="J296" s="27">
        <v>959</v>
      </c>
      <c r="K296" s="25">
        <v>0.37</v>
      </c>
      <c r="L296" s="22" t="s">
        <v>17</v>
      </c>
      <c r="M296" s="23" t="s">
        <v>22</v>
      </c>
    </row>
    <row r="297" spans="1:13" x14ac:dyDescent="0.35">
      <c r="A297" s="22" t="s">
        <v>521</v>
      </c>
      <c r="B297" s="22" t="s">
        <v>1389</v>
      </c>
      <c r="C297" s="22" t="s">
        <v>48</v>
      </c>
      <c r="D297" s="22" t="s">
        <v>24</v>
      </c>
      <c r="E297" s="22" t="s">
        <v>29</v>
      </c>
      <c r="F297" s="22" t="s">
        <v>15</v>
      </c>
      <c r="G297" s="22" t="s">
        <v>44</v>
      </c>
      <c r="H297" s="22">
        <v>59</v>
      </c>
      <c r="I297" s="24">
        <v>35339</v>
      </c>
      <c r="J297" s="27">
        <v>578</v>
      </c>
      <c r="K297" s="25">
        <v>0.09</v>
      </c>
      <c r="L297" s="22" t="s">
        <v>17</v>
      </c>
      <c r="M297" s="23" t="s">
        <v>54</v>
      </c>
    </row>
    <row r="298" spans="1:13" x14ac:dyDescent="0.35">
      <c r="A298" s="22" t="s">
        <v>241</v>
      </c>
      <c r="B298" s="22" t="s">
        <v>140</v>
      </c>
      <c r="C298" s="22" t="s">
        <v>83</v>
      </c>
      <c r="D298" s="22" t="s">
        <v>28</v>
      </c>
      <c r="E298" s="22" t="s">
        <v>33</v>
      </c>
      <c r="F298" s="22" t="s">
        <v>25</v>
      </c>
      <c r="G298" s="22" t="s">
        <v>21</v>
      </c>
      <c r="H298" s="22">
        <v>33</v>
      </c>
      <c r="I298" s="24">
        <v>42327</v>
      </c>
      <c r="J298" s="27">
        <v>914</v>
      </c>
      <c r="K298" s="25">
        <v>0</v>
      </c>
      <c r="L298" s="22" t="s">
        <v>30</v>
      </c>
      <c r="M298" s="23" t="s">
        <v>31</v>
      </c>
    </row>
    <row r="299" spans="1:13" x14ac:dyDescent="0.35">
      <c r="A299" s="22" t="s">
        <v>522</v>
      </c>
      <c r="B299" s="22" t="s">
        <v>1390</v>
      </c>
      <c r="C299" s="22" t="s">
        <v>68</v>
      </c>
      <c r="D299" s="22" t="s">
        <v>20</v>
      </c>
      <c r="E299" s="22" t="s">
        <v>33</v>
      </c>
      <c r="F299" s="22" t="s">
        <v>15</v>
      </c>
      <c r="G299" s="22" t="s">
        <v>21</v>
      </c>
      <c r="H299" s="22">
        <v>62</v>
      </c>
      <c r="I299" s="24">
        <v>38691</v>
      </c>
      <c r="J299" s="27">
        <v>651</v>
      </c>
      <c r="K299" s="25">
        <v>0</v>
      </c>
      <c r="L299" s="22" t="s">
        <v>17</v>
      </c>
      <c r="M299" s="23" t="s">
        <v>54</v>
      </c>
    </row>
    <row r="300" spans="1:13" x14ac:dyDescent="0.35">
      <c r="A300" s="22" t="s">
        <v>523</v>
      </c>
      <c r="B300" s="22" t="s">
        <v>1391</v>
      </c>
      <c r="C300" s="22" t="s">
        <v>32</v>
      </c>
      <c r="D300" s="22" t="s">
        <v>24</v>
      </c>
      <c r="E300" s="22" t="s">
        <v>29</v>
      </c>
      <c r="F300" s="22" t="s">
        <v>15</v>
      </c>
      <c r="G300" s="22" t="s">
        <v>16</v>
      </c>
      <c r="H300" s="22">
        <v>50</v>
      </c>
      <c r="I300" s="24">
        <v>37802</v>
      </c>
      <c r="J300" s="27">
        <v>838</v>
      </c>
      <c r="K300" s="25">
        <v>0</v>
      </c>
      <c r="L300" s="22" t="s">
        <v>17</v>
      </c>
      <c r="M300" s="23" t="s">
        <v>35</v>
      </c>
    </row>
    <row r="301" spans="1:13" x14ac:dyDescent="0.35">
      <c r="A301" s="22" t="s">
        <v>524</v>
      </c>
      <c r="B301" s="22" t="s">
        <v>1392</v>
      </c>
      <c r="C301" s="22" t="s">
        <v>12</v>
      </c>
      <c r="D301" s="22" t="s">
        <v>56</v>
      </c>
      <c r="E301" s="22" t="s">
        <v>33</v>
      </c>
      <c r="F301" s="22" t="s">
        <v>15</v>
      </c>
      <c r="G301" s="22" t="s">
        <v>21</v>
      </c>
      <c r="H301" s="22">
        <v>55</v>
      </c>
      <c r="I301" s="24">
        <v>38895</v>
      </c>
      <c r="J301" s="27">
        <v>979</v>
      </c>
      <c r="K301" s="25">
        <v>0.37</v>
      </c>
      <c r="L301" s="22" t="s">
        <v>17</v>
      </c>
      <c r="M301" s="23" t="s">
        <v>18</v>
      </c>
    </row>
    <row r="302" spans="1:13" x14ac:dyDescent="0.35">
      <c r="A302" s="22" t="s">
        <v>525</v>
      </c>
      <c r="B302" s="22" t="s">
        <v>1393</v>
      </c>
      <c r="C302" s="22" t="s">
        <v>53</v>
      </c>
      <c r="D302" s="22" t="s">
        <v>24</v>
      </c>
      <c r="E302" s="22" t="s">
        <v>14</v>
      </c>
      <c r="F302" s="22" t="s">
        <v>15</v>
      </c>
      <c r="G302" s="22" t="s">
        <v>44</v>
      </c>
      <c r="H302" s="22">
        <v>47</v>
      </c>
      <c r="I302" s="24">
        <v>44598</v>
      </c>
      <c r="J302" s="27">
        <v>556</v>
      </c>
      <c r="K302" s="25">
        <v>0.09</v>
      </c>
      <c r="L302" s="22" t="s">
        <v>17</v>
      </c>
      <c r="M302" s="23" t="s">
        <v>54</v>
      </c>
    </row>
    <row r="303" spans="1:13" x14ac:dyDescent="0.35">
      <c r="A303" s="22" t="s">
        <v>526</v>
      </c>
      <c r="B303" s="22" t="s">
        <v>1394</v>
      </c>
      <c r="C303" s="22" t="s">
        <v>60</v>
      </c>
      <c r="D303" s="22" t="s">
        <v>24</v>
      </c>
      <c r="E303" s="22" t="s">
        <v>1102</v>
      </c>
      <c r="F303" s="22" t="s">
        <v>15</v>
      </c>
      <c r="G303" s="22" t="s">
        <v>21</v>
      </c>
      <c r="H303" s="22">
        <v>34</v>
      </c>
      <c r="I303" s="24">
        <v>44218</v>
      </c>
      <c r="J303" s="27">
        <v>959</v>
      </c>
      <c r="K303" s="25">
        <v>0</v>
      </c>
      <c r="L303" s="22" t="s">
        <v>30</v>
      </c>
      <c r="M303" s="23" t="s">
        <v>65</v>
      </c>
    </row>
    <row r="304" spans="1:13" x14ac:dyDescent="0.35">
      <c r="A304" s="22" t="s">
        <v>527</v>
      </c>
      <c r="B304" s="22" t="s">
        <v>1395</v>
      </c>
      <c r="C304" s="22" t="s">
        <v>32</v>
      </c>
      <c r="D304" s="22" t="s">
        <v>24</v>
      </c>
      <c r="E304" s="22" t="s">
        <v>14</v>
      </c>
      <c r="F304" s="22" t="s">
        <v>15</v>
      </c>
      <c r="G304" s="22" t="s">
        <v>21</v>
      </c>
      <c r="H304" s="22">
        <v>39</v>
      </c>
      <c r="I304" s="24">
        <v>43082</v>
      </c>
      <c r="J304" s="27">
        <v>582</v>
      </c>
      <c r="K304" s="25">
        <v>0</v>
      </c>
      <c r="L304" s="22" t="s">
        <v>30</v>
      </c>
      <c r="M304" s="23" t="s">
        <v>65</v>
      </c>
    </row>
    <row r="305" spans="1:13" x14ac:dyDescent="0.35">
      <c r="A305" s="22" t="s">
        <v>528</v>
      </c>
      <c r="B305" s="22" t="s">
        <v>1396</v>
      </c>
      <c r="C305" s="22" t="s">
        <v>68</v>
      </c>
      <c r="D305" s="22" t="s">
        <v>20</v>
      </c>
      <c r="E305" s="22" t="s">
        <v>29</v>
      </c>
      <c r="F305" s="22" t="s">
        <v>15</v>
      </c>
      <c r="G305" s="22" t="s">
        <v>44</v>
      </c>
      <c r="H305" s="22">
        <v>35</v>
      </c>
      <c r="I305" s="24">
        <v>42355</v>
      </c>
      <c r="J305" s="27">
        <v>998</v>
      </c>
      <c r="K305" s="25">
        <v>0</v>
      </c>
      <c r="L305" s="22" t="s">
        <v>17</v>
      </c>
      <c r="M305" s="23" t="s">
        <v>26</v>
      </c>
    </row>
    <row r="306" spans="1:13" x14ac:dyDescent="0.35">
      <c r="A306" s="22" t="s">
        <v>529</v>
      </c>
      <c r="B306" s="22" t="s">
        <v>1397</v>
      </c>
      <c r="C306" s="22" t="s">
        <v>70</v>
      </c>
      <c r="D306" s="22" t="s">
        <v>28</v>
      </c>
      <c r="E306" s="22" t="s">
        <v>14</v>
      </c>
      <c r="F306" s="22" t="s">
        <v>25</v>
      </c>
      <c r="G306" s="22" t="s">
        <v>21</v>
      </c>
      <c r="H306" s="22">
        <v>54</v>
      </c>
      <c r="I306" s="24">
        <v>35511</v>
      </c>
      <c r="J306" s="27">
        <v>887</v>
      </c>
      <c r="K306" s="25">
        <v>0</v>
      </c>
      <c r="L306" s="22" t="s">
        <v>30</v>
      </c>
      <c r="M306" s="23" t="s">
        <v>52</v>
      </c>
    </row>
    <row r="307" spans="1:13" x14ac:dyDescent="0.35">
      <c r="A307" s="22" t="s">
        <v>87</v>
      </c>
      <c r="B307" s="22" t="s">
        <v>1398</v>
      </c>
      <c r="C307" s="22" t="s">
        <v>12</v>
      </c>
      <c r="D307" s="22" t="s">
        <v>13</v>
      </c>
      <c r="E307" s="22" t="s">
        <v>33</v>
      </c>
      <c r="F307" s="22" t="s">
        <v>15</v>
      </c>
      <c r="G307" s="22" t="s">
        <v>21</v>
      </c>
      <c r="H307" s="22">
        <v>41</v>
      </c>
      <c r="I307" s="24">
        <v>43402</v>
      </c>
      <c r="J307" s="27">
        <v>709</v>
      </c>
      <c r="K307" s="25">
        <v>0.38</v>
      </c>
      <c r="L307" s="22" t="s">
        <v>30</v>
      </c>
      <c r="M307" s="23" t="s">
        <v>61</v>
      </c>
    </row>
    <row r="308" spans="1:13" x14ac:dyDescent="0.35">
      <c r="A308" s="22" t="s">
        <v>530</v>
      </c>
      <c r="B308" s="22" t="s">
        <v>1399</v>
      </c>
      <c r="C308" s="22" t="s">
        <v>36</v>
      </c>
      <c r="D308" s="22" t="s">
        <v>43</v>
      </c>
      <c r="E308" s="22" t="s">
        <v>29</v>
      </c>
      <c r="F308" s="22" t="s">
        <v>25</v>
      </c>
      <c r="G308" s="22" t="s">
        <v>21</v>
      </c>
      <c r="H308" s="22">
        <v>37</v>
      </c>
      <c r="I308" s="24">
        <v>43637</v>
      </c>
      <c r="J308" s="27">
        <v>565</v>
      </c>
      <c r="K308" s="25">
        <v>0.24</v>
      </c>
      <c r="L308" s="22" t="s">
        <v>30</v>
      </c>
      <c r="M308" s="23" t="s">
        <v>65</v>
      </c>
    </row>
    <row r="309" spans="1:13" x14ac:dyDescent="0.35">
      <c r="A309" s="22" t="s">
        <v>531</v>
      </c>
      <c r="B309" s="22" t="s">
        <v>230</v>
      </c>
      <c r="C309" s="22" t="s">
        <v>38</v>
      </c>
      <c r="D309" s="22" t="s">
        <v>13</v>
      </c>
      <c r="E309" s="22" t="s">
        <v>14</v>
      </c>
      <c r="F309" s="22" t="s">
        <v>15</v>
      </c>
      <c r="G309" s="22" t="s">
        <v>41</v>
      </c>
      <c r="H309" s="22">
        <v>29</v>
      </c>
      <c r="I309" s="24">
        <v>43857</v>
      </c>
      <c r="J309" s="27">
        <v>924</v>
      </c>
      <c r="K309" s="25">
        <v>0</v>
      </c>
      <c r="L309" s="22" t="s">
        <v>17</v>
      </c>
      <c r="M309" s="23" t="s">
        <v>40</v>
      </c>
    </row>
    <row r="310" spans="1:13" x14ac:dyDescent="0.35">
      <c r="A310" s="22" t="s">
        <v>278</v>
      </c>
      <c r="B310" s="22" t="s">
        <v>1400</v>
      </c>
      <c r="C310" s="22" t="s">
        <v>12</v>
      </c>
      <c r="D310" s="22" t="s">
        <v>24</v>
      </c>
      <c r="E310" s="22" t="s">
        <v>29</v>
      </c>
      <c r="F310" s="22" t="s">
        <v>15</v>
      </c>
      <c r="G310" s="22" t="s">
        <v>21</v>
      </c>
      <c r="H310" s="22">
        <v>64</v>
      </c>
      <c r="I310" s="24">
        <v>42836</v>
      </c>
      <c r="J310" s="27">
        <v>889</v>
      </c>
      <c r="K310" s="25">
        <v>0.39</v>
      </c>
      <c r="L310" s="22" t="s">
        <v>17</v>
      </c>
      <c r="M310" s="23" t="s">
        <v>22</v>
      </c>
    </row>
    <row r="311" spans="1:13" x14ac:dyDescent="0.35">
      <c r="A311" s="22" t="s">
        <v>532</v>
      </c>
      <c r="B311" s="22" t="s">
        <v>183</v>
      </c>
      <c r="C311" s="22" t="s">
        <v>1111</v>
      </c>
      <c r="D311" s="22" t="s">
        <v>43</v>
      </c>
      <c r="E311" s="22" t="s">
        <v>29</v>
      </c>
      <c r="F311" s="22" t="s">
        <v>15</v>
      </c>
      <c r="G311" s="22" t="s">
        <v>16</v>
      </c>
      <c r="H311" s="22">
        <v>54</v>
      </c>
      <c r="I311" s="24">
        <v>40769</v>
      </c>
      <c r="J311" s="27">
        <v>842</v>
      </c>
      <c r="K311" s="25">
        <v>0.14000000000000001</v>
      </c>
      <c r="L311" s="22" t="s">
        <v>17</v>
      </c>
      <c r="M311" s="23" t="s">
        <v>54</v>
      </c>
    </row>
    <row r="312" spans="1:13" x14ac:dyDescent="0.35">
      <c r="A312" s="22" t="s">
        <v>533</v>
      </c>
      <c r="B312" s="22" t="s">
        <v>1401</v>
      </c>
      <c r="C312" s="22" t="s">
        <v>1111</v>
      </c>
      <c r="D312" s="22" t="s">
        <v>56</v>
      </c>
      <c r="E312" s="22" t="s">
        <v>29</v>
      </c>
      <c r="F312" s="22" t="s">
        <v>25</v>
      </c>
      <c r="G312" s="22" t="s">
        <v>16</v>
      </c>
      <c r="H312" s="22">
        <v>36</v>
      </c>
      <c r="I312" s="24">
        <v>44282</v>
      </c>
      <c r="J312" s="27">
        <v>710</v>
      </c>
      <c r="K312" s="25">
        <v>0.12</v>
      </c>
      <c r="L312" s="22" t="s">
        <v>17</v>
      </c>
      <c r="M312" s="23" t="s">
        <v>40</v>
      </c>
    </row>
    <row r="313" spans="1:13" x14ac:dyDescent="0.35">
      <c r="A313" s="22" t="s">
        <v>129</v>
      </c>
      <c r="B313" s="22" t="s">
        <v>1402</v>
      </c>
      <c r="C313" s="22" t="s">
        <v>23</v>
      </c>
      <c r="D313" s="22" t="s">
        <v>24</v>
      </c>
      <c r="E313" s="22" t="s">
        <v>1102</v>
      </c>
      <c r="F313" s="22" t="s">
        <v>15</v>
      </c>
      <c r="G313" s="22" t="s">
        <v>41</v>
      </c>
      <c r="H313" s="22">
        <v>54</v>
      </c>
      <c r="I313" s="24">
        <v>41382</v>
      </c>
      <c r="J313" s="27">
        <v>762</v>
      </c>
      <c r="K313" s="25">
        <v>0</v>
      </c>
      <c r="L313" s="22" t="s">
        <v>17</v>
      </c>
      <c r="M313" s="23" t="s">
        <v>40</v>
      </c>
    </row>
    <row r="314" spans="1:13" x14ac:dyDescent="0.35">
      <c r="A314" s="22" t="s">
        <v>534</v>
      </c>
      <c r="B314" s="22" t="s">
        <v>1403</v>
      </c>
      <c r="C314" s="22" t="s">
        <v>74</v>
      </c>
      <c r="D314" s="22" t="s">
        <v>43</v>
      </c>
      <c r="E314" s="22" t="s">
        <v>14</v>
      </c>
      <c r="F314" s="22" t="s">
        <v>15</v>
      </c>
      <c r="G314" s="22" t="s">
        <v>16</v>
      </c>
      <c r="H314" s="22">
        <v>56</v>
      </c>
      <c r="I314" s="24">
        <v>42744</v>
      </c>
      <c r="J314" s="27">
        <v>740</v>
      </c>
      <c r="K314" s="25">
        <v>0</v>
      </c>
      <c r="L314" s="22" t="s">
        <v>17</v>
      </c>
      <c r="M314" s="23" t="s">
        <v>26</v>
      </c>
    </row>
    <row r="315" spans="1:13" x14ac:dyDescent="0.35">
      <c r="A315" s="22" t="s">
        <v>535</v>
      </c>
      <c r="B315" s="22" t="s">
        <v>1404</v>
      </c>
      <c r="C315" s="22" t="s">
        <v>50</v>
      </c>
      <c r="D315" s="22" t="s">
        <v>28</v>
      </c>
      <c r="E315" s="22" t="s">
        <v>14</v>
      </c>
      <c r="F315" s="22" t="s">
        <v>25</v>
      </c>
      <c r="G315" s="22" t="s">
        <v>16</v>
      </c>
      <c r="H315" s="22">
        <v>48</v>
      </c>
      <c r="I315" s="24">
        <v>42717</v>
      </c>
      <c r="J315" s="27">
        <v>758</v>
      </c>
      <c r="K315" s="25">
        <v>0</v>
      </c>
      <c r="L315" s="22" t="s">
        <v>17</v>
      </c>
      <c r="M315" s="23" t="s">
        <v>22</v>
      </c>
    </row>
    <row r="316" spans="1:13" x14ac:dyDescent="0.35">
      <c r="A316" s="22" t="s">
        <v>536</v>
      </c>
      <c r="B316" s="22" t="s">
        <v>1405</v>
      </c>
      <c r="C316" s="22" t="s">
        <v>36</v>
      </c>
      <c r="D316" s="22" t="s">
        <v>20</v>
      </c>
      <c r="E316" s="22" t="s">
        <v>33</v>
      </c>
      <c r="F316" s="22" t="s">
        <v>25</v>
      </c>
      <c r="G316" s="22" t="s">
        <v>21</v>
      </c>
      <c r="H316" s="22">
        <v>35</v>
      </c>
      <c r="I316" s="24">
        <v>42196</v>
      </c>
      <c r="J316" s="27">
        <v>600</v>
      </c>
      <c r="K316" s="25">
        <v>0.19</v>
      </c>
      <c r="L316" s="22" t="s">
        <v>17</v>
      </c>
      <c r="M316" s="23" t="s">
        <v>40</v>
      </c>
    </row>
    <row r="317" spans="1:13" x14ac:dyDescent="0.35">
      <c r="A317" s="22" t="s">
        <v>537</v>
      </c>
      <c r="B317" s="22" t="s">
        <v>1406</v>
      </c>
      <c r="C317" s="22" t="s">
        <v>1111</v>
      </c>
      <c r="D317" s="22" t="s">
        <v>39</v>
      </c>
      <c r="E317" s="22" t="s">
        <v>1102</v>
      </c>
      <c r="F317" s="22" t="s">
        <v>15</v>
      </c>
      <c r="G317" s="22" t="s">
        <v>41</v>
      </c>
      <c r="H317" s="22">
        <v>32</v>
      </c>
      <c r="I317" s="24">
        <v>43328</v>
      </c>
      <c r="J317" s="27">
        <v>761</v>
      </c>
      <c r="K317" s="25">
        <v>0.15</v>
      </c>
      <c r="L317" s="22" t="s">
        <v>17</v>
      </c>
      <c r="M317" s="23" t="s">
        <v>40</v>
      </c>
    </row>
    <row r="318" spans="1:13" x14ac:dyDescent="0.35">
      <c r="A318" s="22" t="s">
        <v>538</v>
      </c>
      <c r="B318" s="22" t="s">
        <v>1407</v>
      </c>
      <c r="C318" s="22" t="s">
        <v>12</v>
      </c>
      <c r="D318" s="22" t="s">
        <v>39</v>
      </c>
      <c r="E318" s="22" t="s">
        <v>29</v>
      </c>
      <c r="F318" s="22" t="s">
        <v>25</v>
      </c>
      <c r="G318" s="22" t="s">
        <v>21</v>
      </c>
      <c r="H318" s="22">
        <v>25</v>
      </c>
      <c r="I318" s="24">
        <v>44854</v>
      </c>
      <c r="J318" s="27">
        <v>921</v>
      </c>
      <c r="K318" s="25">
        <v>0.35</v>
      </c>
      <c r="L318" s="22" t="s">
        <v>17</v>
      </c>
      <c r="M318" s="23" t="s">
        <v>22</v>
      </c>
    </row>
    <row r="319" spans="1:13" x14ac:dyDescent="0.35">
      <c r="A319" s="22" t="s">
        <v>539</v>
      </c>
      <c r="B319" s="22" t="s">
        <v>1408</v>
      </c>
      <c r="C319" s="22" t="s">
        <v>38</v>
      </c>
      <c r="D319" s="22" t="s">
        <v>13</v>
      </c>
      <c r="E319" s="22" t="s">
        <v>33</v>
      </c>
      <c r="F319" s="22" t="s">
        <v>25</v>
      </c>
      <c r="G319" s="22" t="s">
        <v>21</v>
      </c>
      <c r="H319" s="22">
        <v>26</v>
      </c>
      <c r="I319" s="24">
        <v>43955</v>
      </c>
      <c r="J319" s="27">
        <v>763</v>
      </c>
      <c r="K319" s="25">
        <v>0</v>
      </c>
      <c r="L319" s="22" t="s">
        <v>17</v>
      </c>
      <c r="M319" s="23" t="s">
        <v>40</v>
      </c>
    </row>
    <row r="320" spans="1:13" x14ac:dyDescent="0.35">
      <c r="A320" s="22" t="s">
        <v>540</v>
      </c>
      <c r="B320" s="22" t="s">
        <v>1409</v>
      </c>
      <c r="C320" s="22" t="s">
        <v>63</v>
      </c>
      <c r="D320" s="22" t="s">
        <v>20</v>
      </c>
      <c r="E320" s="22" t="s">
        <v>29</v>
      </c>
      <c r="F320" s="22" t="s">
        <v>25</v>
      </c>
      <c r="G320" s="22" t="s">
        <v>21</v>
      </c>
      <c r="H320" s="22">
        <v>53</v>
      </c>
      <c r="I320" s="24">
        <v>42891</v>
      </c>
      <c r="J320" s="27">
        <v>943</v>
      </c>
      <c r="K320" s="25">
        <v>0</v>
      </c>
      <c r="L320" s="22" t="s">
        <v>30</v>
      </c>
      <c r="M320" s="23" t="s">
        <v>31</v>
      </c>
    </row>
    <row r="321" spans="1:13" x14ac:dyDescent="0.35">
      <c r="A321" s="22" t="s">
        <v>541</v>
      </c>
      <c r="B321" s="22" t="s">
        <v>1410</v>
      </c>
      <c r="C321" s="22" t="s">
        <v>73</v>
      </c>
      <c r="D321" s="22" t="s">
        <v>24</v>
      </c>
      <c r="E321" s="22" t="s">
        <v>29</v>
      </c>
      <c r="F321" s="22" t="s">
        <v>15</v>
      </c>
      <c r="G321" s="22" t="s">
        <v>21</v>
      </c>
      <c r="H321" s="22">
        <v>37</v>
      </c>
      <c r="I321" s="24">
        <v>41393</v>
      </c>
      <c r="J321" s="27">
        <v>700</v>
      </c>
      <c r="K321" s="25">
        <v>0</v>
      </c>
      <c r="L321" s="22" t="s">
        <v>30</v>
      </c>
      <c r="M321" s="23" t="s">
        <v>31</v>
      </c>
    </row>
    <row r="322" spans="1:13" x14ac:dyDescent="0.35">
      <c r="A322" s="22" t="s">
        <v>542</v>
      </c>
      <c r="B322" s="22" t="s">
        <v>1411</v>
      </c>
      <c r="C322" s="22" t="s">
        <v>42</v>
      </c>
      <c r="D322" s="22" t="s">
        <v>43</v>
      </c>
      <c r="E322" s="22" t="s">
        <v>1102</v>
      </c>
      <c r="F322" s="22" t="s">
        <v>15</v>
      </c>
      <c r="G322" s="22" t="s">
        <v>16</v>
      </c>
      <c r="H322" s="22">
        <v>31</v>
      </c>
      <c r="I322" s="24">
        <v>42407</v>
      </c>
      <c r="J322" s="27">
        <v>996</v>
      </c>
      <c r="K322" s="25">
        <v>0</v>
      </c>
      <c r="L322" s="22" t="s">
        <v>17</v>
      </c>
      <c r="M322" s="23" t="s">
        <v>22</v>
      </c>
    </row>
    <row r="323" spans="1:13" x14ac:dyDescent="0.35">
      <c r="A323" s="22" t="s">
        <v>543</v>
      </c>
      <c r="B323" s="22" t="s">
        <v>1412</v>
      </c>
      <c r="C323" s="22" t="s">
        <v>1111</v>
      </c>
      <c r="D323" s="22" t="s">
        <v>24</v>
      </c>
      <c r="E323" s="22" t="s">
        <v>33</v>
      </c>
      <c r="F323" s="22" t="s">
        <v>15</v>
      </c>
      <c r="G323" s="22" t="s">
        <v>21</v>
      </c>
      <c r="H323" s="22">
        <v>47</v>
      </c>
      <c r="I323" s="24">
        <v>40185</v>
      </c>
      <c r="J323" s="27">
        <v>917</v>
      </c>
      <c r="K323" s="25">
        <v>0.14000000000000001</v>
      </c>
      <c r="L323" s="22" t="s">
        <v>30</v>
      </c>
      <c r="M323" s="23" t="s">
        <v>65</v>
      </c>
    </row>
    <row r="324" spans="1:13" x14ac:dyDescent="0.35">
      <c r="A324" s="22" t="s">
        <v>544</v>
      </c>
      <c r="B324" s="22" t="s">
        <v>1413</v>
      </c>
      <c r="C324" s="22" t="s">
        <v>53</v>
      </c>
      <c r="D324" s="22" t="s">
        <v>43</v>
      </c>
      <c r="E324" s="22" t="s">
        <v>14</v>
      </c>
      <c r="F324" s="22" t="s">
        <v>25</v>
      </c>
      <c r="G324" s="22" t="s">
        <v>41</v>
      </c>
      <c r="H324" s="22">
        <v>32</v>
      </c>
      <c r="I324" s="24">
        <v>43449</v>
      </c>
      <c r="J324" s="27">
        <v>504</v>
      </c>
      <c r="K324" s="25">
        <v>0.06</v>
      </c>
      <c r="L324" s="22" t="s">
        <v>17</v>
      </c>
      <c r="M324" s="23" t="s">
        <v>22</v>
      </c>
    </row>
    <row r="325" spans="1:13" x14ac:dyDescent="0.35">
      <c r="A325" s="22" t="s">
        <v>545</v>
      </c>
      <c r="B325" s="22" t="s">
        <v>1414</v>
      </c>
      <c r="C325" s="22" t="s">
        <v>69</v>
      </c>
      <c r="D325" s="22" t="s">
        <v>28</v>
      </c>
      <c r="E325" s="22" t="s">
        <v>14</v>
      </c>
      <c r="F325" s="22" t="s">
        <v>25</v>
      </c>
      <c r="G325" s="22" t="s">
        <v>21</v>
      </c>
      <c r="H325" s="22">
        <v>40</v>
      </c>
      <c r="I325" s="24">
        <v>40098</v>
      </c>
      <c r="J325" s="27">
        <v>820</v>
      </c>
      <c r="K325" s="25">
        <v>0</v>
      </c>
      <c r="L325" s="22" t="s">
        <v>17</v>
      </c>
      <c r="M325" s="23" t="s">
        <v>35</v>
      </c>
    </row>
    <row r="326" spans="1:13" x14ac:dyDescent="0.35">
      <c r="A326" s="22" t="s">
        <v>546</v>
      </c>
      <c r="B326" s="22" t="s">
        <v>1415</v>
      </c>
      <c r="C326" s="22" t="s">
        <v>19</v>
      </c>
      <c r="D326" s="22" t="s">
        <v>20</v>
      </c>
      <c r="E326" s="22" t="s">
        <v>29</v>
      </c>
      <c r="F326" s="22" t="s">
        <v>25</v>
      </c>
      <c r="G326" s="22" t="s">
        <v>21</v>
      </c>
      <c r="H326" s="22">
        <v>65</v>
      </c>
      <c r="I326" s="24">
        <v>44478</v>
      </c>
      <c r="J326" s="27">
        <v>873</v>
      </c>
      <c r="K326" s="25">
        <v>0</v>
      </c>
      <c r="L326" s="22" t="s">
        <v>30</v>
      </c>
      <c r="M326" s="23" t="s">
        <v>31</v>
      </c>
    </row>
    <row r="327" spans="1:13" x14ac:dyDescent="0.35">
      <c r="A327" s="22" t="s">
        <v>547</v>
      </c>
      <c r="B327" s="22" t="s">
        <v>1416</v>
      </c>
      <c r="C327" s="22" t="s">
        <v>59</v>
      </c>
      <c r="D327" s="22" t="s">
        <v>24</v>
      </c>
      <c r="E327" s="22" t="s">
        <v>33</v>
      </c>
      <c r="F327" s="22" t="s">
        <v>15</v>
      </c>
      <c r="G327" s="22" t="s">
        <v>44</v>
      </c>
      <c r="H327" s="22">
        <v>25</v>
      </c>
      <c r="I327" s="24">
        <v>44579</v>
      </c>
      <c r="J327" s="27">
        <v>891</v>
      </c>
      <c r="K327" s="25">
        <v>0</v>
      </c>
      <c r="L327" s="22" t="s">
        <v>17</v>
      </c>
      <c r="M327" s="23" t="s">
        <v>54</v>
      </c>
    </row>
    <row r="328" spans="1:13" x14ac:dyDescent="0.35">
      <c r="A328" s="22" t="s">
        <v>548</v>
      </c>
      <c r="B328" s="22" t="s">
        <v>1417</v>
      </c>
      <c r="C328" s="22" t="s">
        <v>83</v>
      </c>
      <c r="D328" s="22" t="s">
        <v>28</v>
      </c>
      <c r="E328" s="22" t="s">
        <v>29</v>
      </c>
      <c r="F328" s="22" t="s">
        <v>25</v>
      </c>
      <c r="G328" s="22" t="s">
        <v>16</v>
      </c>
      <c r="H328" s="22">
        <v>39</v>
      </c>
      <c r="I328" s="24">
        <v>44739</v>
      </c>
      <c r="J328" s="27">
        <v>655</v>
      </c>
      <c r="K328" s="25">
        <v>0</v>
      </c>
      <c r="L328" s="22" t="s">
        <v>17</v>
      </c>
      <c r="M328" s="23" t="s">
        <v>35</v>
      </c>
    </row>
    <row r="329" spans="1:13" x14ac:dyDescent="0.35">
      <c r="A329" s="22" t="s">
        <v>549</v>
      </c>
      <c r="B329" s="22" t="s">
        <v>1418</v>
      </c>
      <c r="C329" s="22" t="s">
        <v>32</v>
      </c>
      <c r="D329" s="22" t="s">
        <v>24</v>
      </c>
      <c r="E329" s="22" t="s">
        <v>14</v>
      </c>
      <c r="F329" s="22" t="s">
        <v>15</v>
      </c>
      <c r="G329" s="22" t="s">
        <v>16</v>
      </c>
      <c r="H329" s="22">
        <v>52</v>
      </c>
      <c r="I329" s="24">
        <v>35953</v>
      </c>
      <c r="J329" s="27">
        <v>900</v>
      </c>
      <c r="K329" s="25">
        <v>0</v>
      </c>
      <c r="L329" s="22" t="s">
        <v>17</v>
      </c>
      <c r="M329" s="23" t="s">
        <v>35</v>
      </c>
    </row>
    <row r="330" spans="1:13" x14ac:dyDescent="0.35">
      <c r="A330" s="22" t="s">
        <v>550</v>
      </c>
      <c r="B330" s="22" t="s">
        <v>1419</v>
      </c>
      <c r="C330" s="22" t="s">
        <v>51</v>
      </c>
      <c r="D330" s="22" t="s">
        <v>28</v>
      </c>
      <c r="E330" s="22" t="s">
        <v>33</v>
      </c>
      <c r="F330" s="22" t="s">
        <v>15</v>
      </c>
      <c r="G330" s="22" t="s">
        <v>44</v>
      </c>
      <c r="H330" s="22">
        <v>38</v>
      </c>
      <c r="I330" s="24">
        <v>44725</v>
      </c>
      <c r="J330" s="27">
        <v>982</v>
      </c>
      <c r="K330" s="25">
        <v>0</v>
      </c>
      <c r="L330" s="22" t="s">
        <v>45</v>
      </c>
      <c r="M330" s="23" t="s">
        <v>46</v>
      </c>
    </row>
    <row r="331" spans="1:13" x14ac:dyDescent="0.35">
      <c r="A331" s="22" t="s">
        <v>151</v>
      </c>
      <c r="B331" s="22" t="s">
        <v>1420</v>
      </c>
      <c r="C331" s="22" t="s">
        <v>62</v>
      </c>
      <c r="D331" s="22" t="s">
        <v>24</v>
      </c>
      <c r="E331" s="22" t="s">
        <v>1102</v>
      </c>
      <c r="F331" s="22" t="s">
        <v>25</v>
      </c>
      <c r="G331" s="22" t="s">
        <v>44</v>
      </c>
      <c r="H331" s="22">
        <v>33</v>
      </c>
      <c r="I331" s="24">
        <v>42212</v>
      </c>
      <c r="J331" s="27">
        <v>502</v>
      </c>
      <c r="K331" s="25">
        <v>0</v>
      </c>
      <c r="L331" s="22" t="s">
        <v>45</v>
      </c>
      <c r="M331" s="23" t="s">
        <v>66</v>
      </c>
    </row>
    <row r="332" spans="1:13" x14ac:dyDescent="0.35">
      <c r="A332" s="22" t="s">
        <v>551</v>
      </c>
      <c r="B332" s="22" t="s">
        <v>1421</v>
      </c>
      <c r="C332" s="22" t="s">
        <v>12</v>
      </c>
      <c r="D332" s="22" t="s">
        <v>13</v>
      </c>
      <c r="E332" s="22" t="s">
        <v>14</v>
      </c>
      <c r="F332" s="22" t="s">
        <v>15</v>
      </c>
      <c r="G332" s="22" t="s">
        <v>21</v>
      </c>
      <c r="H332" s="22">
        <v>28</v>
      </c>
      <c r="I332" s="24">
        <v>44289</v>
      </c>
      <c r="J332" s="27">
        <v>723</v>
      </c>
      <c r="K332" s="25">
        <v>0.33</v>
      </c>
      <c r="L332" s="22" t="s">
        <v>30</v>
      </c>
      <c r="M332" s="23" t="s">
        <v>65</v>
      </c>
    </row>
    <row r="333" spans="1:13" x14ac:dyDescent="0.35">
      <c r="A333" s="22" t="s">
        <v>159</v>
      </c>
      <c r="B333" s="22" t="s">
        <v>1422</v>
      </c>
      <c r="C333" s="22" t="s">
        <v>12</v>
      </c>
      <c r="D333" s="22" t="s">
        <v>28</v>
      </c>
      <c r="E333" s="22" t="s">
        <v>14</v>
      </c>
      <c r="F333" s="22" t="s">
        <v>25</v>
      </c>
      <c r="G333" s="22" t="s">
        <v>21</v>
      </c>
      <c r="H333" s="22">
        <v>61</v>
      </c>
      <c r="I333" s="24">
        <v>38652</v>
      </c>
      <c r="J333" s="27">
        <v>960</v>
      </c>
      <c r="K333" s="25">
        <v>0.32</v>
      </c>
      <c r="L333" s="22" t="s">
        <v>17</v>
      </c>
      <c r="M333" s="23" t="s">
        <v>22</v>
      </c>
    </row>
    <row r="334" spans="1:13" x14ac:dyDescent="0.35">
      <c r="A334" s="22" t="s">
        <v>552</v>
      </c>
      <c r="B334" s="22" t="s">
        <v>1423</v>
      </c>
      <c r="C334" s="22" t="s">
        <v>50</v>
      </c>
      <c r="D334" s="22" t="s">
        <v>28</v>
      </c>
      <c r="E334" s="22" t="s">
        <v>1102</v>
      </c>
      <c r="F334" s="22" t="s">
        <v>25</v>
      </c>
      <c r="G334" s="22" t="s">
        <v>21</v>
      </c>
      <c r="H334" s="22">
        <v>32</v>
      </c>
      <c r="I334" s="24">
        <v>43107</v>
      </c>
      <c r="J334" s="27">
        <v>879</v>
      </c>
      <c r="K334" s="25">
        <v>0</v>
      </c>
      <c r="L334" s="22" t="s">
        <v>17</v>
      </c>
      <c r="M334" s="23" t="s">
        <v>40</v>
      </c>
    </row>
    <row r="335" spans="1:13" x14ac:dyDescent="0.35">
      <c r="A335" s="22" t="s">
        <v>553</v>
      </c>
      <c r="B335" s="22" t="s">
        <v>1424</v>
      </c>
      <c r="C335" s="22" t="s">
        <v>12</v>
      </c>
      <c r="D335" s="22" t="s">
        <v>20</v>
      </c>
      <c r="E335" s="22" t="s">
        <v>14</v>
      </c>
      <c r="F335" s="22" t="s">
        <v>25</v>
      </c>
      <c r="G335" s="22" t="s">
        <v>44</v>
      </c>
      <c r="H335" s="22">
        <v>28</v>
      </c>
      <c r="I335" s="24">
        <v>44044</v>
      </c>
      <c r="J335" s="27">
        <v>503</v>
      </c>
      <c r="K335" s="25">
        <v>0.38</v>
      </c>
      <c r="L335" s="22" t="s">
        <v>45</v>
      </c>
      <c r="M335" s="23" t="s">
        <v>66</v>
      </c>
    </row>
    <row r="336" spans="1:13" x14ac:dyDescent="0.35">
      <c r="A336" s="22" t="s">
        <v>554</v>
      </c>
      <c r="B336" s="22" t="s">
        <v>1425</v>
      </c>
      <c r="C336" s="22" t="s">
        <v>53</v>
      </c>
      <c r="D336" s="22" t="s">
        <v>24</v>
      </c>
      <c r="E336" s="22" t="s">
        <v>1102</v>
      </c>
      <c r="F336" s="22" t="s">
        <v>25</v>
      </c>
      <c r="G336" s="22" t="s">
        <v>16</v>
      </c>
      <c r="H336" s="22">
        <v>39</v>
      </c>
      <c r="I336" s="24">
        <v>40970</v>
      </c>
      <c r="J336" s="27">
        <v>824</v>
      </c>
      <c r="K336" s="25">
        <v>0.05</v>
      </c>
      <c r="L336" s="22" t="s">
        <v>17</v>
      </c>
      <c r="M336" s="23" t="s">
        <v>18</v>
      </c>
    </row>
    <row r="337" spans="1:13" x14ac:dyDescent="0.35">
      <c r="A337" s="22" t="s">
        <v>199</v>
      </c>
      <c r="B337" s="22" t="s">
        <v>1426</v>
      </c>
      <c r="C337" s="22" t="s">
        <v>38</v>
      </c>
      <c r="D337" s="22" t="s">
        <v>56</v>
      </c>
      <c r="E337" s="22" t="s">
        <v>29</v>
      </c>
      <c r="F337" s="22" t="s">
        <v>25</v>
      </c>
      <c r="G337" s="22" t="s">
        <v>44</v>
      </c>
      <c r="H337" s="22">
        <v>57</v>
      </c>
      <c r="I337" s="24">
        <v>37069</v>
      </c>
      <c r="J337" s="27">
        <v>739</v>
      </c>
      <c r="K337" s="25">
        <v>0</v>
      </c>
      <c r="L337" s="22" t="s">
        <v>45</v>
      </c>
      <c r="M337" s="23" t="s">
        <v>46</v>
      </c>
    </row>
    <row r="338" spans="1:13" x14ac:dyDescent="0.35">
      <c r="A338" s="22" t="s">
        <v>555</v>
      </c>
      <c r="B338" s="22" t="s">
        <v>1427</v>
      </c>
      <c r="C338" s="22" t="s">
        <v>12</v>
      </c>
      <c r="D338" s="22" t="s">
        <v>20</v>
      </c>
      <c r="E338" s="22" t="s">
        <v>14</v>
      </c>
      <c r="F338" s="22" t="s">
        <v>25</v>
      </c>
      <c r="G338" s="22" t="s">
        <v>21</v>
      </c>
      <c r="H338" s="22">
        <v>40</v>
      </c>
      <c r="I338" s="24">
        <v>42114</v>
      </c>
      <c r="J338" s="27">
        <v>724</v>
      </c>
      <c r="K338" s="25">
        <v>0.33</v>
      </c>
      <c r="L338" s="22" t="s">
        <v>17</v>
      </c>
      <c r="M338" s="23" t="s">
        <v>18</v>
      </c>
    </row>
    <row r="339" spans="1:13" x14ac:dyDescent="0.35">
      <c r="A339" s="22" t="s">
        <v>556</v>
      </c>
      <c r="B339" s="22" t="s">
        <v>1428</v>
      </c>
      <c r="C339" s="22" t="s">
        <v>12</v>
      </c>
      <c r="D339" s="22" t="s">
        <v>43</v>
      </c>
      <c r="E339" s="22" t="s">
        <v>33</v>
      </c>
      <c r="F339" s="22" t="s">
        <v>25</v>
      </c>
      <c r="G339" s="22" t="s">
        <v>21</v>
      </c>
      <c r="H339" s="22">
        <v>47</v>
      </c>
      <c r="I339" s="24">
        <v>41616</v>
      </c>
      <c r="J339" s="27">
        <v>958</v>
      </c>
      <c r="K339" s="25">
        <v>0.39</v>
      </c>
      <c r="L339" s="22" t="s">
        <v>30</v>
      </c>
      <c r="M339" s="23" t="s">
        <v>52</v>
      </c>
    </row>
    <row r="340" spans="1:13" x14ac:dyDescent="0.35">
      <c r="A340" s="22" t="s">
        <v>557</v>
      </c>
      <c r="B340" s="22" t="s">
        <v>1429</v>
      </c>
      <c r="C340" s="22" t="s">
        <v>23</v>
      </c>
      <c r="D340" s="22" t="s">
        <v>24</v>
      </c>
      <c r="E340" s="22" t="s">
        <v>33</v>
      </c>
      <c r="F340" s="22" t="s">
        <v>15</v>
      </c>
      <c r="G340" s="22" t="s">
        <v>44</v>
      </c>
      <c r="H340" s="22">
        <v>43</v>
      </c>
      <c r="I340" s="24">
        <v>40355</v>
      </c>
      <c r="J340" s="27">
        <v>922</v>
      </c>
      <c r="K340" s="25">
        <v>0</v>
      </c>
      <c r="L340" s="22" t="s">
        <v>45</v>
      </c>
      <c r="M340" s="23" t="s">
        <v>46</v>
      </c>
    </row>
    <row r="341" spans="1:13" x14ac:dyDescent="0.35">
      <c r="A341" s="22" t="s">
        <v>558</v>
      </c>
      <c r="B341" s="22" t="s">
        <v>1430</v>
      </c>
      <c r="C341" s="22" t="s">
        <v>1111</v>
      </c>
      <c r="D341" s="22" t="s">
        <v>13</v>
      </c>
      <c r="E341" s="22" t="s">
        <v>33</v>
      </c>
      <c r="F341" s="22" t="s">
        <v>15</v>
      </c>
      <c r="G341" s="22" t="s">
        <v>41</v>
      </c>
      <c r="H341" s="22">
        <v>33</v>
      </c>
      <c r="I341" s="24">
        <v>41869</v>
      </c>
      <c r="J341" s="27">
        <v>804</v>
      </c>
      <c r="K341" s="25">
        <v>0.12</v>
      </c>
      <c r="L341" s="22" t="s">
        <v>17</v>
      </c>
      <c r="M341" s="23" t="s">
        <v>40</v>
      </c>
    </row>
    <row r="342" spans="1:13" x14ac:dyDescent="0.35">
      <c r="A342" s="22" t="s">
        <v>559</v>
      </c>
      <c r="B342" s="22" t="s">
        <v>1431</v>
      </c>
      <c r="C342" s="22" t="s">
        <v>19</v>
      </c>
      <c r="D342" s="22" t="s">
        <v>20</v>
      </c>
      <c r="E342" s="22" t="s">
        <v>29</v>
      </c>
      <c r="F342" s="22" t="s">
        <v>25</v>
      </c>
      <c r="G342" s="22" t="s">
        <v>44</v>
      </c>
      <c r="H342" s="22">
        <v>31</v>
      </c>
      <c r="I342" s="24">
        <v>43479</v>
      </c>
      <c r="J342" s="27">
        <v>892</v>
      </c>
      <c r="K342" s="25">
        <v>0</v>
      </c>
      <c r="L342" s="22" t="s">
        <v>17</v>
      </c>
      <c r="M342" s="23" t="s">
        <v>18</v>
      </c>
    </row>
    <row r="343" spans="1:13" x14ac:dyDescent="0.35">
      <c r="A343" s="22" t="s">
        <v>560</v>
      </c>
      <c r="B343" s="22" t="s">
        <v>1432</v>
      </c>
      <c r="C343" s="22" t="s">
        <v>12</v>
      </c>
      <c r="D343" s="22" t="s">
        <v>24</v>
      </c>
      <c r="E343" s="22" t="s">
        <v>14</v>
      </c>
      <c r="F343" s="22" t="s">
        <v>15</v>
      </c>
      <c r="G343" s="22" t="s">
        <v>16</v>
      </c>
      <c r="H343" s="22">
        <v>47</v>
      </c>
      <c r="I343" s="24">
        <v>43138</v>
      </c>
      <c r="J343" s="27">
        <v>521</v>
      </c>
      <c r="K343" s="25">
        <v>0.34</v>
      </c>
      <c r="L343" s="22" t="s">
        <v>17</v>
      </c>
      <c r="M343" s="23" t="s">
        <v>26</v>
      </c>
    </row>
    <row r="344" spans="1:13" x14ac:dyDescent="0.35">
      <c r="A344" s="22" t="s">
        <v>561</v>
      </c>
      <c r="B344" s="22" t="s">
        <v>1433</v>
      </c>
      <c r="C344" s="22" t="s">
        <v>12</v>
      </c>
      <c r="D344" s="22" t="s">
        <v>28</v>
      </c>
      <c r="E344" s="22" t="s">
        <v>29</v>
      </c>
      <c r="F344" s="22" t="s">
        <v>15</v>
      </c>
      <c r="G344" s="22" t="s">
        <v>16</v>
      </c>
      <c r="H344" s="22">
        <v>60</v>
      </c>
      <c r="I344" s="24">
        <v>44327</v>
      </c>
      <c r="J344" s="27">
        <v>962</v>
      </c>
      <c r="K344" s="25">
        <v>0.4</v>
      </c>
      <c r="L344" s="22" t="s">
        <v>17</v>
      </c>
      <c r="M344" s="23" t="s">
        <v>18</v>
      </c>
    </row>
    <row r="345" spans="1:13" x14ac:dyDescent="0.35">
      <c r="A345" s="22" t="s">
        <v>562</v>
      </c>
      <c r="B345" s="22" t="s">
        <v>1434</v>
      </c>
      <c r="C345" s="22" t="s">
        <v>71</v>
      </c>
      <c r="D345" s="22" t="s">
        <v>24</v>
      </c>
      <c r="E345" s="22" t="s">
        <v>29</v>
      </c>
      <c r="F345" s="22" t="s">
        <v>15</v>
      </c>
      <c r="G345" s="22" t="s">
        <v>21</v>
      </c>
      <c r="H345" s="22">
        <v>50</v>
      </c>
      <c r="I345" s="24">
        <v>44901</v>
      </c>
      <c r="J345" s="27">
        <v>692</v>
      </c>
      <c r="K345" s="25">
        <v>0</v>
      </c>
      <c r="L345" s="22" t="s">
        <v>30</v>
      </c>
      <c r="M345" s="23" t="s">
        <v>61</v>
      </c>
    </row>
    <row r="346" spans="1:13" x14ac:dyDescent="0.35">
      <c r="A346" s="22" t="s">
        <v>563</v>
      </c>
      <c r="B346" s="22" t="s">
        <v>1435</v>
      </c>
      <c r="C346" s="22" t="s">
        <v>53</v>
      </c>
      <c r="D346" s="22" t="s">
        <v>43</v>
      </c>
      <c r="E346" s="22" t="s">
        <v>14</v>
      </c>
      <c r="F346" s="22" t="s">
        <v>25</v>
      </c>
      <c r="G346" s="22" t="s">
        <v>16</v>
      </c>
      <c r="H346" s="22">
        <v>41</v>
      </c>
      <c r="I346" s="24">
        <v>42718</v>
      </c>
      <c r="J346" s="27">
        <v>618</v>
      </c>
      <c r="K346" s="25">
        <v>0.08</v>
      </c>
      <c r="L346" s="22" t="s">
        <v>17</v>
      </c>
      <c r="M346" s="23" t="s">
        <v>54</v>
      </c>
    </row>
    <row r="347" spans="1:13" x14ac:dyDescent="0.35">
      <c r="A347" s="22" t="s">
        <v>564</v>
      </c>
      <c r="B347" s="22" t="s">
        <v>1436</v>
      </c>
      <c r="C347" s="22" t="s">
        <v>69</v>
      </c>
      <c r="D347" s="22" t="s">
        <v>28</v>
      </c>
      <c r="E347" s="22" t="s">
        <v>1102</v>
      </c>
      <c r="F347" s="22" t="s">
        <v>15</v>
      </c>
      <c r="G347" s="22" t="s">
        <v>44</v>
      </c>
      <c r="H347" s="22">
        <v>28</v>
      </c>
      <c r="I347" s="24">
        <v>44052</v>
      </c>
      <c r="J347" s="27">
        <v>638</v>
      </c>
      <c r="K347" s="25">
        <v>0</v>
      </c>
      <c r="L347" s="22" t="s">
        <v>17</v>
      </c>
      <c r="M347" s="23" t="s">
        <v>18</v>
      </c>
    </row>
    <row r="348" spans="1:13" x14ac:dyDescent="0.35">
      <c r="A348" s="22" t="s">
        <v>565</v>
      </c>
      <c r="B348" s="22" t="s">
        <v>1437</v>
      </c>
      <c r="C348" s="22" t="s">
        <v>47</v>
      </c>
      <c r="D348" s="22" t="s">
        <v>24</v>
      </c>
      <c r="E348" s="22" t="s">
        <v>33</v>
      </c>
      <c r="F348" s="22" t="s">
        <v>15</v>
      </c>
      <c r="G348" s="22" t="s">
        <v>16</v>
      </c>
      <c r="H348" s="22">
        <v>25</v>
      </c>
      <c r="I348" s="24">
        <v>44580</v>
      </c>
      <c r="J348" s="27">
        <v>545</v>
      </c>
      <c r="K348" s="25">
        <v>0</v>
      </c>
      <c r="L348" s="22" t="s">
        <v>17</v>
      </c>
      <c r="M348" s="23" t="s">
        <v>40</v>
      </c>
    </row>
    <row r="349" spans="1:13" x14ac:dyDescent="0.35">
      <c r="A349" s="22" t="s">
        <v>566</v>
      </c>
      <c r="B349" s="22" t="s">
        <v>1438</v>
      </c>
      <c r="C349" s="22" t="s">
        <v>57</v>
      </c>
      <c r="D349" s="22" t="s">
        <v>13</v>
      </c>
      <c r="E349" s="22" t="s">
        <v>1102</v>
      </c>
      <c r="F349" s="22" t="s">
        <v>25</v>
      </c>
      <c r="G349" s="22" t="s">
        <v>44</v>
      </c>
      <c r="H349" s="22">
        <v>45</v>
      </c>
      <c r="I349" s="24">
        <v>42229</v>
      </c>
      <c r="J349" s="27">
        <v>608</v>
      </c>
      <c r="K349" s="25">
        <v>0</v>
      </c>
      <c r="L349" s="22" t="s">
        <v>17</v>
      </c>
      <c r="M349" s="23" t="s">
        <v>40</v>
      </c>
    </row>
    <row r="350" spans="1:13" x14ac:dyDescent="0.35">
      <c r="A350" s="22" t="s">
        <v>567</v>
      </c>
      <c r="B350" s="22" t="s">
        <v>1439</v>
      </c>
      <c r="C350" s="22" t="s">
        <v>59</v>
      </c>
      <c r="D350" s="22" t="s">
        <v>24</v>
      </c>
      <c r="E350" s="22" t="s">
        <v>1102</v>
      </c>
      <c r="F350" s="22" t="s">
        <v>15</v>
      </c>
      <c r="G350" s="22" t="s">
        <v>21</v>
      </c>
      <c r="H350" s="22">
        <v>63</v>
      </c>
      <c r="I350" s="24">
        <v>44182</v>
      </c>
      <c r="J350" s="27">
        <v>586</v>
      </c>
      <c r="K350" s="25">
        <v>0</v>
      </c>
      <c r="L350" s="22" t="s">
        <v>30</v>
      </c>
      <c r="M350" s="23" t="s">
        <v>61</v>
      </c>
    </row>
    <row r="351" spans="1:13" x14ac:dyDescent="0.35">
      <c r="A351" s="22" t="s">
        <v>568</v>
      </c>
      <c r="B351" s="22" t="s">
        <v>1440</v>
      </c>
      <c r="C351" s="22" t="s">
        <v>38</v>
      </c>
      <c r="D351" s="22" t="s">
        <v>39</v>
      </c>
      <c r="E351" s="22" t="s">
        <v>14</v>
      </c>
      <c r="F351" s="22" t="s">
        <v>25</v>
      </c>
      <c r="G351" s="22" t="s">
        <v>44</v>
      </c>
      <c r="H351" s="22">
        <v>52</v>
      </c>
      <c r="I351" s="24">
        <v>37479</v>
      </c>
      <c r="J351" s="27">
        <v>848</v>
      </c>
      <c r="K351" s="25">
        <v>0</v>
      </c>
      <c r="L351" s="22" t="s">
        <v>17</v>
      </c>
      <c r="M351" s="23" t="s">
        <v>54</v>
      </c>
    </row>
    <row r="352" spans="1:13" x14ac:dyDescent="0.35">
      <c r="A352" s="22" t="s">
        <v>569</v>
      </c>
      <c r="B352" s="22" t="s">
        <v>1441</v>
      </c>
      <c r="C352" s="22" t="s">
        <v>55</v>
      </c>
      <c r="D352" s="22" t="s">
        <v>39</v>
      </c>
      <c r="E352" s="22" t="s">
        <v>33</v>
      </c>
      <c r="F352" s="22" t="s">
        <v>15</v>
      </c>
      <c r="G352" s="22" t="s">
        <v>21</v>
      </c>
      <c r="H352" s="22">
        <v>59</v>
      </c>
      <c r="I352" s="24">
        <v>34118</v>
      </c>
      <c r="J352" s="27">
        <v>799</v>
      </c>
      <c r="K352" s="25">
        <v>0</v>
      </c>
      <c r="L352" s="22" t="s">
        <v>30</v>
      </c>
      <c r="M352" s="23" t="s">
        <v>65</v>
      </c>
    </row>
    <row r="353" spans="1:13" x14ac:dyDescent="0.35">
      <c r="A353" s="22" t="s">
        <v>570</v>
      </c>
      <c r="B353" s="22" t="s">
        <v>1442</v>
      </c>
      <c r="C353" s="22" t="s">
        <v>12</v>
      </c>
      <c r="D353" s="22" t="s">
        <v>13</v>
      </c>
      <c r="E353" s="22" t="s">
        <v>33</v>
      </c>
      <c r="F353" s="22" t="s">
        <v>25</v>
      </c>
      <c r="G353" s="22" t="s">
        <v>16</v>
      </c>
      <c r="H353" s="22">
        <v>30</v>
      </c>
      <c r="I353" s="24">
        <v>43114</v>
      </c>
      <c r="J353" s="27">
        <v>728</v>
      </c>
      <c r="K353" s="25">
        <v>0.34</v>
      </c>
      <c r="L353" s="22" t="s">
        <v>17</v>
      </c>
      <c r="M353" s="23" t="s">
        <v>22</v>
      </c>
    </row>
    <row r="354" spans="1:13" x14ac:dyDescent="0.35">
      <c r="A354" s="22" t="s">
        <v>571</v>
      </c>
      <c r="B354" s="22" t="s">
        <v>1443</v>
      </c>
      <c r="C354" s="22" t="s">
        <v>83</v>
      </c>
      <c r="D354" s="22" t="s">
        <v>28</v>
      </c>
      <c r="E354" s="22" t="s">
        <v>14</v>
      </c>
      <c r="F354" s="22" t="s">
        <v>15</v>
      </c>
      <c r="G354" s="22" t="s">
        <v>16</v>
      </c>
      <c r="H354" s="22">
        <v>55</v>
      </c>
      <c r="I354" s="24">
        <v>40004</v>
      </c>
      <c r="J354" s="27">
        <v>912</v>
      </c>
      <c r="K354" s="25">
        <v>0</v>
      </c>
      <c r="L354" s="22" t="s">
        <v>17</v>
      </c>
      <c r="M354" s="23" t="s">
        <v>18</v>
      </c>
    </row>
    <row r="355" spans="1:13" x14ac:dyDescent="0.35">
      <c r="A355" s="22" t="s">
        <v>572</v>
      </c>
      <c r="B355" s="22" t="s">
        <v>1444</v>
      </c>
      <c r="C355" s="22" t="s">
        <v>1111</v>
      </c>
      <c r="D355" s="22" t="s">
        <v>56</v>
      </c>
      <c r="E355" s="22" t="s">
        <v>1102</v>
      </c>
      <c r="F355" s="22" t="s">
        <v>25</v>
      </c>
      <c r="G355" s="22" t="s">
        <v>21</v>
      </c>
      <c r="H355" s="22">
        <v>65</v>
      </c>
      <c r="I355" s="24">
        <v>39926</v>
      </c>
      <c r="J355" s="27">
        <v>931</v>
      </c>
      <c r="K355" s="25">
        <v>0.12</v>
      </c>
      <c r="L355" s="22" t="s">
        <v>17</v>
      </c>
      <c r="M355" s="23" t="s">
        <v>54</v>
      </c>
    </row>
    <row r="356" spans="1:13" x14ac:dyDescent="0.35">
      <c r="A356" s="22" t="s">
        <v>573</v>
      </c>
      <c r="B356" s="22" t="s">
        <v>1445</v>
      </c>
      <c r="C356" s="22" t="s">
        <v>19</v>
      </c>
      <c r="D356" s="22" t="s">
        <v>20</v>
      </c>
      <c r="E356" s="22" t="s">
        <v>29</v>
      </c>
      <c r="F356" s="22" t="s">
        <v>15</v>
      </c>
      <c r="G356" s="22" t="s">
        <v>16</v>
      </c>
      <c r="H356" s="22">
        <v>34</v>
      </c>
      <c r="I356" s="24">
        <v>41809</v>
      </c>
      <c r="J356" s="27">
        <v>743</v>
      </c>
      <c r="K356" s="25">
        <v>0</v>
      </c>
      <c r="L356" s="22" t="s">
        <v>17</v>
      </c>
      <c r="M356" s="23" t="s">
        <v>35</v>
      </c>
    </row>
    <row r="357" spans="1:13" x14ac:dyDescent="0.35">
      <c r="A357" s="22" t="s">
        <v>574</v>
      </c>
      <c r="B357" s="22" t="s">
        <v>1446</v>
      </c>
      <c r="C357" s="22" t="s">
        <v>1111</v>
      </c>
      <c r="D357" s="22" t="s">
        <v>20</v>
      </c>
      <c r="E357" s="22" t="s">
        <v>33</v>
      </c>
      <c r="F357" s="22" t="s">
        <v>15</v>
      </c>
      <c r="G357" s="22" t="s">
        <v>21</v>
      </c>
      <c r="H357" s="22">
        <v>51</v>
      </c>
      <c r="I357" s="24">
        <v>38824</v>
      </c>
      <c r="J357" s="27">
        <v>847</v>
      </c>
      <c r="K357" s="25">
        <v>0.11</v>
      </c>
      <c r="L357" s="22" t="s">
        <v>17</v>
      </c>
      <c r="M357" s="23" t="s">
        <v>22</v>
      </c>
    </row>
    <row r="358" spans="1:13" x14ac:dyDescent="0.35">
      <c r="A358" s="22" t="s">
        <v>575</v>
      </c>
      <c r="B358" s="22" t="s">
        <v>1447</v>
      </c>
      <c r="C358" s="22" t="s">
        <v>63</v>
      </c>
      <c r="D358" s="22" t="s">
        <v>20</v>
      </c>
      <c r="E358" s="22" t="s">
        <v>33</v>
      </c>
      <c r="F358" s="22" t="s">
        <v>15</v>
      </c>
      <c r="G358" s="22" t="s">
        <v>21</v>
      </c>
      <c r="H358" s="22">
        <v>52</v>
      </c>
      <c r="I358" s="24">
        <v>43667</v>
      </c>
      <c r="J358" s="27">
        <v>805</v>
      </c>
      <c r="K358" s="25">
        <v>0</v>
      </c>
      <c r="L358" s="22" t="s">
        <v>30</v>
      </c>
      <c r="M358" s="23" t="s">
        <v>61</v>
      </c>
    </row>
    <row r="359" spans="1:13" x14ac:dyDescent="0.35">
      <c r="A359" s="22" t="s">
        <v>576</v>
      </c>
      <c r="B359" s="22" t="s">
        <v>1448</v>
      </c>
      <c r="C359" s="22" t="s">
        <v>74</v>
      </c>
      <c r="D359" s="22" t="s">
        <v>43</v>
      </c>
      <c r="E359" s="22" t="s">
        <v>1102</v>
      </c>
      <c r="F359" s="22" t="s">
        <v>15</v>
      </c>
      <c r="G359" s="22" t="s">
        <v>44</v>
      </c>
      <c r="H359" s="22">
        <v>44</v>
      </c>
      <c r="I359" s="24">
        <v>43927</v>
      </c>
      <c r="J359" s="27">
        <v>899</v>
      </c>
      <c r="K359" s="25">
        <v>0</v>
      </c>
      <c r="L359" s="22" t="s">
        <v>17</v>
      </c>
      <c r="M359" s="23" t="s">
        <v>26</v>
      </c>
    </row>
    <row r="360" spans="1:13" x14ac:dyDescent="0.35">
      <c r="A360" s="22" t="s">
        <v>577</v>
      </c>
      <c r="B360" s="22" t="s">
        <v>1449</v>
      </c>
      <c r="C360" s="22" t="s">
        <v>12</v>
      </c>
      <c r="D360" s="22" t="s">
        <v>20</v>
      </c>
      <c r="E360" s="22" t="s">
        <v>29</v>
      </c>
      <c r="F360" s="22" t="s">
        <v>15</v>
      </c>
      <c r="G360" s="22" t="s">
        <v>44</v>
      </c>
      <c r="H360" s="22">
        <v>44</v>
      </c>
      <c r="I360" s="24">
        <v>38150</v>
      </c>
      <c r="J360" s="27">
        <v>572</v>
      </c>
      <c r="K360" s="25">
        <v>0.35</v>
      </c>
      <c r="L360" s="22" t="s">
        <v>17</v>
      </c>
      <c r="M360" s="23" t="s">
        <v>40</v>
      </c>
    </row>
    <row r="361" spans="1:13" x14ac:dyDescent="0.35">
      <c r="A361" s="22" t="s">
        <v>578</v>
      </c>
      <c r="B361" s="22" t="s">
        <v>1450</v>
      </c>
      <c r="C361" s="22" t="s">
        <v>60</v>
      </c>
      <c r="D361" s="22" t="s">
        <v>24</v>
      </c>
      <c r="E361" s="22" t="s">
        <v>1102</v>
      </c>
      <c r="F361" s="22" t="s">
        <v>25</v>
      </c>
      <c r="G361" s="22" t="s">
        <v>44</v>
      </c>
      <c r="H361" s="22">
        <v>40</v>
      </c>
      <c r="I361" s="24">
        <v>38822</v>
      </c>
      <c r="J361" s="27">
        <v>891</v>
      </c>
      <c r="K361" s="25">
        <v>0</v>
      </c>
      <c r="L361" s="22" t="s">
        <v>17</v>
      </c>
      <c r="M361" s="23" t="s">
        <v>22</v>
      </c>
    </row>
    <row r="362" spans="1:13" x14ac:dyDescent="0.35">
      <c r="A362" s="22" t="s">
        <v>579</v>
      </c>
      <c r="B362" s="22" t="s">
        <v>1451</v>
      </c>
      <c r="C362" s="22" t="s">
        <v>53</v>
      </c>
      <c r="D362" s="22" t="s">
        <v>20</v>
      </c>
      <c r="E362" s="22" t="s">
        <v>33</v>
      </c>
      <c r="F362" s="22" t="s">
        <v>25</v>
      </c>
      <c r="G362" s="22" t="s">
        <v>21</v>
      </c>
      <c r="H362" s="22">
        <v>25</v>
      </c>
      <c r="I362" s="24">
        <v>44662</v>
      </c>
      <c r="J362" s="27">
        <v>974</v>
      </c>
      <c r="K362" s="25">
        <v>7.0000000000000007E-2</v>
      </c>
      <c r="L362" s="22" t="s">
        <v>17</v>
      </c>
      <c r="M362" s="23" t="s">
        <v>54</v>
      </c>
    </row>
    <row r="363" spans="1:13" x14ac:dyDescent="0.35">
      <c r="A363" s="22" t="s">
        <v>135</v>
      </c>
      <c r="B363" s="22" t="s">
        <v>1452</v>
      </c>
      <c r="C363" s="22" t="s">
        <v>67</v>
      </c>
      <c r="D363" s="22" t="s">
        <v>24</v>
      </c>
      <c r="E363" s="22" t="s">
        <v>14</v>
      </c>
      <c r="F363" s="22" t="s">
        <v>15</v>
      </c>
      <c r="G363" s="22" t="s">
        <v>44</v>
      </c>
      <c r="H363" s="22">
        <v>32</v>
      </c>
      <c r="I363" s="24">
        <v>43114</v>
      </c>
      <c r="J363" s="27">
        <v>519</v>
      </c>
      <c r="K363" s="25">
        <v>0</v>
      </c>
      <c r="L363" s="22" t="s">
        <v>17</v>
      </c>
      <c r="M363" s="23" t="s">
        <v>54</v>
      </c>
    </row>
    <row r="364" spans="1:13" x14ac:dyDescent="0.35">
      <c r="A364" s="22" t="s">
        <v>580</v>
      </c>
      <c r="B364" s="22" t="s">
        <v>1453</v>
      </c>
      <c r="C364" s="22" t="s">
        <v>38</v>
      </c>
      <c r="D364" s="22" t="s">
        <v>39</v>
      </c>
      <c r="E364" s="22" t="s">
        <v>1102</v>
      </c>
      <c r="F364" s="22" t="s">
        <v>15</v>
      </c>
      <c r="G364" s="22" t="s">
        <v>44</v>
      </c>
      <c r="H364" s="22">
        <v>45</v>
      </c>
      <c r="I364" s="24">
        <v>41299</v>
      </c>
      <c r="J364" s="27">
        <v>854</v>
      </c>
      <c r="K364" s="25">
        <v>0</v>
      </c>
      <c r="L364" s="22" t="s">
        <v>45</v>
      </c>
      <c r="M364" s="23" t="s">
        <v>1134</v>
      </c>
    </row>
    <row r="365" spans="1:13" x14ac:dyDescent="0.35">
      <c r="A365" s="22" t="s">
        <v>581</v>
      </c>
      <c r="B365" s="22" t="s">
        <v>1454</v>
      </c>
      <c r="C365" s="22" t="s">
        <v>48</v>
      </c>
      <c r="D365" s="22" t="s">
        <v>24</v>
      </c>
      <c r="E365" s="22" t="s">
        <v>29</v>
      </c>
      <c r="F365" s="22" t="s">
        <v>15</v>
      </c>
      <c r="G365" s="22" t="s">
        <v>16</v>
      </c>
      <c r="H365" s="22">
        <v>56</v>
      </c>
      <c r="I365" s="24">
        <v>44446</v>
      </c>
      <c r="J365" s="27">
        <v>974</v>
      </c>
      <c r="K365" s="25">
        <v>0.06</v>
      </c>
      <c r="L365" s="22" t="s">
        <v>17</v>
      </c>
      <c r="M365" s="23" t="s">
        <v>18</v>
      </c>
    </row>
    <row r="366" spans="1:13" x14ac:dyDescent="0.35">
      <c r="A366" s="22" t="s">
        <v>582</v>
      </c>
      <c r="B366" s="22" t="s">
        <v>1455</v>
      </c>
      <c r="C366" s="22" t="s">
        <v>70</v>
      </c>
      <c r="D366" s="22" t="s">
        <v>28</v>
      </c>
      <c r="E366" s="22" t="s">
        <v>14</v>
      </c>
      <c r="F366" s="22" t="s">
        <v>15</v>
      </c>
      <c r="G366" s="22" t="s">
        <v>44</v>
      </c>
      <c r="H366" s="22">
        <v>52</v>
      </c>
      <c r="I366" s="24">
        <v>37188</v>
      </c>
      <c r="J366" s="27">
        <v>749</v>
      </c>
      <c r="K366" s="25">
        <v>0</v>
      </c>
      <c r="L366" s="22" t="s">
        <v>45</v>
      </c>
      <c r="M366" s="23" t="s">
        <v>1134</v>
      </c>
    </row>
    <row r="367" spans="1:13" x14ac:dyDescent="0.35">
      <c r="A367" s="22" t="s">
        <v>583</v>
      </c>
      <c r="B367" s="22" t="s">
        <v>1456</v>
      </c>
      <c r="C367" s="22" t="s">
        <v>53</v>
      </c>
      <c r="D367" s="22" t="s">
        <v>24</v>
      </c>
      <c r="E367" s="22" t="s">
        <v>33</v>
      </c>
      <c r="F367" s="22" t="s">
        <v>25</v>
      </c>
      <c r="G367" s="22" t="s">
        <v>21</v>
      </c>
      <c r="H367" s="22">
        <v>49</v>
      </c>
      <c r="I367" s="24">
        <v>40324</v>
      </c>
      <c r="J367" s="27">
        <v>939</v>
      </c>
      <c r="K367" s="25">
        <v>0.09</v>
      </c>
      <c r="L367" s="22" t="s">
        <v>17</v>
      </c>
      <c r="M367" s="23" t="s">
        <v>54</v>
      </c>
    </row>
    <row r="368" spans="1:13" x14ac:dyDescent="0.35">
      <c r="A368" s="22" t="s">
        <v>584</v>
      </c>
      <c r="B368" s="22" t="s">
        <v>1457</v>
      </c>
      <c r="C368" s="22" t="s">
        <v>55</v>
      </c>
      <c r="D368" s="22" t="s">
        <v>13</v>
      </c>
      <c r="E368" s="22" t="s">
        <v>33</v>
      </c>
      <c r="F368" s="22" t="s">
        <v>15</v>
      </c>
      <c r="G368" s="22" t="s">
        <v>21</v>
      </c>
      <c r="H368" s="22">
        <v>46</v>
      </c>
      <c r="I368" s="24">
        <v>40050</v>
      </c>
      <c r="J368" s="27">
        <v>904</v>
      </c>
      <c r="K368" s="25">
        <v>0</v>
      </c>
      <c r="L368" s="22" t="s">
        <v>17</v>
      </c>
      <c r="M368" s="23" t="s">
        <v>26</v>
      </c>
    </row>
    <row r="369" spans="1:13" x14ac:dyDescent="0.35">
      <c r="A369" s="22" t="s">
        <v>585</v>
      </c>
      <c r="B369" s="22" t="s">
        <v>1458</v>
      </c>
      <c r="C369" s="22" t="s">
        <v>1111</v>
      </c>
      <c r="D369" s="22" t="s">
        <v>43</v>
      </c>
      <c r="E369" s="22" t="s">
        <v>14</v>
      </c>
      <c r="F369" s="22" t="s">
        <v>15</v>
      </c>
      <c r="G369" s="22" t="s">
        <v>21</v>
      </c>
      <c r="H369" s="22">
        <v>39</v>
      </c>
      <c r="I369" s="24">
        <v>40961</v>
      </c>
      <c r="J369" s="27">
        <v>539</v>
      </c>
      <c r="K369" s="25">
        <v>0.14000000000000001</v>
      </c>
      <c r="L369" s="22" t="s">
        <v>30</v>
      </c>
      <c r="M369" s="23" t="s">
        <v>52</v>
      </c>
    </row>
    <row r="370" spans="1:13" x14ac:dyDescent="0.35">
      <c r="A370" s="22" t="s">
        <v>586</v>
      </c>
      <c r="B370" s="22" t="s">
        <v>1459</v>
      </c>
      <c r="C370" s="22" t="s">
        <v>38</v>
      </c>
      <c r="D370" s="22" t="s">
        <v>43</v>
      </c>
      <c r="E370" s="22" t="s">
        <v>33</v>
      </c>
      <c r="F370" s="22" t="s">
        <v>15</v>
      </c>
      <c r="G370" s="22" t="s">
        <v>44</v>
      </c>
      <c r="H370" s="22">
        <v>55</v>
      </c>
      <c r="I370" s="24">
        <v>35883</v>
      </c>
      <c r="J370" s="27">
        <v>898</v>
      </c>
      <c r="K370" s="25">
        <v>0</v>
      </c>
      <c r="L370" s="22" t="s">
        <v>17</v>
      </c>
      <c r="M370" s="23" t="s">
        <v>18</v>
      </c>
    </row>
    <row r="371" spans="1:13" x14ac:dyDescent="0.35">
      <c r="A371" s="22" t="s">
        <v>587</v>
      </c>
      <c r="B371" s="22" t="s">
        <v>1460</v>
      </c>
      <c r="C371" s="22" t="s">
        <v>77</v>
      </c>
      <c r="D371" s="22" t="s">
        <v>24</v>
      </c>
      <c r="E371" s="22" t="s">
        <v>33</v>
      </c>
      <c r="F371" s="22" t="s">
        <v>25</v>
      </c>
      <c r="G371" s="22" t="s">
        <v>21</v>
      </c>
      <c r="H371" s="22">
        <v>34</v>
      </c>
      <c r="I371" s="24">
        <v>41167</v>
      </c>
      <c r="J371" s="27">
        <v>762</v>
      </c>
      <c r="K371" s="25">
        <v>0</v>
      </c>
      <c r="L371" s="22" t="s">
        <v>17</v>
      </c>
      <c r="M371" s="23" t="s">
        <v>40</v>
      </c>
    </row>
    <row r="372" spans="1:13" x14ac:dyDescent="0.35">
      <c r="A372" s="22" t="s">
        <v>588</v>
      </c>
      <c r="B372" s="22" t="s">
        <v>1461</v>
      </c>
      <c r="C372" s="22" t="s">
        <v>57</v>
      </c>
      <c r="D372" s="22" t="s">
        <v>43</v>
      </c>
      <c r="E372" s="22" t="s">
        <v>14</v>
      </c>
      <c r="F372" s="22" t="s">
        <v>15</v>
      </c>
      <c r="G372" s="22" t="s">
        <v>41</v>
      </c>
      <c r="H372" s="22">
        <v>56</v>
      </c>
      <c r="I372" s="24">
        <v>41079</v>
      </c>
      <c r="J372" s="27">
        <v>601</v>
      </c>
      <c r="K372" s="25">
        <v>0</v>
      </c>
      <c r="L372" s="22" t="s">
        <v>17</v>
      </c>
      <c r="M372" s="23" t="s">
        <v>22</v>
      </c>
    </row>
    <row r="373" spans="1:13" x14ac:dyDescent="0.35">
      <c r="A373" s="22" t="s">
        <v>589</v>
      </c>
      <c r="B373" s="22" t="s">
        <v>1462</v>
      </c>
      <c r="C373" s="22" t="s">
        <v>55</v>
      </c>
      <c r="D373" s="22" t="s">
        <v>39</v>
      </c>
      <c r="E373" s="22" t="s">
        <v>14</v>
      </c>
      <c r="F373" s="22" t="s">
        <v>25</v>
      </c>
      <c r="G373" s="22" t="s">
        <v>44</v>
      </c>
      <c r="H373" s="22">
        <v>56</v>
      </c>
      <c r="I373" s="24">
        <v>41180</v>
      </c>
      <c r="J373" s="27">
        <v>809</v>
      </c>
      <c r="K373" s="25">
        <v>0</v>
      </c>
      <c r="L373" s="22" t="s">
        <v>17</v>
      </c>
      <c r="M373" s="23" t="s">
        <v>54</v>
      </c>
    </row>
    <row r="374" spans="1:13" x14ac:dyDescent="0.35">
      <c r="A374" s="22" t="s">
        <v>590</v>
      </c>
      <c r="B374" s="22" t="s">
        <v>1463</v>
      </c>
      <c r="C374" s="22" t="s">
        <v>50</v>
      </c>
      <c r="D374" s="22" t="s">
        <v>28</v>
      </c>
      <c r="E374" s="22" t="s">
        <v>14</v>
      </c>
      <c r="F374" s="22" t="s">
        <v>25</v>
      </c>
      <c r="G374" s="22" t="s">
        <v>21</v>
      </c>
      <c r="H374" s="22">
        <v>62</v>
      </c>
      <c r="I374" s="24">
        <v>42845</v>
      </c>
      <c r="J374" s="27">
        <v>752</v>
      </c>
      <c r="K374" s="25">
        <v>0</v>
      </c>
      <c r="L374" s="22" t="s">
        <v>17</v>
      </c>
      <c r="M374" s="23" t="s">
        <v>35</v>
      </c>
    </row>
    <row r="375" spans="1:13" x14ac:dyDescent="0.35">
      <c r="A375" s="22" t="s">
        <v>101</v>
      </c>
      <c r="B375" s="22" t="s">
        <v>1464</v>
      </c>
      <c r="C375" s="22" t="s">
        <v>12</v>
      </c>
      <c r="D375" s="22" t="s">
        <v>39</v>
      </c>
      <c r="E375" s="22" t="s">
        <v>1102</v>
      </c>
      <c r="F375" s="22" t="s">
        <v>15</v>
      </c>
      <c r="G375" s="22" t="s">
        <v>44</v>
      </c>
      <c r="H375" s="22">
        <v>60</v>
      </c>
      <c r="I375" s="24">
        <v>35788</v>
      </c>
      <c r="J375" s="27">
        <v>765</v>
      </c>
      <c r="K375" s="25">
        <v>0.38</v>
      </c>
      <c r="L375" s="22" t="s">
        <v>17</v>
      </c>
      <c r="M375" s="23" t="s">
        <v>22</v>
      </c>
    </row>
    <row r="376" spans="1:13" x14ac:dyDescent="0.35">
      <c r="A376" s="22" t="s">
        <v>591</v>
      </c>
      <c r="B376" s="22" t="s">
        <v>1465</v>
      </c>
      <c r="C376" s="22" t="s">
        <v>73</v>
      </c>
      <c r="D376" s="22" t="s">
        <v>24</v>
      </c>
      <c r="E376" s="22" t="s">
        <v>33</v>
      </c>
      <c r="F376" s="22" t="s">
        <v>25</v>
      </c>
      <c r="G376" s="22" t="s">
        <v>16</v>
      </c>
      <c r="H376" s="22">
        <v>42</v>
      </c>
      <c r="I376" s="24">
        <v>40072</v>
      </c>
      <c r="J376" s="27">
        <v>911</v>
      </c>
      <c r="K376" s="25">
        <v>0</v>
      </c>
      <c r="L376" s="22" t="s">
        <v>17</v>
      </c>
      <c r="M376" s="23" t="s">
        <v>35</v>
      </c>
    </row>
    <row r="377" spans="1:13" x14ac:dyDescent="0.35">
      <c r="A377" s="22" t="s">
        <v>592</v>
      </c>
      <c r="B377" s="22" t="s">
        <v>1466</v>
      </c>
      <c r="C377" s="22" t="s">
        <v>73</v>
      </c>
      <c r="D377" s="22" t="s">
        <v>24</v>
      </c>
      <c r="E377" s="22" t="s">
        <v>33</v>
      </c>
      <c r="F377" s="22" t="s">
        <v>25</v>
      </c>
      <c r="G377" s="22" t="s">
        <v>44</v>
      </c>
      <c r="H377" s="22">
        <v>27</v>
      </c>
      <c r="I377" s="24">
        <v>44096</v>
      </c>
      <c r="J377" s="27">
        <v>782</v>
      </c>
      <c r="K377" s="25">
        <v>0</v>
      </c>
      <c r="L377" s="22" t="s">
        <v>17</v>
      </c>
      <c r="M377" s="23" t="s">
        <v>26</v>
      </c>
    </row>
    <row r="378" spans="1:13" x14ac:dyDescent="0.35">
      <c r="A378" s="22" t="s">
        <v>119</v>
      </c>
      <c r="B378" s="22" t="s">
        <v>1467</v>
      </c>
      <c r="C378" s="22" t="s">
        <v>50</v>
      </c>
      <c r="D378" s="22" t="s">
        <v>28</v>
      </c>
      <c r="E378" s="22" t="s">
        <v>29</v>
      </c>
      <c r="F378" s="22" t="s">
        <v>15</v>
      </c>
      <c r="G378" s="22" t="s">
        <v>21</v>
      </c>
      <c r="H378" s="22">
        <v>37</v>
      </c>
      <c r="I378" s="24">
        <v>43892</v>
      </c>
      <c r="J378" s="27">
        <v>781</v>
      </c>
      <c r="K378" s="25">
        <v>0</v>
      </c>
      <c r="L378" s="22" t="s">
        <v>30</v>
      </c>
      <c r="M378" s="23" t="s">
        <v>52</v>
      </c>
    </row>
    <row r="379" spans="1:13" x14ac:dyDescent="0.35">
      <c r="A379" s="22" t="s">
        <v>593</v>
      </c>
      <c r="B379" s="22" t="s">
        <v>1468</v>
      </c>
      <c r="C379" s="22" t="s">
        <v>36</v>
      </c>
      <c r="D379" s="22" t="s">
        <v>24</v>
      </c>
      <c r="E379" s="22" t="s">
        <v>33</v>
      </c>
      <c r="F379" s="22" t="s">
        <v>25</v>
      </c>
      <c r="G379" s="22" t="s">
        <v>44</v>
      </c>
      <c r="H379" s="22">
        <v>29</v>
      </c>
      <c r="I379" s="24">
        <v>44570</v>
      </c>
      <c r="J379" s="27">
        <v>743</v>
      </c>
      <c r="K379" s="25">
        <v>0.15</v>
      </c>
      <c r="L379" s="22" t="s">
        <v>17</v>
      </c>
      <c r="M379" s="23" t="s">
        <v>54</v>
      </c>
    </row>
    <row r="380" spans="1:13" x14ac:dyDescent="0.35">
      <c r="A380" s="22" t="s">
        <v>594</v>
      </c>
      <c r="B380" s="22" t="s">
        <v>1469</v>
      </c>
      <c r="C380" s="22" t="s">
        <v>1111</v>
      </c>
      <c r="D380" s="22" t="s">
        <v>56</v>
      </c>
      <c r="E380" s="22" t="s">
        <v>14</v>
      </c>
      <c r="F380" s="22" t="s">
        <v>25</v>
      </c>
      <c r="G380" s="22" t="s">
        <v>21</v>
      </c>
      <c r="H380" s="22">
        <v>32</v>
      </c>
      <c r="I380" s="24">
        <v>41988</v>
      </c>
      <c r="J380" s="27">
        <v>559</v>
      </c>
      <c r="K380" s="25">
        <v>0.12</v>
      </c>
      <c r="L380" s="22" t="s">
        <v>30</v>
      </c>
      <c r="M380" s="23" t="s">
        <v>52</v>
      </c>
    </row>
    <row r="381" spans="1:13" x14ac:dyDescent="0.35">
      <c r="A381" s="22" t="s">
        <v>595</v>
      </c>
      <c r="B381" s="22" t="s">
        <v>1470</v>
      </c>
      <c r="C381" s="22" t="s">
        <v>36</v>
      </c>
      <c r="D381" s="22" t="s">
        <v>13</v>
      </c>
      <c r="E381" s="22" t="s">
        <v>14</v>
      </c>
      <c r="F381" s="22" t="s">
        <v>25</v>
      </c>
      <c r="G381" s="22" t="s">
        <v>21</v>
      </c>
      <c r="H381" s="22">
        <v>33</v>
      </c>
      <c r="I381" s="24">
        <v>41525</v>
      </c>
      <c r="J381" s="27">
        <v>521</v>
      </c>
      <c r="K381" s="25">
        <v>0.15</v>
      </c>
      <c r="L381" s="22" t="s">
        <v>17</v>
      </c>
      <c r="M381" s="23" t="s">
        <v>18</v>
      </c>
    </row>
    <row r="382" spans="1:13" x14ac:dyDescent="0.35">
      <c r="A382" s="22" t="s">
        <v>596</v>
      </c>
      <c r="B382" s="22" t="s">
        <v>1471</v>
      </c>
      <c r="C382" s="22" t="s">
        <v>69</v>
      </c>
      <c r="D382" s="22" t="s">
        <v>28</v>
      </c>
      <c r="E382" s="22" t="s">
        <v>1102</v>
      </c>
      <c r="F382" s="22" t="s">
        <v>15</v>
      </c>
      <c r="G382" s="22" t="s">
        <v>44</v>
      </c>
      <c r="H382" s="22">
        <v>42</v>
      </c>
      <c r="I382" s="24">
        <v>38802</v>
      </c>
      <c r="J382" s="27">
        <v>750</v>
      </c>
      <c r="K382" s="25">
        <v>0</v>
      </c>
      <c r="L382" s="22" t="s">
        <v>45</v>
      </c>
      <c r="M382" s="23" t="s">
        <v>66</v>
      </c>
    </row>
    <row r="383" spans="1:13" x14ac:dyDescent="0.35">
      <c r="A383" s="22" t="s">
        <v>597</v>
      </c>
      <c r="B383" s="22" t="s">
        <v>1472</v>
      </c>
      <c r="C383" s="22" t="s">
        <v>57</v>
      </c>
      <c r="D383" s="22" t="s">
        <v>13</v>
      </c>
      <c r="E383" s="22" t="s">
        <v>1102</v>
      </c>
      <c r="F383" s="22" t="s">
        <v>25</v>
      </c>
      <c r="G383" s="22" t="s">
        <v>21</v>
      </c>
      <c r="H383" s="22">
        <v>60</v>
      </c>
      <c r="I383" s="24">
        <v>35452</v>
      </c>
      <c r="J383" s="27">
        <v>970</v>
      </c>
      <c r="K383" s="25">
        <v>0</v>
      </c>
      <c r="L383" s="22" t="s">
        <v>17</v>
      </c>
      <c r="M383" s="23" t="s">
        <v>26</v>
      </c>
    </row>
    <row r="384" spans="1:13" x14ac:dyDescent="0.35">
      <c r="A384" s="22" t="s">
        <v>598</v>
      </c>
      <c r="B384" s="22" t="s">
        <v>1473</v>
      </c>
      <c r="C384" s="22" t="s">
        <v>12</v>
      </c>
      <c r="D384" s="22" t="s">
        <v>13</v>
      </c>
      <c r="E384" s="22" t="s">
        <v>14</v>
      </c>
      <c r="F384" s="22" t="s">
        <v>15</v>
      </c>
      <c r="G384" s="22" t="s">
        <v>21</v>
      </c>
      <c r="H384" s="22">
        <v>51</v>
      </c>
      <c r="I384" s="24">
        <v>39908</v>
      </c>
      <c r="J384" s="27">
        <v>642</v>
      </c>
      <c r="K384" s="25">
        <v>0.33</v>
      </c>
      <c r="L384" s="22" t="s">
        <v>17</v>
      </c>
      <c r="M384" s="23" t="s">
        <v>54</v>
      </c>
    </row>
    <row r="385" spans="1:13" x14ac:dyDescent="0.35">
      <c r="A385" s="22" t="s">
        <v>599</v>
      </c>
      <c r="B385" s="22" t="s">
        <v>1474</v>
      </c>
      <c r="C385" s="22" t="s">
        <v>68</v>
      </c>
      <c r="D385" s="22" t="s">
        <v>20</v>
      </c>
      <c r="E385" s="22" t="s">
        <v>33</v>
      </c>
      <c r="F385" s="22" t="s">
        <v>15</v>
      </c>
      <c r="G385" s="22" t="s">
        <v>21</v>
      </c>
      <c r="H385" s="22">
        <v>50</v>
      </c>
      <c r="I385" s="24">
        <v>43977</v>
      </c>
      <c r="J385" s="27">
        <v>861</v>
      </c>
      <c r="K385" s="25">
        <v>0</v>
      </c>
      <c r="L385" s="22" t="s">
        <v>30</v>
      </c>
      <c r="M385" s="23" t="s">
        <v>65</v>
      </c>
    </row>
    <row r="386" spans="1:13" x14ac:dyDescent="0.35">
      <c r="A386" s="22" t="s">
        <v>600</v>
      </c>
      <c r="B386" s="22" t="s">
        <v>1475</v>
      </c>
      <c r="C386" s="22" t="s">
        <v>12</v>
      </c>
      <c r="D386" s="22" t="s">
        <v>13</v>
      </c>
      <c r="E386" s="22" t="s">
        <v>1102</v>
      </c>
      <c r="F386" s="22" t="s">
        <v>25</v>
      </c>
      <c r="G386" s="22" t="s">
        <v>44</v>
      </c>
      <c r="H386" s="22">
        <v>50</v>
      </c>
      <c r="I386" s="24">
        <v>40158</v>
      </c>
      <c r="J386" s="27">
        <v>825</v>
      </c>
      <c r="K386" s="25">
        <v>0.38</v>
      </c>
      <c r="L386" s="22" t="s">
        <v>17</v>
      </c>
      <c r="M386" s="23" t="s">
        <v>54</v>
      </c>
    </row>
    <row r="387" spans="1:13" x14ac:dyDescent="0.35">
      <c r="A387" s="22" t="s">
        <v>136</v>
      </c>
      <c r="B387" s="22" t="s">
        <v>1476</v>
      </c>
      <c r="C387" s="22" t="s">
        <v>55</v>
      </c>
      <c r="D387" s="22" t="s">
        <v>43</v>
      </c>
      <c r="E387" s="22" t="s">
        <v>1102</v>
      </c>
      <c r="F387" s="22" t="s">
        <v>25</v>
      </c>
      <c r="G387" s="22" t="s">
        <v>44</v>
      </c>
      <c r="H387" s="22">
        <v>26</v>
      </c>
      <c r="I387" s="24">
        <v>44728</v>
      </c>
      <c r="J387" s="27">
        <v>914</v>
      </c>
      <c r="K387" s="25">
        <v>0</v>
      </c>
      <c r="L387" s="22" t="s">
        <v>45</v>
      </c>
      <c r="M387" s="23" t="s">
        <v>1134</v>
      </c>
    </row>
    <row r="388" spans="1:13" x14ac:dyDescent="0.35">
      <c r="A388" s="22" t="s">
        <v>601</v>
      </c>
      <c r="B388" s="22" t="s">
        <v>1477</v>
      </c>
      <c r="C388" s="22" t="s">
        <v>59</v>
      </c>
      <c r="D388" s="22" t="s">
        <v>24</v>
      </c>
      <c r="E388" s="22" t="s">
        <v>29</v>
      </c>
      <c r="F388" s="22" t="s">
        <v>25</v>
      </c>
      <c r="G388" s="22" t="s">
        <v>21</v>
      </c>
      <c r="H388" s="22">
        <v>30</v>
      </c>
      <c r="I388" s="24">
        <v>44851</v>
      </c>
      <c r="J388" s="27">
        <v>851</v>
      </c>
      <c r="K388" s="25">
        <v>0</v>
      </c>
      <c r="L388" s="22" t="s">
        <v>17</v>
      </c>
      <c r="M388" s="23" t="s">
        <v>35</v>
      </c>
    </row>
    <row r="389" spans="1:13" x14ac:dyDescent="0.35">
      <c r="A389" s="22" t="s">
        <v>602</v>
      </c>
      <c r="B389" s="22" t="s">
        <v>1478</v>
      </c>
      <c r="C389" s="22" t="s">
        <v>38</v>
      </c>
      <c r="D389" s="22" t="s">
        <v>43</v>
      </c>
      <c r="E389" s="22" t="s">
        <v>33</v>
      </c>
      <c r="F389" s="22" t="s">
        <v>15</v>
      </c>
      <c r="G389" s="22" t="s">
        <v>21</v>
      </c>
      <c r="H389" s="22">
        <v>35</v>
      </c>
      <c r="I389" s="24">
        <v>44497</v>
      </c>
      <c r="J389" s="27">
        <v>853</v>
      </c>
      <c r="K389" s="25">
        <v>0</v>
      </c>
      <c r="L389" s="22" t="s">
        <v>17</v>
      </c>
      <c r="M389" s="23" t="s">
        <v>40</v>
      </c>
    </row>
    <row r="390" spans="1:13" x14ac:dyDescent="0.35">
      <c r="A390" s="22" t="s">
        <v>603</v>
      </c>
      <c r="B390" s="22" t="s">
        <v>1479</v>
      </c>
      <c r="C390" s="22" t="s">
        <v>72</v>
      </c>
      <c r="D390" s="22" t="s">
        <v>24</v>
      </c>
      <c r="E390" s="22" t="s">
        <v>1102</v>
      </c>
      <c r="F390" s="22" t="s">
        <v>25</v>
      </c>
      <c r="G390" s="22" t="s">
        <v>16</v>
      </c>
      <c r="H390" s="22">
        <v>44</v>
      </c>
      <c r="I390" s="24">
        <v>44240</v>
      </c>
      <c r="J390" s="27">
        <v>789</v>
      </c>
      <c r="K390" s="25">
        <v>0</v>
      </c>
      <c r="L390" s="22" t="s">
        <v>17</v>
      </c>
      <c r="M390" s="23" t="s">
        <v>22</v>
      </c>
    </row>
    <row r="391" spans="1:13" x14ac:dyDescent="0.35">
      <c r="A391" s="22" t="s">
        <v>246</v>
      </c>
      <c r="B391" s="22" t="s">
        <v>1480</v>
      </c>
      <c r="C391" s="22" t="s">
        <v>55</v>
      </c>
      <c r="D391" s="22" t="s">
        <v>39</v>
      </c>
      <c r="E391" s="22" t="s">
        <v>1102</v>
      </c>
      <c r="F391" s="22" t="s">
        <v>15</v>
      </c>
      <c r="G391" s="22" t="s">
        <v>41</v>
      </c>
      <c r="H391" s="22">
        <v>26</v>
      </c>
      <c r="I391" s="24">
        <v>43979</v>
      </c>
      <c r="J391" s="27">
        <v>973</v>
      </c>
      <c r="K391" s="25">
        <v>0</v>
      </c>
      <c r="L391" s="22" t="s">
        <v>17</v>
      </c>
      <c r="M391" s="23" t="s">
        <v>26</v>
      </c>
    </row>
    <row r="392" spans="1:13" x14ac:dyDescent="0.35">
      <c r="A392" s="22" t="s">
        <v>604</v>
      </c>
      <c r="B392" s="22" t="s">
        <v>1481</v>
      </c>
      <c r="C392" s="22" t="s">
        <v>71</v>
      </c>
      <c r="D392" s="22" t="s">
        <v>24</v>
      </c>
      <c r="E392" s="22" t="s">
        <v>14</v>
      </c>
      <c r="F392" s="22" t="s">
        <v>15</v>
      </c>
      <c r="G392" s="22" t="s">
        <v>44</v>
      </c>
      <c r="H392" s="22">
        <v>44</v>
      </c>
      <c r="I392" s="24">
        <v>41551</v>
      </c>
      <c r="J392" s="27">
        <v>934</v>
      </c>
      <c r="K392" s="25">
        <v>0</v>
      </c>
      <c r="L392" s="22" t="s">
        <v>45</v>
      </c>
      <c r="M392" s="23" t="s">
        <v>1134</v>
      </c>
    </row>
    <row r="393" spans="1:13" x14ac:dyDescent="0.35">
      <c r="A393" s="22" t="s">
        <v>605</v>
      </c>
      <c r="B393" s="22" t="s">
        <v>1482</v>
      </c>
      <c r="C393" s="22" t="s">
        <v>48</v>
      </c>
      <c r="D393" s="22" t="s">
        <v>24</v>
      </c>
      <c r="E393" s="22" t="s">
        <v>29</v>
      </c>
      <c r="F393" s="22" t="s">
        <v>15</v>
      </c>
      <c r="G393" s="22" t="s">
        <v>16</v>
      </c>
      <c r="H393" s="22">
        <v>61</v>
      </c>
      <c r="I393" s="24">
        <v>40214</v>
      </c>
      <c r="J393" s="27">
        <v>658</v>
      </c>
      <c r="K393" s="25">
        <v>0.09</v>
      </c>
      <c r="L393" s="22" t="s">
        <v>17</v>
      </c>
      <c r="M393" s="23" t="s">
        <v>54</v>
      </c>
    </row>
    <row r="394" spans="1:13" x14ac:dyDescent="0.35">
      <c r="A394" s="22" t="s">
        <v>606</v>
      </c>
      <c r="B394" s="22" t="s">
        <v>1483</v>
      </c>
      <c r="C394" s="22" t="s">
        <v>55</v>
      </c>
      <c r="D394" s="22" t="s">
        <v>56</v>
      </c>
      <c r="E394" s="22" t="s">
        <v>29</v>
      </c>
      <c r="F394" s="22" t="s">
        <v>25</v>
      </c>
      <c r="G394" s="22" t="s">
        <v>21</v>
      </c>
      <c r="H394" s="22">
        <v>50</v>
      </c>
      <c r="I394" s="24">
        <v>37408</v>
      </c>
      <c r="J394" s="27">
        <v>803</v>
      </c>
      <c r="K394" s="25">
        <v>0</v>
      </c>
      <c r="L394" s="22" t="s">
        <v>17</v>
      </c>
      <c r="M394" s="23" t="s">
        <v>54</v>
      </c>
    </row>
    <row r="395" spans="1:13" x14ac:dyDescent="0.35">
      <c r="A395" s="22" t="s">
        <v>607</v>
      </c>
      <c r="B395" s="22" t="s">
        <v>1484</v>
      </c>
      <c r="C395" s="22" t="s">
        <v>19</v>
      </c>
      <c r="D395" s="22" t="s">
        <v>20</v>
      </c>
      <c r="E395" s="22" t="s">
        <v>29</v>
      </c>
      <c r="F395" s="22" t="s">
        <v>25</v>
      </c>
      <c r="G395" s="22" t="s">
        <v>44</v>
      </c>
      <c r="H395" s="22">
        <v>61</v>
      </c>
      <c r="I395" s="24">
        <v>40569</v>
      </c>
      <c r="J395" s="27">
        <v>837</v>
      </c>
      <c r="K395" s="25">
        <v>0</v>
      </c>
      <c r="L395" s="22" t="s">
        <v>17</v>
      </c>
      <c r="M395" s="23" t="s">
        <v>22</v>
      </c>
    </row>
    <row r="396" spans="1:13" x14ac:dyDescent="0.35">
      <c r="A396" s="22" t="s">
        <v>608</v>
      </c>
      <c r="B396" s="22" t="s">
        <v>1485</v>
      </c>
      <c r="C396" s="22" t="s">
        <v>36</v>
      </c>
      <c r="D396" s="22" t="s">
        <v>39</v>
      </c>
      <c r="E396" s="22" t="s">
        <v>1102</v>
      </c>
      <c r="F396" s="22" t="s">
        <v>15</v>
      </c>
      <c r="G396" s="22" t="s">
        <v>16</v>
      </c>
      <c r="H396" s="22">
        <v>29</v>
      </c>
      <c r="I396" s="24">
        <v>44203</v>
      </c>
      <c r="J396" s="27">
        <v>521</v>
      </c>
      <c r="K396" s="25">
        <v>0.21</v>
      </c>
      <c r="L396" s="22" t="s">
        <v>17</v>
      </c>
      <c r="M396" s="23" t="s">
        <v>26</v>
      </c>
    </row>
    <row r="397" spans="1:13" x14ac:dyDescent="0.35">
      <c r="A397" s="22" t="s">
        <v>609</v>
      </c>
      <c r="B397" s="22" t="s">
        <v>1486</v>
      </c>
      <c r="C397" s="22" t="s">
        <v>1111</v>
      </c>
      <c r="D397" s="22" t="s">
        <v>13</v>
      </c>
      <c r="E397" s="22" t="s">
        <v>29</v>
      </c>
      <c r="F397" s="22" t="s">
        <v>25</v>
      </c>
      <c r="G397" s="22" t="s">
        <v>44</v>
      </c>
      <c r="H397" s="22">
        <v>42</v>
      </c>
      <c r="I397" s="24">
        <v>38712</v>
      </c>
      <c r="J397" s="27">
        <v>734</v>
      </c>
      <c r="K397" s="25">
        <v>0.12</v>
      </c>
      <c r="L397" s="22" t="s">
        <v>45</v>
      </c>
      <c r="M397" s="23" t="s">
        <v>66</v>
      </c>
    </row>
    <row r="398" spans="1:13" x14ac:dyDescent="0.35">
      <c r="A398" s="22" t="s">
        <v>610</v>
      </c>
      <c r="B398" s="22" t="s">
        <v>1487</v>
      </c>
      <c r="C398" s="22" t="s">
        <v>1111</v>
      </c>
      <c r="D398" s="22" t="s">
        <v>13</v>
      </c>
      <c r="E398" s="22" t="s">
        <v>1102</v>
      </c>
      <c r="F398" s="22" t="s">
        <v>15</v>
      </c>
      <c r="G398" s="22" t="s">
        <v>41</v>
      </c>
      <c r="H398" s="22">
        <v>51</v>
      </c>
      <c r="I398" s="24">
        <v>41458</v>
      </c>
      <c r="J398" s="27">
        <v>855</v>
      </c>
      <c r="K398" s="25">
        <v>0.1</v>
      </c>
      <c r="L398" s="22" t="s">
        <v>17</v>
      </c>
      <c r="M398" s="23" t="s">
        <v>40</v>
      </c>
    </row>
    <row r="399" spans="1:13" x14ac:dyDescent="0.35">
      <c r="A399" s="22" t="s">
        <v>611</v>
      </c>
      <c r="B399" s="22" t="s">
        <v>1488</v>
      </c>
      <c r="C399" s="22" t="s">
        <v>50</v>
      </c>
      <c r="D399" s="22" t="s">
        <v>28</v>
      </c>
      <c r="E399" s="22" t="s">
        <v>14</v>
      </c>
      <c r="F399" s="22" t="s">
        <v>15</v>
      </c>
      <c r="G399" s="22" t="s">
        <v>44</v>
      </c>
      <c r="H399" s="22">
        <v>27</v>
      </c>
      <c r="I399" s="24">
        <v>43801</v>
      </c>
      <c r="J399" s="27">
        <v>689</v>
      </c>
      <c r="K399" s="25">
        <v>0</v>
      </c>
      <c r="L399" s="22" t="s">
        <v>45</v>
      </c>
      <c r="M399" s="23" t="s">
        <v>66</v>
      </c>
    </row>
    <row r="400" spans="1:13" x14ac:dyDescent="0.35">
      <c r="A400" s="22" t="s">
        <v>612</v>
      </c>
      <c r="B400" s="22" t="s">
        <v>1489</v>
      </c>
      <c r="C400" s="22" t="s">
        <v>70</v>
      </c>
      <c r="D400" s="22" t="s">
        <v>28</v>
      </c>
      <c r="E400" s="22" t="s">
        <v>29</v>
      </c>
      <c r="F400" s="22" t="s">
        <v>25</v>
      </c>
      <c r="G400" s="22" t="s">
        <v>16</v>
      </c>
      <c r="H400" s="22">
        <v>52</v>
      </c>
      <c r="I400" s="24">
        <v>44375</v>
      </c>
      <c r="J400" s="27">
        <v>903</v>
      </c>
      <c r="K400" s="25">
        <v>0</v>
      </c>
      <c r="L400" s="22" t="s">
        <v>17</v>
      </c>
      <c r="M400" s="23" t="s">
        <v>40</v>
      </c>
    </row>
    <row r="401" spans="1:13" x14ac:dyDescent="0.35">
      <c r="A401" s="22" t="s">
        <v>613</v>
      </c>
      <c r="B401" s="22" t="s">
        <v>1490</v>
      </c>
      <c r="C401" s="22" t="s">
        <v>70</v>
      </c>
      <c r="D401" s="22" t="s">
        <v>28</v>
      </c>
      <c r="E401" s="22" t="s">
        <v>14</v>
      </c>
      <c r="F401" s="22" t="s">
        <v>25</v>
      </c>
      <c r="G401" s="22" t="s">
        <v>21</v>
      </c>
      <c r="H401" s="22">
        <v>58</v>
      </c>
      <c r="I401" s="24">
        <v>40110</v>
      </c>
      <c r="J401" s="27">
        <v>755</v>
      </c>
      <c r="K401" s="25">
        <v>0</v>
      </c>
      <c r="L401" s="22" t="s">
        <v>17</v>
      </c>
      <c r="M401" s="23" t="s">
        <v>22</v>
      </c>
    </row>
    <row r="402" spans="1:13" x14ac:dyDescent="0.35">
      <c r="A402" s="22" t="s">
        <v>614</v>
      </c>
      <c r="B402" s="22" t="s">
        <v>1491</v>
      </c>
      <c r="C402" s="22" t="s">
        <v>36</v>
      </c>
      <c r="D402" s="22" t="s">
        <v>43</v>
      </c>
      <c r="E402" s="22" t="s">
        <v>14</v>
      </c>
      <c r="F402" s="22" t="s">
        <v>15</v>
      </c>
      <c r="G402" s="22" t="s">
        <v>44</v>
      </c>
      <c r="H402" s="22">
        <v>45</v>
      </c>
      <c r="I402" s="24">
        <v>37615</v>
      </c>
      <c r="J402" s="27">
        <v>695</v>
      </c>
      <c r="K402" s="25">
        <v>0.18</v>
      </c>
      <c r="L402" s="22" t="s">
        <v>45</v>
      </c>
      <c r="M402" s="23" t="s">
        <v>46</v>
      </c>
    </row>
    <row r="403" spans="1:13" x14ac:dyDescent="0.35">
      <c r="A403" s="22" t="s">
        <v>615</v>
      </c>
      <c r="B403" s="22" t="s">
        <v>1492</v>
      </c>
      <c r="C403" s="22" t="s">
        <v>53</v>
      </c>
      <c r="D403" s="22" t="s">
        <v>20</v>
      </c>
      <c r="E403" s="22" t="s">
        <v>1102</v>
      </c>
      <c r="F403" s="22" t="s">
        <v>25</v>
      </c>
      <c r="G403" s="22" t="s">
        <v>41</v>
      </c>
      <c r="H403" s="22">
        <v>28</v>
      </c>
      <c r="I403" s="24">
        <v>43828</v>
      </c>
      <c r="J403" s="27">
        <v>624</v>
      </c>
      <c r="K403" s="25">
        <v>0.09</v>
      </c>
      <c r="L403" s="22" t="s">
        <v>17</v>
      </c>
      <c r="M403" s="23" t="s">
        <v>18</v>
      </c>
    </row>
    <row r="404" spans="1:13" x14ac:dyDescent="0.35">
      <c r="A404" s="22" t="s">
        <v>616</v>
      </c>
      <c r="B404" s="22" t="s">
        <v>1493</v>
      </c>
      <c r="C404" s="22" t="s">
        <v>12</v>
      </c>
      <c r="D404" s="22" t="s">
        <v>56</v>
      </c>
      <c r="E404" s="22" t="s">
        <v>33</v>
      </c>
      <c r="F404" s="22" t="s">
        <v>25</v>
      </c>
      <c r="G404" s="22" t="s">
        <v>16</v>
      </c>
      <c r="H404" s="22">
        <v>56</v>
      </c>
      <c r="I404" s="24">
        <v>42449</v>
      </c>
      <c r="J404" s="27">
        <v>985</v>
      </c>
      <c r="K404" s="25">
        <v>0.3</v>
      </c>
      <c r="L404" s="22" t="s">
        <v>17</v>
      </c>
      <c r="M404" s="23" t="s">
        <v>18</v>
      </c>
    </row>
    <row r="405" spans="1:13" x14ac:dyDescent="0.35">
      <c r="A405" s="22" t="s">
        <v>617</v>
      </c>
      <c r="B405" s="22" t="s">
        <v>1494</v>
      </c>
      <c r="C405" s="22" t="s">
        <v>36</v>
      </c>
      <c r="D405" s="22" t="s">
        <v>20</v>
      </c>
      <c r="E405" s="22" t="s">
        <v>1102</v>
      </c>
      <c r="F405" s="22" t="s">
        <v>25</v>
      </c>
      <c r="G405" s="22" t="s">
        <v>16</v>
      </c>
      <c r="H405" s="22">
        <v>32</v>
      </c>
      <c r="I405" s="24">
        <v>43661</v>
      </c>
      <c r="J405" s="27">
        <v>974</v>
      </c>
      <c r="K405" s="25">
        <v>0.16</v>
      </c>
      <c r="L405" s="22" t="s">
        <v>17</v>
      </c>
      <c r="M405" s="23" t="s">
        <v>40</v>
      </c>
    </row>
    <row r="406" spans="1:13" x14ac:dyDescent="0.35">
      <c r="A406" s="22" t="s">
        <v>618</v>
      </c>
      <c r="B406" s="22" t="s">
        <v>1495</v>
      </c>
      <c r="C406" s="22" t="s">
        <v>68</v>
      </c>
      <c r="D406" s="22" t="s">
        <v>20</v>
      </c>
      <c r="E406" s="22" t="s">
        <v>33</v>
      </c>
      <c r="F406" s="22" t="s">
        <v>15</v>
      </c>
      <c r="G406" s="22" t="s">
        <v>44</v>
      </c>
      <c r="H406" s="22">
        <v>58</v>
      </c>
      <c r="I406" s="24">
        <v>34100</v>
      </c>
      <c r="J406" s="27">
        <v>724</v>
      </c>
      <c r="K406" s="25">
        <v>0</v>
      </c>
      <c r="L406" s="22" t="s">
        <v>17</v>
      </c>
      <c r="M406" s="23" t="s">
        <v>26</v>
      </c>
    </row>
    <row r="407" spans="1:13" x14ac:dyDescent="0.35">
      <c r="A407" s="22" t="s">
        <v>619</v>
      </c>
      <c r="B407" s="22" t="s">
        <v>1496</v>
      </c>
      <c r="C407" s="22" t="s">
        <v>53</v>
      </c>
      <c r="D407" s="22" t="s">
        <v>20</v>
      </c>
      <c r="E407" s="22" t="s">
        <v>14</v>
      </c>
      <c r="F407" s="22" t="s">
        <v>15</v>
      </c>
      <c r="G407" s="22" t="s">
        <v>16</v>
      </c>
      <c r="H407" s="22">
        <v>39</v>
      </c>
      <c r="I407" s="24">
        <v>41377</v>
      </c>
      <c r="J407" s="27">
        <v>839</v>
      </c>
      <c r="K407" s="25">
        <v>0.05</v>
      </c>
      <c r="L407" s="22" t="s">
        <v>17</v>
      </c>
      <c r="M407" s="23" t="s">
        <v>54</v>
      </c>
    </row>
    <row r="408" spans="1:13" x14ac:dyDescent="0.35">
      <c r="A408" s="22" t="s">
        <v>620</v>
      </c>
      <c r="B408" s="22" t="s">
        <v>1497</v>
      </c>
      <c r="C408" s="22" t="s">
        <v>57</v>
      </c>
      <c r="D408" s="22" t="s">
        <v>13</v>
      </c>
      <c r="E408" s="22" t="s">
        <v>14</v>
      </c>
      <c r="F408" s="22" t="s">
        <v>15</v>
      </c>
      <c r="G408" s="22" t="s">
        <v>44</v>
      </c>
      <c r="H408" s="22">
        <v>46</v>
      </c>
      <c r="I408" s="24">
        <v>38398</v>
      </c>
      <c r="J408" s="27">
        <v>857</v>
      </c>
      <c r="K408" s="25">
        <v>0</v>
      </c>
      <c r="L408" s="22" t="s">
        <v>45</v>
      </c>
      <c r="M408" s="23" t="s">
        <v>46</v>
      </c>
    </row>
    <row r="409" spans="1:13" x14ac:dyDescent="0.35">
      <c r="A409" s="22" t="s">
        <v>621</v>
      </c>
      <c r="B409" s="22" t="s">
        <v>224</v>
      </c>
      <c r="C409" s="22" t="s">
        <v>57</v>
      </c>
      <c r="D409" s="22" t="s">
        <v>39</v>
      </c>
      <c r="E409" s="22" t="s">
        <v>1102</v>
      </c>
      <c r="F409" s="22" t="s">
        <v>15</v>
      </c>
      <c r="G409" s="22" t="s">
        <v>21</v>
      </c>
      <c r="H409" s="22">
        <v>26</v>
      </c>
      <c r="I409" s="24">
        <v>44163</v>
      </c>
      <c r="J409" s="27">
        <v>752</v>
      </c>
      <c r="K409" s="25">
        <v>0</v>
      </c>
      <c r="L409" s="22" t="s">
        <v>17</v>
      </c>
      <c r="M409" s="23" t="s">
        <v>35</v>
      </c>
    </row>
    <row r="410" spans="1:13" x14ac:dyDescent="0.35">
      <c r="A410" s="22" t="s">
        <v>622</v>
      </c>
      <c r="B410" s="22" t="s">
        <v>1498</v>
      </c>
      <c r="C410" s="22" t="s">
        <v>83</v>
      </c>
      <c r="D410" s="22" t="s">
        <v>28</v>
      </c>
      <c r="E410" s="22" t="s">
        <v>33</v>
      </c>
      <c r="F410" s="22" t="s">
        <v>15</v>
      </c>
      <c r="G410" s="22" t="s">
        <v>21</v>
      </c>
      <c r="H410" s="22">
        <v>36</v>
      </c>
      <c r="I410" s="24">
        <v>43723</v>
      </c>
      <c r="J410" s="27">
        <v>991</v>
      </c>
      <c r="K410" s="25">
        <v>0</v>
      </c>
      <c r="L410" s="22" t="s">
        <v>30</v>
      </c>
      <c r="M410" s="23" t="s">
        <v>61</v>
      </c>
    </row>
    <row r="411" spans="1:13" x14ac:dyDescent="0.35">
      <c r="A411" s="22" t="s">
        <v>623</v>
      </c>
      <c r="B411" s="22" t="s">
        <v>1499</v>
      </c>
      <c r="C411" s="22" t="s">
        <v>34</v>
      </c>
      <c r="D411" s="22" t="s">
        <v>24</v>
      </c>
      <c r="E411" s="22" t="s">
        <v>29</v>
      </c>
      <c r="F411" s="22" t="s">
        <v>25</v>
      </c>
      <c r="G411" s="22" t="s">
        <v>21</v>
      </c>
      <c r="H411" s="22">
        <v>43</v>
      </c>
      <c r="I411" s="24">
        <v>43736</v>
      </c>
      <c r="J411" s="27">
        <v>667</v>
      </c>
      <c r="K411" s="25">
        <v>0</v>
      </c>
      <c r="L411" s="22" t="s">
        <v>17</v>
      </c>
      <c r="M411" s="23" t="s">
        <v>22</v>
      </c>
    </row>
    <row r="412" spans="1:13" x14ac:dyDescent="0.35">
      <c r="A412" s="22" t="s">
        <v>624</v>
      </c>
      <c r="B412" s="22" t="s">
        <v>1500</v>
      </c>
      <c r="C412" s="22" t="s">
        <v>36</v>
      </c>
      <c r="D412" s="22" t="s">
        <v>20</v>
      </c>
      <c r="E412" s="22" t="s">
        <v>29</v>
      </c>
      <c r="F412" s="22" t="s">
        <v>15</v>
      </c>
      <c r="G412" s="22" t="s">
        <v>21</v>
      </c>
      <c r="H412" s="22">
        <v>45</v>
      </c>
      <c r="I412" s="24">
        <v>39535</v>
      </c>
      <c r="J412" s="27">
        <v>687</v>
      </c>
      <c r="K412" s="25">
        <v>0.25</v>
      </c>
      <c r="L412" s="22" t="s">
        <v>30</v>
      </c>
      <c r="M412" s="23" t="s">
        <v>31</v>
      </c>
    </row>
    <row r="413" spans="1:13" x14ac:dyDescent="0.35">
      <c r="A413" s="22" t="s">
        <v>625</v>
      </c>
      <c r="B413" s="22" t="s">
        <v>1501</v>
      </c>
      <c r="C413" s="22" t="s">
        <v>62</v>
      </c>
      <c r="D413" s="22" t="s">
        <v>24</v>
      </c>
      <c r="E413" s="22" t="s">
        <v>29</v>
      </c>
      <c r="F413" s="22" t="s">
        <v>15</v>
      </c>
      <c r="G413" s="22" t="s">
        <v>21</v>
      </c>
      <c r="H413" s="22">
        <v>65</v>
      </c>
      <c r="I413" s="24">
        <v>37466</v>
      </c>
      <c r="J413" s="27">
        <v>904</v>
      </c>
      <c r="K413" s="25">
        <v>0</v>
      </c>
      <c r="L413" s="22" t="s">
        <v>30</v>
      </c>
      <c r="M413" s="23" t="s">
        <v>52</v>
      </c>
    </row>
    <row r="414" spans="1:13" x14ac:dyDescent="0.35">
      <c r="A414" s="22" t="s">
        <v>626</v>
      </c>
      <c r="B414" s="22" t="s">
        <v>1502</v>
      </c>
      <c r="C414" s="22" t="s">
        <v>23</v>
      </c>
      <c r="D414" s="22" t="s">
        <v>24</v>
      </c>
      <c r="E414" s="22" t="s">
        <v>33</v>
      </c>
      <c r="F414" s="22" t="s">
        <v>25</v>
      </c>
      <c r="G414" s="22" t="s">
        <v>16</v>
      </c>
      <c r="H414" s="22">
        <v>34</v>
      </c>
      <c r="I414" s="24">
        <v>44344</v>
      </c>
      <c r="J414" s="27">
        <v>970</v>
      </c>
      <c r="K414" s="25">
        <v>0</v>
      </c>
      <c r="L414" s="22" t="s">
        <v>17</v>
      </c>
      <c r="M414" s="23" t="s">
        <v>22</v>
      </c>
    </row>
    <row r="415" spans="1:13" x14ac:dyDescent="0.35">
      <c r="A415" s="22" t="s">
        <v>107</v>
      </c>
      <c r="B415" s="22" t="s">
        <v>1503</v>
      </c>
      <c r="C415" s="22" t="s">
        <v>57</v>
      </c>
      <c r="D415" s="22" t="s">
        <v>43</v>
      </c>
      <c r="E415" s="22" t="s">
        <v>33</v>
      </c>
      <c r="F415" s="22" t="s">
        <v>25</v>
      </c>
      <c r="G415" s="22" t="s">
        <v>16</v>
      </c>
      <c r="H415" s="22">
        <v>52</v>
      </c>
      <c r="I415" s="24">
        <v>37347</v>
      </c>
      <c r="J415" s="27">
        <v>850</v>
      </c>
      <c r="K415" s="25">
        <v>0</v>
      </c>
      <c r="L415" s="22" t="s">
        <v>17</v>
      </c>
      <c r="M415" s="23" t="s">
        <v>54</v>
      </c>
    </row>
    <row r="416" spans="1:13" x14ac:dyDescent="0.35">
      <c r="A416" s="22" t="s">
        <v>627</v>
      </c>
      <c r="B416" s="22" t="s">
        <v>1504</v>
      </c>
      <c r="C416" s="22" t="s">
        <v>1111</v>
      </c>
      <c r="D416" s="22" t="s">
        <v>39</v>
      </c>
      <c r="E416" s="22" t="s">
        <v>29</v>
      </c>
      <c r="F416" s="22" t="s">
        <v>15</v>
      </c>
      <c r="G416" s="22" t="s">
        <v>44</v>
      </c>
      <c r="H416" s="22">
        <v>39</v>
      </c>
      <c r="I416" s="24">
        <v>41317</v>
      </c>
      <c r="J416" s="27">
        <v>967</v>
      </c>
      <c r="K416" s="25">
        <v>0.13</v>
      </c>
      <c r="L416" s="22" t="s">
        <v>45</v>
      </c>
      <c r="M416" s="23" t="s">
        <v>46</v>
      </c>
    </row>
    <row r="417" spans="1:13" x14ac:dyDescent="0.35">
      <c r="A417" s="22" t="s">
        <v>192</v>
      </c>
      <c r="B417" s="22" t="s">
        <v>1505</v>
      </c>
      <c r="C417" s="22" t="s">
        <v>55</v>
      </c>
      <c r="D417" s="22" t="s">
        <v>56</v>
      </c>
      <c r="E417" s="22" t="s">
        <v>29</v>
      </c>
      <c r="F417" s="22" t="s">
        <v>15</v>
      </c>
      <c r="G417" s="22" t="s">
        <v>21</v>
      </c>
      <c r="H417" s="22">
        <v>57</v>
      </c>
      <c r="I417" s="24">
        <v>34102</v>
      </c>
      <c r="J417" s="27">
        <v>911</v>
      </c>
      <c r="K417" s="25">
        <v>0</v>
      </c>
      <c r="L417" s="22" t="s">
        <v>17</v>
      </c>
      <c r="M417" s="23" t="s">
        <v>22</v>
      </c>
    </row>
    <row r="418" spans="1:13" x14ac:dyDescent="0.35">
      <c r="A418" s="22" t="s">
        <v>628</v>
      </c>
      <c r="B418" s="22" t="s">
        <v>1506</v>
      </c>
      <c r="C418" s="22" t="s">
        <v>1111</v>
      </c>
      <c r="D418" s="22" t="s">
        <v>39</v>
      </c>
      <c r="E418" s="22" t="s">
        <v>1102</v>
      </c>
      <c r="F418" s="22" t="s">
        <v>25</v>
      </c>
      <c r="G418" s="22" t="s">
        <v>44</v>
      </c>
      <c r="H418" s="22">
        <v>63</v>
      </c>
      <c r="I418" s="24">
        <v>35781</v>
      </c>
      <c r="J418" s="27">
        <v>641</v>
      </c>
      <c r="K418" s="25">
        <v>0.1</v>
      </c>
      <c r="L418" s="22" t="s">
        <v>45</v>
      </c>
      <c r="M418" s="23" t="s">
        <v>66</v>
      </c>
    </row>
    <row r="419" spans="1:13" x14ac:dyDescent="0.35">
      <c r="A419" s="22" t="s">
        <v>629</v>
      </c>
      <c r="B419" s="22" t="s">
        <v>1507</v>
      </c>
      <c r="C419" s="22" t="s">
        <v>1111</v>
      </c>
      <c r="D419" s="22" t="s">
        <v>39</v>
      </c>
      <c r="E419" s="22" t="s">
        <v>14</v>
      </c>
      <c r="F419" s="22" t="s">
        <v>15</v>
      </c>
      <c r="G419" s="22" t="s">
        <v>21</v>
      </c>
      <c r="H419" s="22">
        <v>32</v>
      </c>
      <c r="I419" s="24">
        <v>42727</v>
      </c>
      <c r="J419" s="27">
        <v>629</v>
      </c>
      <c r="K419" s="25">
        <v>0.13</v>
      </c>
      <c r="L419" s="22" t="s">
        <v>17</v>
      </c>
      <c r="M419" s="23" t="s">
        <v>40</v>
      </c>
    </row>
    <row r="420" spans="1:13" x14ac:dyDescent="0.35">
      <c r="A420" s="22" t="s">
        <v>93</v>
      </c>
      <c r="B420" s="22" t="s">
        <v>1508</v>
      </c>
      <c r="C420" s="22" t="s">
        <v>74</v>
      </c>
      <c r="D420" s="22" t="s">
        <v>43</v>
      </c>
      <c r="E420" s="22" t="s">
        <v>14</v>
      </c>
      <c r="F420" s="22" t="s">
        <v>15</v>
      </c>
      <c r="G420" s="22" t="s">
        <v>21</v>
      </c>
      <c r="H420" s="22">
        <v>51</v>
      </c>
      <c r="I420" s="24">
        <v>43378</v>
      </c>
      <c r="J420" s="27">
        <v>585</v>
      </c>
      <c r="K420" s="25">
        <v>0</v>
      </c>
      <c r="L420" s="22" t="s">
        <v>30</v>
      </c>
      <c r="M420" s="23" t="s">
        <v>31</v>
      </c>
    </row>
    <row r="421" spans="1:13" x14ac:dyDescent="0.35">
      <c r="A421" s="22" t="s">
        <v>162</v>
      </c>
      <c r="B421" s="22" t="s">
        <v>1509</v>
      </c>
      <c r="C421" s="22" t="s">
        <v>57</v>
      </c>
      <c r="D421" s="22" t="s">
        <v>56</v>
      </c>
      <c r="E421" s="22" t="s">
        <v>14</v>
      </c>
      <c r="F421" s="22" t="s">
        <v>25</v>
      </c>
      <c r="G421" s="22" t="s">
        <v>41</v>
      </c>
      <c r="H421" s="22">
        <v>38</v>
      </c>
      <c r="I421" s="24">
        <v>43082</v>
      </c>
      <c r="J421" s="27">
        <v>907</v>
      </c>
      <c r="K421" s="25">
        <v>0</v>
      </c>
      <c r="L421" s="22" t="s">
        <v>17</v>
      </c>
      <c r="M421" s="23" t="s">
        <v>35</v>
      </c>
    </row>
    <row r="422" spans="1:13" x14ac:dyDescent="0.35">
      <c r="A422" s="22" t="s">
        <v>630</v>
      </c>
      <c r="B422" s="22" t="s">
        <v>1510</v>
      </c>
      <c r="C422" s="22" t="s">
        <v>36</v>
      </c>
      <c r="D422" s="22" t="s">
        <v>13</v>
      </c>
      <c r="E422" s="22" t="s">
        <v>14</v>
      </c>
      <c r="F422" s="22" t="s">
        <v>25</v>
      </c>
      <c r="G422" s="22" t="s">
        <v>21</v>
      </c>
      <c r="H422" s="22">
        <v>53</v>
      </c>
      <c r="I422" s="24">
        <v>43207</v>
      </c>
      <c r="J422" s="27">
        <v>930</v>
      </c>
      <c r="K422" s="25">
        <v>0.26</v>
      </c>
      <c r="L422" s="22" t="s">
        <v>30</v>
      </c>
      <c r="M422" s="23" t="s">
        <v>65</v>
      </c>
    </row>
    <row r="423" spans="1:13" x14ac:dyDescent="0.35">
      <c r="A423" s="22" t="s">
        <v>631</v>
      </c>
      <c r="B423" s="22" t="s">
        <v>1511</v>
      </c>
      <c r="C423" s="22" t="s">
        <v>83</v>
      </c>
      <c r="D423" s="22" t="s">
        <v>28</v>
      </c>
      <c r="E423" s="22" t="s">
        <v>1102</v>
      </c>
      <c r="F423" s="22" t="s">
        <v>15</v>
      </c>
      <c r="G423" s="22" t="s">
        <v>44</v>
      </c>
      <c r="H423" s="22">
        <v>59</v>
      </c>
      <c r="I423" s="24">
        <v>34175</v>
      </c>
      <c r="J423" s="27">
        <v>619</v>
      </c>
      <c r="K423" s="25">
        <v>0</v>
      </c>
      <c r="L423" s="22" t="s">
        <v>17</v>
      </c>
      <c r="M423" s="23" t="s">
        <v>35</v>
      </c>
    </row>
    <row r="424" spans="1:13" x14ac:dyDescent="0.35">
      <c r="A424" s="22" t="s">
        <v>632</v>
      </c>
      <c r="B424" s="22" t="s">
        <v>1512</v>
      </c>
      <c r="C424" s="22" t="s">
        <v>83</v>
      </c>
      <c r="D424" s="22" t="s">
        <v>28</v>
      </c>
      <c r="E424" s="22" t="s">
        <v>1102</v>
      </c>
      <c r="F424" s="22" t="s">
        <v>25</v>
      </c>
      <c r="G424" s="22" t="s">
        <v>16</v>
      </c>
      <c r="H424" s="22">
        <v>57</v>
      </c>
      <c r="I424" s="24">
        <v>36252</v>
      </c>
      <c r="J424" s="27">
        <v>609</v>
      </c>
      <c r="K424" s="25">
        <v>0</v>
      </c>
      <c r="L424" s="22" t="s">
        <v>17</v>
      </c>
      <c r="M424" s="23" t="s">
        <v>40</v>
      </c>
    </row>
    <row r="425" spans="1:13" x14ac:dyDescent="0.35">
      <c r="A425" s="22" t="s">
        <v>633</v>
      </c>
      <c r="B425" s="22" t="s">
        <v>1513</v>
      </c>
      <c r="C425" s="22" t="s">
        <v>38</v>
      </c>
      <c r="D425" s="22" t="s">
        <v>56</v>
      </c>
      <c r="E425" s="22" t="s">
        <v>29</v>
      </c>
      <c r="F425" s="22" t="s">
        <v>25</v>
      </c>
      <c r="G425" s="22" t="s">
        <v>16</v>
      </c>
      <c r="H425" s="22">
        <v>41</v>
      </c>
      <c r="I425" s="24">
        <v>43745</v>
      </c>
      <c r="J425" s="27">
        <v>996</v>
      </c>
      <c r="K425" s="25">
        <v>0</v>
      </c>
      <c r="L425" s="22" t="s">
        <v>17</v>
      </c>
      <c r="M425" s="23" t="s">
        <v>22</v>
      </c>
    </row>
    <row r="426" spans="1:13" x14ac:dyDescent="0.35">
      <c r="A426" s="22" t="s">
        <v>634</v>
      </c>
      <c r="B426" s="22" t="s">
        <v>1514</v>
      </c>
      <c r="C426" s="22" t="s">
        <v>51</v>
      </c>
      <c r="D426" s="22" t="s">
        <v>28</v>
      </c>
      <c r="E426" s="22" t="s">
        <v>14</v>
      </c>
      <c r="F426" s="22" t="s">
        <v>15</v>
      </c>
      <c r="G426" s="22" t="s">
        <v>16</v>
      </c>
      <c r="H426" s="22">
        <v>33</v>
      </c>
      <c r="I426" s="24">
        <v>44145</v>
      </c>
      <c r="J426" s="27">
        <v>541</v>
      </c>
      <c r="K426" s="25">
        <v>0</v>
      </c>
      <c r="L426" s="22" t="s">
        <v>17</v>
      </c>
      <c r="M426" s="23" t="s">
        <v>35</v>
      </c>
    </row>
    <row r="427" spans="1:13" x14ac:dyDescent="0.35">
      <c r="A427" s="22" t="s">
        <v>249</v>
      </c>
      <c r="B427" s="22" t="s">
        <v>1515</v>
      </c>
      <c r="C427" s="22" t="s">
        <v>72</v>
      </c>
      <c r="D427" s="22" t="s">
        <v>24</v>
      </c>
      <c r="E427" s="22" t="s">
        <v>14</v>
      </c>
      <c r="F427" s="22" t="s">
        <v>25</v>
      </c>
      <c r="G427" s="22" t="s">
        <v>41</v>
      </c>
      <c r="H427" s="22">
        <v>35</v>
      </c>
      <c r="I427" s="24">
        <v>41507</v>
      </c>
      <c r="J427" s="27">
        <v>510</v>
      </c>
      <c r="K427" s="25">
        <v>0</v>
      </c>
      <c r="L427" s="22" t="s">
        <v>17</v>
      </c>
      <c r="M427" s="23" t="s">
        <v>18</v>
      </c>
    </row>
    <row r="428" spans="1:13" x14ac:dyDescent="0.35">
      <c r="A428" s="22" t="s">
        <v>255</v>
      </c>
      <c r="B428" s="22" t="s">
        <v>1516</v>
      </c>
      <c r="C428" s="22" t="s">
        <v>51</v>
      </c>
      <c r="D428" s="22" t="s">
        <v>28</v>
      </c>
      <c r="E428" s="22" t="s">
        <v>14</v>
      </c>
      <c r="F428" s="22" t="s">
        <v>25</v>
      </c>
      <c r="G428" s="22" t="s">
        <v>21</v>
      </c>
      <c r="H428" s="22">
        <v>36</v>
      </c>
      <c r="I428" s="24">
        <v>43801</v>
      </c>
      <c r="J428" s="27">
        <v>576</v>
      </c>
      <c r="K428" s="25">
        <v>0</v>
      </c>
      <c r="L428" s="22" t="s">
        <v>17</v>
      </c>
      <c r="M428" s="23" t="s">
        <v>54</v>
      </c>
    </row>
    <row r="429" spans="1:13" x14ac:dyDescent="0.35">
      <c r="A429" s="22" t="s">
        <v>635</v>
      </c>
      <c r="B429" s="22" t="s">
        <v>1517</v>
      </c>
      <c r="C429" s="22" t="s">
        <v>32</v>
      </c>
      <c r="D429" s="22" t="s">
        <v>24</v>
      </c>
      <c r="E429" s="22" t="s">
        <v>14</v>
      </c>
      <c r="F429" s="22" t="s">
        <v>25</v>
      </c>
      <c r="G429" s="22" t="s">
        <v>16</v>
      </c>
      <c r="H429" s="22">
        <v>54</v>
      </c>
      <c r="I429" s="24">
        <v>39248</v>
      </c>
      <c r="J429" s="27">
        <v>630</v>
      </c>
      <c r="K429" s="25">
        <v>0</v>
      </c>
      <c r="L429" s="22" t="s">
        <v>17</v>
      </c>
      <c r="M429" s="23" t="s">
        <v>26</v>
      </c>
    </row>
    <row r="430" spans="1:13" x14ac:dyDescent="0.35">
      <c r="A430" s="22" t="s">
        <v>636</v>
      </c>
      <c r="B430" s="22" t="s">
        <v>1518</v>
      </c>
      <c r="C430" s="22" t="s">
        <v>53</v>
      </c>
      <c r="D430" s="22" t="s">
        <v>24</v>
      </c>
      <c r="E430" s="22" t="s">
        <v>14</v>
      </c>
      <c r="F430" s="22" t="s">
        <v>15</v>
      </c>
      <c r="G430" s="22" t="s">
        <v>21</v>
      </c>
      <c r="H430" s="22">
        <v>55</v>
      </c>
      <c r="I430" s="24">
        <v>39107</v>
      </c>
      <c r="J430" s="27">
        <v>622</v>
      </c>
      <c r="K430" s="25">
        <v>0.08</v>
      </c>
      <c r="L430" s="22" t="s">
        <v>17</v>
      </c>
      <c r="M430" s="23" t="s">
        <v>22</v>
      </c>
    </row>
    <row r="431" spans="1:13" x14ac:dyDescent="0.35">
      <c r="A431" s="22" t="s">
        <v>637</v>
      </c>
      <c r="B431" s="22" t="s">
        <v>1519</v>
      </c>
      <c r="C431" s="22" t="s">
        <v>76</v>
      </c>
      <c r="D431" s="22" t="s">
        <v>28</v>
      </c>
      <c r="E431" s="22" t="s">
        <v>1102</v>
      </c>
      <c r="F431" s="22" t="s">
        <v>25</v>
      </c>
      <c r="G431" s="22" t="s">
        <v>21</v>
      </c>
      <c r="H431" s="22">
        <v>38</v>
      </c>
      <c r="I431" s="24">
        <v>39685</v>
      </c>
      <c r="J431" s="27">
        <v>564</v>
      </c>
      <c r="K431" s="25">
        <v>0.15</v>
      </c>
      <c r="L431" s="22" t="s">
        <v>17</v>
      </c>
      <c r="M431" s="23" t="s">
        <v>26</v>
      </c>
    </row>
    <row r="432" spans="1:13" x14ac:dyDescent="0.35">
      <c r="A432" s="22" t="s">
        <v>638</v>
      </c>
      <c r="B432" s="22" t="s">
        <v>1520</v>
      </c>
      <c r="C432" s="22" t="s">
        <v>50</v>
      </c>
      <c r="D432" s="22" t="s">
        <v>28</v>
      </c>
      <c r="E432" s="22" t="s">
        <v>14</v>
      </c>
      <c r="F432" s="22" t="s">
        <v>25</v>
      </c>
      <c r="G432" s="22" t="s">
        <v>44</v>
      </c>
      <c r="H432" s="22">
        <v>45</v>
      </c>
      <c r="I432" s="24">
        <v>42788</v>
      </c>
      <c r="J432" s="27">
        <v>679</v>
      </c>
      <c r="K432" s="25">
        <v>0</v>
      </c>
      <c r="L432" s="22" t="s">
        <v>45</v>
      </c>
      <c r="M432" s="23" t="s">
        <v>66</v>
      </c>
    </row>
    <row r="433" spans="1:13" x14ac:dyDescent="0.35">
      <c r="A433" s="22" t="s">
        <v>639</v>
      </c>
      <c r="B433" s="22" t="s">
        <v>1521</v>
      </c>
      <c r="C433" s="22" t="s">
        <v>12</v>
      </c>
      <c r="D433" s="22" t="s">
        <v>28</v>
      </c>
      <c r="E433" s="22" t="s">
        <v>33</v>
      </c>
      <c r="F433" s="22" t="s">
        <v>15</v>
      </c>
      <c r="G433" s="22" t="s">
        <v>16</v>
      </c>
      <c r="H433" s="22">
        <v>53</v>
      </c>
      <c r="I433" s="24">
        <v>39314</v>
      </c>
      <c r="J433" s="27">
        <v>632</v>
      </c>
      <c r="K433" s="25">
        <v>0.33</v>
      </c>
      <c r="L433" s="22" t="s">
        <v>17</v>
      </c>
      <c r="M433" s="23" t="s">
        <v>22</v>
      </c>
    </row>
    <row r="434" spans="1:13" x14ac:dyDescent="0.35">
      <c r="A434" s="22" t="s">
        <v>640</v>
      </c>
      <c r="B434" s="22" t="s">
        <v>1522</v>
      </c>
      <c r="C434" s="22" t="s">
        <v>53</v>
      </c>
      <c r="D434" s="22" t="s">
        <v>43</v>
      </c>
      <c r="E434" s="22" t="s">
        <v>1102</v>
      </c>
      <c r="F434" s="22" t="s">
        <v>25</v>
      </c>
      <c r="G434" s="22" t="s">
        <v>21</v>
      </c>
      <c r="H434" s="22">
        <v>45</v>
      </c>
      <c r="I434" s="24">
        <v>42878</v>
      </c>
      <c r="J434" s="27">
        <v>683</v>
      </c>
      <c r="K434" s="25">
        <v>0.06</v>
      </c>
      <c r="L434" s="22" t="s">
        <v>30</v>
      </c>
      <c r="M434" s="23" t="s">
        <v>31</v>
      </c>
    </row>
    <row r="435" spans="1:13" x14ac:dyDescent="0.35">
      <c r="A435" s="22" t="s">
        <v>641</v>
      </c>
      <c r="B435" s="22" t="s">
        <v>1523</v>
      </c>
      <c r="C435" s="22" t="s">
        <v>47</v>
      </c>
      <c r="D435" s="22" t="s">
        <v>24</v>
      </c>
      <c r="E435" s="22" t="s">
        <v>1102</v>
      </c>
      <c r="F435" s="22" t="s">
        <v>25</v>
      </c>
      <c r="G435" s="22" t="s">
        <v>44</v>
      </c>
      <c r="H435" s="22">
        <v>65</v>
      </c>
      <c r="I435" s="24">
        <v>42580</v>
      </c>
      <c r="J435" s="27">
        <v>959</v>
      </c>
      <c r="K435" s="25">
        <v>0</v>
      </c>
      <c r="L435" s="22" t="s">
        <v>45</v>
      </c>
      <c r="M435" s="23" t="s">
        <v>1134</v>
      </c>
    </row>
    <row r="436" spans="1:13" x14ac:dyDescent="0.35">
      <c r="A436" s="22" t="s">
        <v>642</v>
      </c>
      <c r="B436" s="22" t="s">
        <v>1524</v>
      </c>
      <c r="C436" s="22" t="s">
        <v>19</v>
      </c>
      <c r="D436" s="22" t="s">
        <v>20</v>
      </c>
      <c r="E436" s="22" t="s">
        <v>14</v>
      </c>
      <c r="F436" s="22" t="s">
        <v>25</v>
      </c>
      <c r="G436" s="22" t="s">
        <v>44</v>
      </c>
      <c r="H436" s="22">
        <v>62</v>
      </c>
      <c r="I436" s="24">
        <v>43433</v>
      </c>
      <c r="J436" s="27">
        <v>820</v>
      </c>
      <c r="K436" s="25">
        <v>0</v>
      </c>
      <c r="L436" s="22" t="s">
        <v>45</v>
      </c>
      <c r="M436" s="23" t="s">
        <v>66</v>
      </c>
    </row>
    <row r="437" spans="1:13" x14ac:dyDescent="0.35">
      <c r="A437" s="22" t="s">
        <v>643</v>
      </c>
      <c r="B437" s="22" t="s">
        <v>1525</v>
      </c>
      <c r="C437" s="22" t="s">
        <v>83</v>
      </c>
      <c r="D437" s="22" t="s">
        <v>28</v>
      </c>
      <c r="E437" s="22" t="s">
        <v>33</v>
      </c>
      <c r="F437" s="22" t="s">
        <v>25</v>
      </c>
      <c r="G437" s="22" t="s">
        <v>21</v>
      </c>
      <c r="H437" s="22">
        <v>59</v>
      </c>
      <c r="I437" s="24">
        <v>38023</v>
      </c>
      <c r="J437" s="27">
        <v>898</v>
      </c>
      <c r="K437" s="25">
        <v>0</v>
      </c>
      <c r="L437" s="22" t="s">
        <v>30</v>
      </c>
      <c r="M437" s="23" t="s">
        <v>61</v>
      </c>
    </row>
    <row r="438" spans="1:13" x14ac:dyDescent="0.35">
      <c r="A438" s="22" t="s">
        <v>644</v>
      </c>
      <c r="B438" s="22" t="s">
        <v>1526</v>
      </c>
      <c r="C438" s="22" t="s">
        <v>34</v>
      </c>
      <c r="D438" s="22" t="s">
        <v>24</v>
      </c>
      <c r="E438" s="22" t="s">
        <v>33</v>
      </c>
      <c r="F438" s="22" t="s">
        <v>15</v>
      </c>
      <c r="G438" s="22" t="s">
        <v>16</v>
      </c>
      <c r="H438" s="22">
        <v>42</v>
      </c>
      <c r="I438" s="24">
        <v>44024</v>
      </c>
      <c r="J438" s="27">
        <v>527</v>
      </c>
      <c r="K438" s="25">
        <v>0</v>
      </c>
      <c r="L438" s="22" t="s">
        <v>17</v>
      </c>
      <c r="M438" s="23" t="s">
        <v>22</v>
      </c>
    </row>
    <row r="439" spans="1:13" x14ac:dyDescent="0.35">
      <c r="A439" s="22" t="s">
        <v>645</v>
      </c>
      <c r="B439" s="22" t="s">
        <v>1527</v>
      </c>
      <c r="C439" s="22" t="s">
        <v>34</v>
      </c>
      <c r="D439" s="22" t="s">
        <v>24</v>
      </c>
      <c r="E439" s="22" t="s">
        <v>14</v>
      </c>
      <c r="F439" s="22" t="s">
        <v>15</v>
      </c>
      <c r="G439" s="22" t="s">
        <v>21</v>
      </c>
      <c r="H439" s="22">
        <v>33</v>
      </c>
      <c r="I439" s="24">
        <v>42081</v>
      </c>
      <c r="J439" s="27">
        <v>931</v>
      </c>
      <c r="K439" s="25">
        <v>0</v>
      </c>
      <c r="L439" s="22" t="s">
        <v>30</v>
      </c>
      <c r="M439" s="23" t="s">
        <v>65</v>
      </c>
    </row>
    <row r="440" spans="1:13" x14ac:dyDescent="0.35">
      <c r="A440" s="22" t="s">
        <v>242</v>
      </c>
      <c r="B440" s="22" t="s">
        <v>1528</v>
      </c>
      <c r="C440" s="22" t="s">
        <v>57</v>
      </c>
      <c r="D440" s="22" t="s">
        <v>56</v>
      </c>
      <c r="E440" s="22" t="s">
        <v>29</v>
      </c>
      <c r="F440" s="22" t="s">
        <v>25</v>
      </c>
      <c r="G440" s="22" t="s">
        <v>21</v>
      </c>
      <c r="H440" s="22">
        <v>29</v>
      </c>
      <c r="I440" s="24">
        <v>43337</v>
      </c>
      <c r="J440" s="27">
        <v>603</v>
      </c>
      <c r="K440" s="25">
        <v>0</v>
      </c>
      <c r="L440" s="22" t="s">
        <v>17</v>
      </c>
      <c r="M440" s="23" t="s">
        <v>18</v>
      </c>
    </row>
    <row r="441" spans="1:13" x14ac:dyDescent="0.35">
      <c r="A441" s="22" t="s">
        <v>646</v>
      </c>
      <c r="B441" s="22" t="s">
        <v>1529</v>
      </c>
      <c r="C441" s="22" t="s">
        <v>59</v>
      </c>
      <c r="D441" s="22" t="s">
        <v>24</v>
      </c>
      <c r="E441" s="22" t="s">
        <v>29</v>
      </c>
      <c r="F441" s="22" t="s">
        <v>25</v>
      </c>
      <c r="G441" s="22" t="s">
        <v>44</v>
      </c>
      <c r="H441" s="22">
        <v>33</v>
      </c>
      <c r="I441" s="24">
        <v>44736</v>
      </c>
      <c r="J441" s="27">
        <v>840</v>
      </c>
      <c r="K441" s="25">
        <v>0</v>
      </c>
      <c r="L441" s="22" t="s">
        <v>45</v>
      </c>
      <c r="M441" s="23" t="s">
        <v>1134</v>
      </c>
    </row>
    <row r="442" spans="1:13" x14ac:dyDescent="0.35">
      <c r="A442" s="22" t="s">
        <v>647</v>
      </c>
      <c r="B442" s="22" t="s">
        <v>1530</v>
      </c>
      <c r="C442" s="22" t="s">
        <v>36</v>
      </c>
      <c r="D442" s="22" t="s">
        <v>43</v>
      </c>
      <c r="E442" s="22" t="s">
        <v>33</v>
      </c>
      <c r="F442" s="22" t="s">
        <v>15</v>
      </c>
      <c r="G442" s="22" t="s">
        <v>21</v>
      </c>
      <c r="H442" s="22">
        <v>36</v>
      </c>
      <c r="I442" s="24">
        <v>42138</v>
      </c>
      <c r="J442" s="27">
        <v>567</v>
      </c>
      <c r="K442" s="25">
        <v>0.19</v>
      </c>
      <c r="L442" s="22" t="s">
        <v>17</v>
      </c>
      <c r="M442" s="23" t="s">
        <v>26</v>
      </c>
    </row>
    <row r="443" spans="1:13" x14ac:dyDescent="0.35">
      <c r="A443" s="22" t="s">
        <v>648</v>
      </c>
      <c r="B443" s="22" t="s">
        <v>1531</v>
      </c>
      <c r="C443" s="22" t="s">
        <v>59</v>
      </c>
      <c r="D443" s="22" t="s">
        <v>24</v>
      </c>
      <c r="E443" s="22" t="s">
        <v>14</v>
      </c>
      <c r="F443" s="22" t="s">
        <v>25</v>
      </c>
      <c r="G443" s="22" t="s">
        <v>21</v>
      </c>
      <c r="H443" s="22">
        <v>43</v>
      </c>
      <c r="I443" s="24">
        <v>43917</v>
      </c>
      <c r="J443" s="27">
        <v>602</v>
      </c>
      <c r="K443" s="25">
        <v>0</v>
      </c>
      <c r="L443" s="22" t="s">
        <v>17</v>
      </c>
      <c r="M443" s="23" t="s">
        <v>26</v>
      </c>
    </row>
    <row r="444" spans="1:13" x14ac:dyDescent="0.35">
      <c r="A444" s="22" t="s">
        <v>649</v>
      </c>
      <c r="B444" s="22" t="s">
        <v>1532</v>
      </c>
      <c r="C444" s="22" t="s">
        <v>19</v>
      </c>
      <c r="D444" s="22" t="s">
        <v>20</v>
      </c>
      <c r="E444" s="22" t="s">
        <v>14</v>
      </c>
      <c r="F444" s="22" t="s">
        <v>15</v>
      </c>
      <c r="G444" s="22" t="s">
        <v>21</v>
      </c>
      <c r="H444" s="22">
        <v>51</v>
      </c>
      <c r="I444" s="24">
        <v>40601</v>
      </c>
      <c r="J444" s="27">
        <v>665</v>
      </c>
      <c r="K444" s="25">
        <v>0</v>
      </c>
      <c r="L444" s="22" t="s">
        <v>17</v>
      </c>
      <c r="M444" s="23" t="s">
        <v>22</v>
      </c>
    </row>
    <row r="445" spans="1:13" x14ac:dyDescent="0.35">
      <c r="A445" s="22" t="s">
        <v>650</v>
      </c>
      <c r="B445" s="22" t="s">
        <v>1533</v>
      </c>
      <c r="C445" s="22" t="s">
        <v>58</v>
      </c>
      <c r="D445" s="22" t="s">
        <v>28</v>
      </c>
      <c r="E445" s="22" t="s">
        <v>29</v>
      </c>
      <c r="F445" s="22" t="s">
        <v>25</v>
      </c>
      <c r="G445" s="22" t="s">
        <v>21</v>
      </c>
      <c r="H445" s="22">
        <v>27</v>
      </c>
      <c r="I445" s="24">
        <v>44217</v>
      </c>
      <c r="J445" s="27">
        <v>918</v>
      </c>
      <c r="K445" s="25">
        <v>0</v>
      </c>
      <c r="L445" s="22" t="s">
        <v>17</v>
      </c>
      <c r="M445" s="23" t="s">
        <v>18</v>
      </c>
    </row>
    <row r="446" spans="1:13" x14ac:dyDescent="0.35">
      <c r="A446" s="22" t="s">
        <v>651</v>
      </c>
      <c r="B446" s="22" t="s">
        <v>1534</v>
      </c>
      <c r="C446" s="22" t="s">
        <v>34</v>
      </c>
      <c r="D446" s="22" t="s">
        <v>24</v>
      </c>
      <c r="E446" s="22" t="s">
        <v>14</v>
      </c>
      <c r="F446" s="22" t="s">
        <v>15</v>
      </c>
      <c r="G446" s="22" t="s">
        <v>16</v>
      </c>
      <c r="H446" s="22">
        <v>55</v>
      </c>
      <c r="I446" s="24">
        <v>40870</v>
      </c>
      <c r="J446" s="27">
        <v>523</v>
      </c>
      <c r="K446" s="25">
        <v>0</v>
      </c>
      <c r="L446" s="22" t="s">
        <v>17</v>
      </c>
      <c r="M446" s="23" t="s">
        <v>35</v>
      </c>
    </row>
    <row r="447" spans="1:13" x14ac:dyDescent="0.35">
      <c r="A447" s="22" t="s">
        <v>652</v>
      </c>
      <c r="B447" s="22" t="s">
        <v>1535</v>
      </c>
      <c r="C447" s="22" t="s">
        <v>27</v>
      </c>
      <c r="D447" s="22" t="s">
        <v>28</v>
      </c>
      <c r="E447" s="22" t="s">
        <v>1102</v>
      </c>
      <c r="F447" s="22" t="s">
        <v>15</v>
      </c>
      <c r="G447" s="22" t="s">
        <v>44</v>
      </c>
      <c r="H447" s="22">
        <v>62</v>
      </c>
      <c r="I447" s="24">
        <v>40043</v>
      </c>
      <c r="J447" s="27">
        <v>834</v>
      </c>
      <c r="K447" s="25">
        <v>0</v>
      </c>
      <c r="L447" s="22" t="s">
        <v>17</v>
      </c>
      <c r="M447" s="23" t="s">
        <v>22</v>
      </c>
    </row>
    <row r="448" spans="1:13" x14ac:dyDescent="0.35">
      <c r="A448" s="22" t="s">
        <v>653</v>
      </c>
      <c r="B448" s="22" t="s">
        <v>1536</v>
      </c>
      <c r="C448" s="22" t="s">
        <v>53</v>
      </c>
      <c r="D448" s="22" t="s">
        <v>20</v>
      </c>
      <c r="E448" s="22" t="s">
        <v>1102</v>
      </c>
      <c r="F448" s="22" t="s">
        <v>15</v>
      </c>
      <c r="G448" s="22" t="s">
        <v>21</v>
      </c>
      <c r="H448" s="22">
        <v>46</v>
      </c>
      <c r="I448" s="24">
        <v>38210</v>
      </c>
      <c r="J448" s="27">
        <v>903</v>
      </c>
      <c r="K448" s="25">
        <v>0.1</v>
      </c>
      <c r="L448" s="22" t="s">
        <v>17</v>
      </c>
      <c r="M448" s="23" t="s">
        <v>22</v>
      </c>
    </row>
    <row r="449" spans="1:13" x14ac:dyDescent="0.35">
      <c r="A449" s="22" t="s">
        <v>654</v>
      </c>
      <c r="B449" s="22" t="s">
        <v>1537</v>
      </c>
      <c r="C449" s="22" t="s">
        <v>57</v>
      </c>
      <c r="D449" s="22" t="s">
        <v>56</v>
      </c>
      <c r="E449" s="22" t="s">
        <v>14</v>
      </c>
      <c r="F449" s="22" t="s">
        <v>15</v>
      </c>
      <c r="G449" s="22" t="s">
        <v>41</v>
      </c>
      <c r="H449" s="22">
        <v>47</v>
      </c>
      <c r="I449" s="24">
        <v>40125</v>
      </c>
      <c r="J449" s="27">
        <v>902</v>
      </c>
      <c r="K449" s="25">
        <v>0</v>
      </c>
      <c r="L449" s="22" t="s">
        <v>17</v>
      </c>
      <c r="M449" s="23" t="s">
        <v>26</v>
      </c>
    </row>
    <row r="450" spans="1:13" x14ac:dyDescent="0.35">
      <c r="A450" s="22" t="s">
        <v>655</v>
      </c>
      <c r="B450" s="22" t="s">
        <v>1538</v>
      </c>
      <c r="C450" s="22" t="s">
        <v>48</v>
      </c>
      <c r="D450" s="22" t="s">
        <v>24</v>
      </c>
      <c r="E450" s="22" t="s">
        <v>14</v>
      </c>
      <c r="F450" s="22" t="s">
        <v>15</v>
      </c>
      <c r="G450" s="22" t="s">
        <v>44</v>
      </c>
      <c r="H450" s="22">
        <v>57</v>
      </c>
      <c r="I450" s="24">
        <v>36707</v>
      </c>
      <c r="J450" s="27">
        <v>895</v>
      </c>
      <c r="K450" s="25">
        <v>0.06</v>
      </c>
      <c r="L450" s="22" t="s">
        <v>17</v>
      </c>
      <c r="M450" s="23" t="s">
        <v>22</v>
      </c>
    </row>
    <row r="451" spans="1:13" x14ac:dyDescent="0.35">
      <c r="A451" s="22" t="s">
        <v>656</v>
      </c>
      <c r="B451" s="22" t="s">
        <v>1539</v>
      </c>
      <c r="C451" s="22" t="s">
        <v>72</v>
      </c>
      <c r="D451" s="22" t="s">
        <v>24</v>
      </c>
      <c r="E451" s="22" t="s">
        <v>29</v>
      </c>
      <c r="F451" s="22" t="s">
        <v>15</v>
      </c>
      <c r="G451" s="22" t="s">
        <v>21</v>
      </c>
      <c r="H451" s="22">
        <v>49</v>
      </c>
      <c r="I451" s="24">
        <v>43565</v>
      </c>
      <c r="J451" s="27">
        <v>789</v>
      </c>
      <c r="K451" s="25">
        <v>0</v>
      </c>
      <c r="L451" s="22" t="s">
        <v>30</v>
      </c>
      <c r="M451" s="23" t="s">
        <v>52</v>
      </c>
    </row>
    <row r="452" spans="1:13" x14ac:dyDescent="0.35">
      <c r="A452" s="22" t="s">
        <v>657</v>
      </c>
      <c r="B452" s="22" t="s">
        <v>1540</v>
      </c>
      <c r="C452" s="22" t="s">
        <v>83</v>
      </c>
      <c r="D452" s="22" t="s">
        <v>28</v>
      </c>
      <c r="E452" s="22" t="s">
        <v>33</v>
      </c>
      <c r="F452" s="22" t="s">
        <v>15</v>
      </c>
      <c r="G452" s="22" t="s">
        <v>21</v>
      </c>
      <c r="H452" s="22">
        <v>42</v>
      </c>
      <c r="I452" s="24">
        <v>44628</v>
      </c>
      <c r="J452" s="27">
        <v>961</v>
      </c>
      <c r="K452" s="25">
        <v>0</v>
      </c>
      <c r="L452" s="22" t="s">
        <v>17</v>
      </c>
      <c r="M452" s="23" t="s">
        <v>22</v>
      </c>
    </row>
    <row r="453" spans="1:13" x14ac:dyDescent="0.35">
      <c r="A453" s="22" t="s">
        <v>262</v>
      </c>
      <c r="B453" s="22" t="s">
        <v>1541</v>
      </c>
      <c r="C453" s="22" t="s">
        <v>73</v>
      </c>
      <c r="D453" s="22" t="s">
        <v>24</v>
      </c>
      <c r="E453" s="22" t="s">
        <v>1102</v>
      </c>
      <c r="F453" s="22" t="s">
        <v>15</v>
      </c>
      <c r="G453" s="22" t="s">
        <v>21</v>
      </c>
      <c r="H453" s="22">
        <v>55</v>
      </c>
      <c r="I453" s="24">
        <v>44902</v>
      </c>
      <c r="J453" s="27">
        <v>997</v>
      </c>
      <c r="K453" s="25">
        <v>0</v>
      </c>
      <c r="L453" s="22" t="s">
        <v>17</v>
      </c>
      <c r="M453" s="23" t="s">
        <v>26</v>
      </c>
    </row>
    <row r="454" spans="1:13" x14ac:dyDescent="0.35">
      <c r="A454" s="22" t="s">
        <v>658</v>
      </c>
      <c r="B454" s="22" t="s">
        <v>1542</v>
      </c>
      <c r="C454" s="22" t="s">
        <v>53</v>
      </c>
      <c r="D454" s="22" t="s">
        <v>13</v>
      </c>
      <c r="E454" s="22" t="s">
        <v>1102</v>
      </c>
      <c r="F454" s="22" t="s">
        <v>15</v>
      </c>
      <c r="G454" s="22" t="s">
        <v>21</v>
      </c>
      <c r="H454" s="22">
        <v>46</v>
      </c>
      <c r="I454" s="24">
        <v>38956</v>
      </c>
      <c r="J454" s="27">
        <v>794</v>
      </c>
      <c r="K454" s="25">
        <v>0.05</v>
      </c>
      <c r="L454" s="22" t="s">
        <v>30</v>
      </c>
      <c r="M454" s="23" t="s">
        <v>31</v>
      </c>
    </row>
    <row r="455" spans="1:13" x14ac:dyDescent="0.35">
      <c r="A455" s="22" t="s">
        <v>659</v>
      </c>
      <c r="B455" s="22" t="s">
        <v>1543</v>
      </c>
      <c r="C455" s="22" t="s">
        <v>77</v>
      </c>
      <c r="D455" s="22" t="s">
        <v>24</v>
      </c>
      <c r="E455" s="22" t="s">
        <v>29</v>
      </c>
      <c r="F455" s="22" t="s">
        <v>25</v>
      </c>
      <c r="G455" s="22" t="s">
        <v>21</v>
      </c>
      <c r="H455" s="22">
        <v>45</v>
      </c>
      <c r="I455" s="24">
        <v>38093</v>
      </c>
      <c r="J455" s="27">
        <v>682</v>
      </c>
      <c r="K455" s="25">
        <v>0</v>
      </c>
      <c r="L455" s="22" t="s">
        <v>30</v>
      </c>
      <c r="M455" s="23" t="s">
        <v>52</v>
      </c>
    </row>
    <row r="456" spans="1:13" x14ac:dyDescent="0.35">
      <c r="A456" s="22" t="s">
        <v>660</v>
      </c>
      <c r="B456" s="22" t="s">
        <v>1544</v>
      </c>
      <c r="C456" s="22" t="s">
        <v>63</v>
      </c>
      <c r="D456" s="22" t="s">
        <v>20</v>
      </c>
      <c r="E456" s="22" t="s">
        <v>33</v>
      </c>
      <c r="F456" s="22" t="s">
        <v>25</v>
      </c>
      <c r="G456" s="22" t="s">
        <v>16</v>
      </c>
      <c r="H456" s="22">
        <v>53</v>
      </c>
      <c r="I456" s="24">
        <v>40996</v>
      </c>
      <c r="J456" s="27">
        <v>620</v>
      </c>
      <c r="K456" s="25">
        <v>0</v>
      </c>
      <c r="L456" s="22" t="s">
        <v>17</v>
      </c>
      <c r="M456" s="23" t="s">
        <v>22</v>
      </c>
    </row>
    <row r="457" spans="1:13" x14ac:dyDescent="0.35">
      <c r="A457" s="22" t="s">
        <v>661</v>
      </c>
      <c r="B457" s="22" t="s">
        <v>1545</v>
      </c>
      <c r="C457" s="22" t="s">
        <v>57</v>
      </c>
      <c r="D457" s="22" t="s">
        <v>43</v>
      </c>
      <c r="E457" s="22" t="s">
        <v>14</v>
      </c>
      <c r="F457" s="22" t="s">
        <v>15</v>
      </c>
      <c r="G457" s="22" t="s">
        <v>16</v>
      </c>
      <c r="H457" s="22">
        <v>46</v>
      </c>
      <c r="I457" s="24">
        <v>38977</v>
      </c>
      <c r="J457" s="27">
        <v>797</v>
      </c>
      <c r="K457" s="25">
        <v>0</v>
      </c>
      <c r="L457" s="22" t="s">
        <v>17</v>
      </c>
      <c r="M457" s="23" t="s">
        <v>40</v>
      </c>
    </row>
    <row r="458" spans="1:13" x14ac:dyDescent="0.35">
      <c r="A458" s="22" t="s">
        <v>662</v>
      </c>
      <c r="B458" s="22" t="s">
        <v>1546</v>
      </c>
      <c r="C458" s="22" t="s">
        <v>57</v>
      </c>
      <c r="D458" s="22" t="s">
        <v>13</v>
      </c>
      <c r="E458" s="22" t="s">
        <v>14</v>
      </c>
      <c r="F458" s="22" t="s">
        <v>15</v>
      </c>
      <c r="G458" s="22" t="s">
        <v>44</v>
      </c>
      <c r="H458" s="22">
        <v>48</v>
      </c>
      <c r="I458" s="24">
        <v>42022</v>
      </c>
      <c r="J458" s="27">
        <v>659</v>
      </c>
      <c r="K458" s="25">
        <v>0</v>
      </c>
      <c r="L458" s="22" t="s">
        <v>17</v>
      </c>
      <c r="M458" s="23" t="s">
        <v>26</v>
      </c>
    </row>
    <row r="459" spans="1:13" x14ac:dyDescent="0.35">
      <c r="A459" s="22" t="s">
        <v>663</v>
      </c>
      <c r="B459" s="22" t="s">
        <v>1547</v>
      </c>
      <c r="C459" s="22" t="s">
        <v>53</v>
      </c>
      <c r="D459" s="22" t="s">
        <v>39</v>
      </c>
      <c r="E459" s="22" t="s">
        <v>29</v>
      </c>
      <c r="F459" s="22" t="s">
        <v>15</v>
      </c>
      <c r="G459" s="22" t="s">
        <v>21</v>
      </c>
      <c r="H459" s="22">
        <v>33</v>
      </c>
      <c r="I459" s="24">
        <v>41963</v>
      </c>
      <c r="J459" s="27">
        <v>700</v>
      </c>
      <c r="K459" s="25">
        <v>0.05</v>
      </c>
      <c r="L459" s="22" t="s">
        <v>30</v>
      </c>
      <c r="M459" s="23" t="s">
        <v>31</v>
      </c>
    </row>
    <row r="460" spans="1:13" x14ac:dyDescent="0.35">
      <c r="A460" s="22" t="s">
        <v>664</v>
      </c>
      <c r="B460" s="22" t="s">
        <v>1548</v>
      </c>
      <c r="C460" s="22" t="s">
        <v>12</v>
      </c>
      <c r="D460" s="22" t="s">
        <v>56</v>
      </c>
      <c r="E460" s="22" t="s">
        <v>14</v>
      </c>
      <c r="F460" s="22" t="s">
        <v>15</v>
      </c>
      <c r="G460" s="22" t="s">
        <v>16</v>
      </c>
      <c r="H460" s="22">
        <v>56</v>
      </c>
      <c r="I460" s="24">
        <v>39659</v>
      </c>
      <c r="J460" s="27">
        <v>606</v>
      </c>
      <c r="K460" s="25">
        <v>0.39</v>
      </c>
      <c r="L460" s="22" t="s">
        <v>17</v>
      </c>
      <c r="M460" s="23" t="s">
        <v>40</v>
      </c>
    </row>
    <row r="461" spans="1:13" x14ac:dyDescent="0.35">
      <c r="A461" s="22" t="s">
        <v>665</v>
      </c>
      <c r="B461" s="22" t="s">
        <v>1549</v>
      </c>
      <c r="C461" s="22" t="s">
        <v>77</v>
      </c>
      <c r="D461" s="22" t="s">
        <v>24</v>
      </c>
      <c r="E461" s="22" t="s">
        <v>33</v>
      </c>
      <c r="F461" s="22" t="s">
        <v>15</v>
      </c>
      <c r="G461" s="22" t="s">
        <v>44</v>
      </c>
      <c r="H461" s="22">
        <v>59</v>
      </c>
      <c r="I461" s="24">
        <v>39413</v>
      </c>
      <c r="J461" s="27">
        <v>951</v>
      </c>
      <c r="K461" s="25">
        <v>0</v>
      </c>
      <c r="L461" s="22" t="s">
        <v>17</v>
      </c>
      <c r="M461" s="23" t="s">
        <v>54</v>
      </c>
    </row>
    <row r="462" spans="1:13" x14ac:dyDescent="0.35">
      <c r="A462" s="22" t="s">
        <v>666</v>
      </c>
      <c r="B462" s="22" t="s">
        <v>1550</v>
      </c>
      <c r="C462" s="22" t="s">
        <v>55</v>
      </c>
      <c r="D462" s="22" t="s">
        <v>13</v>
      </c>
      <c r="E462" s="22" t="s">
        <v>33</v>
      </c>
      <c r="F462" s="22" t="s">
        <v>25</v>
      </c>
      <c r="G462" s="22" t="s">
        <v>44</v>
      </c>
      <c r="H462" s="22">
        <v>55</v>
      </c>
      <c r="I462" s="24">
        <v>41229</v>
      </c>
      <c r="J462" s="27">
        <v>519</v>
      </c>
      <c r="K462" s="25">
        <v>0</v>
      </c>
      <c r="L462" s="22" t="s">
        <v>45</v>
      </c>
      <c r="M462" s="23" t="s">
        <v>66</v>
      </c>
    </row>
    <row r="463" spans="1:13" x14ac:dyDescent="0.35">
      <c r="A463" s="22" t="s">
        <v>667</v>
      </c>
      <c r="B463" s="22" t="s">
        <v>1551</v>
      </c>
      <c r="C463" s="22" t="s">
        <v>12</v>
      </c>
      <c r="D463" s="22" t="s">
        <v>39</v>
      </c>
      <c r="E463" s="22" t="s">
        <v>14</v>
      </c>
      <c r="F463" s="22" t="s">
        <v>15</v>
      </c>
      <c r="G463" s="22" t="s">
        <v>21</v>
      </c>
      <c r="H463" s="22">
        <v>46</v>
      </c>
      <c r="I463" s="24">
        <v>43308</v>
      </c>
      <c r="J463" s="27">
        <v>923</v>
      </c>
      <c r="K463" s="25">
        <v>0.3</v>
      </c>
      <c r="L463" s="22" t="s">
        <v>17</v>
      </c>
      <c r="M463" s="23" t="s">
        <v>18</v>
      </c>
    </row>
    <row r="464" spans="1:13" x14ac:dyDescent="0.35">
      <c r="A464" s="22" t="s">
        <v>152</v>
      </c>
      <c r="B464" s="22" t="s">
        <v>1552</v>
      </c>
      <c r="C464" s="22" t="s">
        <v>57</v>
      </c>
      <c r="D464" s="22" t="s">
        <v>39</v>
      </c>
      <c r="E464" s="22" t="s">
        <v>1102</v>
      </c>
      <c r="F464" s="22" t="s">
        <v>15</v>
      </c>
      <c r="G464" s="22" t="s">
        <v>21</v>
      </c>
      <c r="H464" s="22">
        <v>50</v>
      </c>
      <c r="I464" s="24">
        <v>36666</v>
      </c>
      <c r="J464" s="27">
        <v>618</v>
      </c>
      <c r="K464" s="25">
        <v>0</v>
      </c>
      <c r="L464" s="22" t="s">
        <v>17</v>
      </c>
      <c r="M464" s="23" t="s">
        <v>54</v>
      </c>
    </row>
    <row r="465" spans="1:13" x14ac:dyDescent="0.35">
      <c r="A465" s="22" t="s">
        <v>668</v>
      </c>
      <c r="B465" s="22" t="s">
        <v>1553</v>
      </c>
      <c r="C465" s="22" t="s">
        <v>57</v>
      </c>
      <c r="D465" s="22" t="s">
        <v>43</v>
      </c>
      <c r="E465" s="22" t="s">
        <v>29</v>
      </c>
      <c r="F465" s="22" t="s">
        <v>15</v>
      </c>
      <c r="G465" s="22" t="s">
        <v>21</v>
      </c>
      <c r="H465" s="22">
        <v>29</v>
      </c>
      <c r="I465" s="24">
        <v>42939</v>
      </c>
      <c r="J465" s="27">
        <v>619</v>
      </c>
      <c r="K465" s="25">
        <v>0</v>
      </c>
      <c r="L465" s="22" t="s">
        <v>30</v>
      </c>
      <c r="M465" s="23" t="s">
        <v>61</v>
      </c>
    </row>
    <row r="466" spans="1:13" x14ac:dyDescent="0.35">
      <c r="A466" s="22" t="s">
        <v>669</v>
      </c>
      <c r="B466" s="22" t="s">
        <v>1554</v>
      </c>
      <c r="C466" s="22" t="s">
        <v>34</v>
      </c>
      <c r="D466" s="22" t="s">
        <v>24</v>
      </c>
      <c r="E466" s="22" t="s">
        <v>33</v>
      </c>
      <c r="F466" s="22" t="s">
        <v>25</v>
      </c>
      <c r="G466" s="22" t="s">
        <v>21</v>
      </c>
      <c r="H466" s="22">
        <v>57</v>
      </c>
      <c r="I466" s="24">
        <v>38286</v>
      </c>
      <c r="J466" s="27">
        <v>875</v>
      </c>
      <c r="K466" s="25">
        <v>0</v>
      </c>
      <c r="L466" s="22" t="s">
        <v>30</v>
      </c>
      <c r="M466" s="23" t="s">
        <v>65</v>
      </c>
    </row>
    <row r="467" spans="1:13" x14ac:dyDescent="0.35">
      <c r="A467" s="22" t="s">
        <v>670</v>
      </c>
      <c r="B467" s="22" t="s">
        <v>1555</v>
      </c>
      <c r="C467" s="22" t="s">
        <v>12</v>
      </c>
      <c r="D467" s="22" t="s">
        <v>13</v>
      </c>
      <c r="E467" s="22" t="s">
        <v>14</v>
      </c>
      <c r="F467" s="22" t="s">
        <v>15</v>
      </c>
      <c r="G467" s="22" t="s">
        <v>16</v>
      </c>
      <c r="H467" s="22">
        <v>39</v>
      </c>
      <c r="I467" s="24">
        <v>40784</v>
      </c>
      <c r="J467" s="27">
        <v>878</v>
      </c>
      <c r="K467" s="25">
        <v>0.38</v>
      </c>
      <c r="L467" s="22" t="s">
        <v>17</v>
      </c>
      <c r="M467" s="23" t="s">
        <v>26</v>
      </c>
    </row>
    <row r="468" spans="1:13" x14ac:dyDescent="0.35">
      <c r="A468" s="22" t="s">
        <v>115</v>
      </c>
      <c r="B468" s="22" t="s">
        <v>1556</v>
      </c>
      <c r="C468" s="22" t="s">
        <v>23</v>
      </c>
      <c r="D468" s="22" t="s">
        <v>24</v>
      </c>
      <c r="E468" s="22" t="s">
        <v>29</v>
      </c>
      <c r="F468" s="22" t="s">
        <v>25</v>
      </c>
      <c r="G468" s="22" t="s">
        <v>41</v>
      </c>
      <c r="H468" s="22">
        <v>40</v>
      </c>
      <c r="I468" s="24">
        <v>44739</v>
      </c>
      <c r="J468" s="27">
        <v>735</v>
      </c>
      <c r="K468" s="25">
        <v>0</v>
      </c>
      <c r="L468" s="22" t="s">
        <v>17</v>
      </c>
      <c r="M468" s="23" t="s">
        <v>35</v>
      </c>
    </row>
    <row r="469" spans="1:13" x14ac:dyDescent="0.35">
      <c r="A469" s="22" t="s">
        <v>671</v>
      </c>
      <c r="B469" s="22" t="s">
        <v>1557</v>
      </c>
      <c r="C469" s="22" t="s">
        <v>12</v>
      </c>
      <c r="D469" s="22" t="s">
        <v>20</v>
      </c>
      <c r="E469" s="22" t="s">
        <v>1102</v>
      </c>
      <c r="F469" s="22" t="s">
        <v>25</v>
      </c>
      <c r="G469" s="22" t="s">
        <v>44</v>
      </c>
      <c r="H469" s="22">
        <v>33</v>
      </c>
      <c r="I469" s="24">
        <v>43229</v>
      </c>
      <c r="J469" s="27">
        <v>643</v>
      </c>
      <c r="K469" s="25">
        <v>0.35</v>
      </c>
      <c r="L469" s="22" t="s">
        <v>17</v>
      </c>
      <c r="M469" s="23" t="s">
        <v>18</v>
      </c>
    </row>
    <row r="470" spans="1:13" x14ac:dyDescent="0.35">
      <c r="A470" s="22" t="s">
        <v>672</v>
      </c>
      <c r="B470" s="22" t="s">
        <v>1558</v>
      </c>
      <c r="C470" s="22" t="s">
        <v>57</v>
      </c>
      <c r="D470" s="22" t="s">
        <v>43</v>
      </c>
      <c r="E470" s="22" t="s">
        <v>1102</v>
      </c>
      <c r="F470" s="22" t="s">
        <v>15</v>
      </c>
      <c r="G470" s="22" t="s">
        <v>44</v>
      </c>
      <c r="H470" s="22">
        <v>49</v>
      </c>
      <c r="I470" s="24">
        <v>44124</v>
      </c>
      <c r="J470" s="27">
        <v>754</v>
      </c>
      <c r="K470" s="25">
        <v>0</v>
      </c>
      <c r="L470" s="22" t="s">
        <v>45</v>
      </c>
      <c r="M470" s="23" t="s">
        <v>46</v>
      </c>
    </row>
    <row r="471" spans="1:13" x14ac:dyDescent="0.35">
      <c r="A471" s="22" t="s">
        <v>673</v>
      </c>
      <c r="B471" s="22" t="s">
        <v>1559</v>
      </c>
      <c r="C471" s="22" t="s">
        <v>57</v>
      </c>
      <c r="D471" s="22" t="s">
        <v>43</v>
      </c>
      <c r="E471" s="22" t="s">
        <v>14</v>
      </c>
      <c r="F471" s="22" t="s">
        <v>25</v>
      </c>
      <c r="G471" s="22" t="s">
        <v>21</v>
      </c>
      <c r="H471" s="22">
        <v>54</v>
      </c>
      <c r="I471" s="24">
        <v>35833</v>
      </c>
      <c r="J471" s="27">
        <v>608</v>
      </c>
      <c r="K471" s="25">
        <v>0</v>
      </c>
      <c r="L471" s="22" t="s">
        <v>17</v>
      </c>
      <c r="M471" s="23" t="s">
        <v>26</v>
      </c>
    </row>
    <row r="472" spans="1:13" x14ac:dyDescent="0.35">
      <c r="A472" s="22" t="s">
        <v>674</v>
      </c>
      <c r="B472" s="22" t="s">
        <v>1560</v>
      </c>
      <c r="C472" s="22" t="s">
        <v>1111</v>
      </c>
      <c r="D472" s="22" t="s">
        <v>24</v>
      </c>
      <c r="E472" s="22" t="s">
        <v>29</v>
      </c>
      <c r="F472" s="22" t="s">
        <v>25</v>
      </c>
      <c r="G472" s="22" t="s">
        <v>21</v>
      </c>
      <c r="H472" s="22">
        <v>51</v>
      </c>
      <c r="I472" s="24">
        <v>38804</v>
      </c>
      <c r="J472" s="27">
        <v>630</v>
      </c>
      <c r="K472" s="25">
        <v>0.12</v>
      </c>
      <c r="L472" s="22" t="s">
        <v>30</v>
      </c>
      <c r="M472" s="23" t="s">
        <v>31</v>
      </c>
    </row>
    <row r="473" spans="1:13" x14ac:dyDescent="0.35">
      <c r="A473" s="22" t="s">
        <v>127</v>
      </c>
      <c r="B473" s="22" t="s">
        <v>1561</v>
      </c>
      <c r="C473" s="22" t="s">
        <v>57</v>
      </c>
      <c r="D473" s="22" t="s">
        <v>39</v>
      </c>
      <c r="E473" s="22" t="s">
        <v>14</v>
      </c>
      <c r="F473" s="22" t="s">
        <v>15</v>
      </c>
      <c r="G473" s="22" t="s">
        <v>16</v>
      </c>
      <c r="H473" s="22">
        <v>33</v>
      </c>
      <c r="I473" s="24">
        <v>43031</v>
      </c>
      <c r="J473" s="27">
        <v>607</v>
      </c>
      <c r="K473" s="25">
        <v>0</v>
      </c>
      <c r="L473" s="22" t="s">
        <v>17</v>
      </c>
      <c r="M473" s="23" t="s">
        <v>35</v>
      </c>
    </row>
    <row r="474" spans="1:13" x14ac:dyDescent="0.35">
      <c r="A474" s="22" t="s">
        <v>675</v>
      </c>
      <c r="B474" s="22" t="s">
        <v>1562</v>
      </c>
      <c r="C474" s="22" t="s">
        <v>36</v>
      </c>
      <c r="D474" s="22" t="s">
        <v>24</v>
      </c>
      <c r="E474" s="22" t="s">
        <v>14</v>
      </c>
      <c r="F474" s="22" t="s">
        <v>25</v>
      </c>
      <c r="G474" s="22" t="s">
        <v>16</v>
      </c>
      <c r="H474" s="22">
        <v>34</v>
      </c>
      <c r="I474" s="24">
        <v>42837</v>
      </c>
      <c r="J474" s="27">
        <v>763</v>
      </c>
      <c r="K474" s="25">
        <v>0.3</v>
      </c>
      <c r="L474" s="22" t="s">
        <v>17</v>
      </c>
      <c r="M474" s="23" t="s">
        <v>40</v>
      </c>
    </row>
    <row r="475" spans="1:13" x14ac:dyDescent="0.35">
      <c r="A475" s="22" t="s">
        <v>676</v>
      </c>
      <c r="B475" s="22" t="s">
        <v>1563</v>
      </c>
      <c r="C475" s="22" t="s">
        <v>1111</v>
      </c>
      <c r="D475" s="22" t="s">
        <v>43</v>
      </c>
      <c r="E475" s="22" t="s">
        <v>29</v>
      </c>
      <c r="F475" s="22" t="s">
        <v>15</v>
      </c>
      <c r="G475" s="22" t="s">
        <v>44</v>
      </c>
      <c r="H475" s="22">
        <v>28</v>
      </c>
      <c r="I475" s="24">
        <v>43817</v>
      </c>
      <c r="J475" s="27">
        <v>879</v>
      </c>
      <c r="K475" s="25">
        <v>0.14000000000000001</v>
      </c>
      <c r="L475" s="22" t="s">
        <v>45</v>
      </c>
      <c r="M475" s="23" t="s">
        <v>1134</v>
      </c>
    </row>
    <row r="476" spans="1:13" x14ac:dyDescent="0.35">
      <c r="A476" s="22" t="s">
        <v>677</v>
      </c>
      <c r="B476" s="22" t="s">
        <v>1564</v>
      </c>
      <c r="C476" s="22" t="s">
        <v>12</v>
      </c>
      <c r="D476" s="22" t="s">
        <v>39</v>
      </c>
      <c r="E476" s="22" t="s">
        <v>14</v>
      </c>
      <c r="F476" s="22" t="s">
        <v>15</v>
      </c>
      <c r="G476" s="22" t="s">
        <v>44</v>
      </c>
      <c r="H476" s="22">
        <v>34</v>
      </c>
      <c r="I476" s="24">
        <v>42932</v>
      </c>
      <c r="J476" s="27">
        <v>746</v>
      </c>
      <c r="K476" s="25">
        <v>0.38</v>
      </c>
      <c r="L476" s="22" t="s">
        <v>17</v>
      </c>
      <c r="M476" s="23" t="s">
        <v>40</v>
      </c>
    </row>
    <row r="477" spans="1:13" x14ac:dyDescent="0.35">
      <c r="A477" s="22" t="s">
        <v>214</v>
      </c>
      <c r="B477" s="22" t="s">
        <v>1565</v>
      </c>
      <c r="C477" s="22" t="s">
        <v>48</v>
      </c>
      <c r="D477" s="22" t="s">
        <v>24</v>
      </c>
      <c r="E477" s="22" t="s">
        <v>1102</v>
      </c>
      <c r="F477" s="22" t="s">
        <v>15</v>
      </c>
      <c r="G477" s="22" t="s">
        <v>44</v>
      </c>
      <c r="H477" s="22">
        <v>39</v>
      </c>
      <c r="I477" s="24">
        <v>44686</v>
      </c>
      <c r="J477" s="27">
        <v>993</v>
      </c>
      <c r="K477" s="25">
        <v>0.05</v>
      </c>
      <c r="L477" s="22" t="s">
        <v>45</v>
      </c>
      <c r="M477" s="23" t="s">
        <v>1134</v>
      </c>
    </row>
    <row r="478" spans="1:13" x14ac:dyDescent="0.35">
      <c r="A478" s="22" t="s">
        <v>221</v>
      </c>
      <c r="B478" s="22" t="s">
        <v>1566</v>
      </c>
      <c r="C478" s="22" t="s">
        <v>53</v>
      </c>
      <c r="D478" s="22" t="s">
        <v>20</v>
      </c>
      <c r="E478" s="22" t="s">
        <v>1102</v>
      </c>
      <c r="F478" s="22" t="s">
        <v>25</v>
      </c>
      <c r="G478" s="22" t="s">
        <v>21</v>
      </c>
      <c r="H478" s="22">
        <v>63</v>
      </c>
      <c r="I478" s="24">
        <v>38190</v>
      </c>
      <c r="J478" s="27">
        <v>918</v>
      </c>
      <c r="K478" s="25">
        <v>0.05</v>
      </c>
      <c r="L478" s="22" t="s">
        <v>30</v>
      </c>
      <c r="M478" s="23" t="s">
        <v>52</v>
      </c>
    </row>
    <row r="479" spans="1:13" x14ac:dyDescent="0.35">
      <c r="A479" s="22" t="s">
        <v>678</v>
      </c>
      <c r="B479" s="22" t="s">
        <v>1567</v>
      </c>
      <c r="C479" s="22" t="s">
        <v>12</v>
      </c>
      <c r="D479" s="22" t="s">
        <v>56</v>
      </c>
      <c r="E479" s="22" t="s">
        <v>33</v>
      </c>
      <c r="F479" s="22" t="s">
        <v>15</v>
      </c>
      <c r="G479" s="22" t="s">
        <v>21</v>
      </c>
      <c r="H479" s="22">
        <v>35</v>
      </c>
      <c r="I479" s="24">
        <v>44048</v>
      </c>
      <c r="J479" s="27">
        <v>638</v>
      </c>
      <c r="K479" s="25">
        <v>0.37</v>
      </c>
      <c r="L479" s="22" t="s">
        <v>17</v>
      </c>
      <c r="M479" s="23" t="s">
        <v>18</v>
      </c>
    </row>
    <row r="480" spans="1:13" x14ac:dyDescent="0.35">
      <c r="A480" s="22" t="s">
        <v>679</v>
      </c>
      <c r="B480" s="22" t="s">
        <v>1568</v>
      </c>
      <c r="C480" s="22" t="s">
        <v>1111</v>
      </c>
      <c r="D480" s="22" t="s">
        <v>24</v>
      </c>
      <c r="E480" s="22" t="s">
        <v>1102</v>
      </c>
      <c r="F480" s="22" t="s">
        <v>25</v>
      </c>
      <c r="G480" s="22" t="s">
        <v>16</v>
      </c>
      <c r="H480" s="22">
        <v>44</v>
      </c>
      <c r="I480" s="24">
        <v>43693</v>
      </c>
      <c r="J480" s="27">
        <v>886</v>
      </c>
      <c r="K480" s="25">
        <v>0.11</v>
      </c>
      <c r="L480" s="22" t="s">
        <v>17</v>
      </c>
      <c r="M480" s="23" t="s">
        <v>18</v>
      </c>
    </row>
    <row r="481" spans="1:13" x14ac:dyDescent="0.35">
      <c r="A481" s="22" t="s">
        <v>680</v>
      </c>
      <c r="B481" s="22" t="s">
        <v>1569</v>
      </c>
      <c r="C481" s="22" t="s">
        <v>57</v>
      </c>
      <c r="D481" s="22" t="s">
        <v>43</v>
      </c>
      <c r="E481" s="22" t="s">
        <v>14</v>
      </c>
      <c r="F481" s="22" t="s">
        <v>15</v>
      </c>
      <c r="G481" s="22" t="s">
        <v>21</v>
      </c>
      <c r="H481" s="22">
        <v>37</v>
      </c>
      <c r="I481" s="24">
        <v>42802</v>
      </c>
      <c r="J481" s="27">
        <v>677</v>
      </c>
      <c r="K481" s="25">
        <v>0</v>
      </c>
      <c r="L481" s="22" t="s">
        <v>30</v>
      </c>
      <c r="M481" s="23" t="s">
        <v>52</v>
      </c>
    </row>
    <row r="482" spans="1:13" x14ac:dyDescent="0.35">
      <c r="A482" s="22" t="s">
        <v>681</v>
      </c>
      <c r="B482" s="22" t="s">
        <v>1570</v>
      </c>
      <c r="C482" s="22" t="s">
        <v>12</v>
      </c>
      <c r="D482" s="22" t="s">
        <v>56</v>
      </c>
      <c r="E482" s="22" t="s">
        <v>14</v>
      </c>
      <c r="F482" s="22" t="s">
        <v>15</v>
      </c>
      <c r="G482" s="22" t="s">
        <v>21</v>
      </c>
      <c r="H482" s="22">
        <v>45</v>
      </c>
      <c r="I482" s="24">
        <v>37457</v>
      </c>
      <c r="J482" s="27">
        <v>519</v>
      </c>
      <c r="K482" s="25">
        <v>0.3</v>
      </c>
      <c r="L482" s="22" t="s">
        <v>17</v>
      </c>
      <c r="M482" s="23" t="s">
        <v>26</v>
      </c>
    </row>
    <row r="483" spans="1:13" x14ac:dyDescent="0.35">
      <c r="A483" s="22" t="s">
        <v>682</v>
      </c>
      <c r="B483" s="22" t="s">
        <v>1571</v>
      </c>
      <c r="C483" s="22" t="s">
        <v>12</v>
      </c>
      <c r="D483" s="22" t="s">
        <v>13</v>
      </c>
      <c r="E483" s="22" t="s">
        <v>33</v>
      </c>
      <c r="F483" s="22" t="s">
        <v>15</v>
      </c>
      <c r="G483" s="22" t="s">
        <v>44</v>
      </c>
      <c r="H483" s="22">
        <v>65</v>
      </c>
      <c r="I483" s="24">
        <v>37610</v>
      </c>
      <c r="J483" s="27">
        <v>617</v>
      </c>
      <c r="K483" s="25">
        <v>0.39</v>
      </c>
      <c r="L483" s="22" t="s">
        <v>45</v>
      </c>
      <c r="M483" s="23" t="s">
        <v>46</v>
      </c>
    </row>
    <row r="484" spans="1:13" x14ac:dyDescent="0.35">
      <c r="A484" s="22" t="s">
        <v>683</v>
      </c>
      <c r="B484" s="22" t="s">
        <v>1572</v>
      </c>
      <c r="C484" s="22" t="s">
        <v>1111</v>
      </c>
      <c r="D484" s="22" t="s">
        <v>20</v>
      </c>
      <c r="E484" s="22" t="s">
        <v>14</v>
      </c>
      <c r="F484" s="22" t="s">
        <v>25</v>
      </c>
      <c r="G484" s="22" t="s">
        <v>41</v>
      </c>
      <c r="H484" s="22">
        <v>65</v>
      </c>
      <c r="I484" s="24">
        <v>39391</v>
      </c>
      <c r="J484" s="27">
        <v>862</v>
      </c>
      <c r="K484" s="25">
        <v>0.14000000000000001</v>
      </c>
      <c r="L484" s="22" t="s">
        <v>17</v>
      </c>
      <c r="M484" s="23" t="s">
        <v>35</v>
      </c>
    </row>
    <row r="485" spans="1:13" x14ac:dyDescent="0.35">
      <c r="A485" s="22" t="s">
        <v>684</v>
      </c>
      <c r="B485" s="22" t="s">
        <v>1573</v>
      </c>
      <c r="C485" s="22" t="s">
        <v>50</v>
      </c>
      <c r="D485" s="22" t="s">
        <v>28</v>
      </c>
      <c r="E485" s="22" t="s">
        <v>14</v>
      </c>
      <c r="F485" s="22" t="s">
        <v>15</v>
      </c>
      <c r="G485" s="22" t="s">
        <v>44</v>
      </c>
      <c r="H485" s="22">
        <v>63</v>
      </c>
      <c r="I485" s="24">
        <v>37305</v>
      </c>
      <c r="J485" s="27">
        <v>658</v>
      </c>
      <c r="K485" s="25">
        <v>0</v>
      </c>
      <c r="L485" s="22" t="s">
        <v>17</v>
      </c>
      <c r="M485" s="23" t="s">
        <v>18</v>
      </c>
    </row>
    <row r="486" spans="1:13" x14ac:dyDescent="0.35">
      <c r="A486" s="22" t="s">
        <v>685</v>
      </c>
      <c r="B486" s="22" t="s">
        <v>1574</v>
      </c>
      <c r="C486" s="22" t="s">
        <v>36</v>
      </c>
      <c r="D486" s="22" t="s">
        <v>13</v>
      </c>
      <c r="E486" s="22" t="s">
        <v>33</v>
      </c>
      <c r="F486" s="22" t="s">
        <v>15</v>
      </c>
      <c r="G486" s="22" t="s">
        <v>21</v>
      </c>
      <c r="H486" s="22">
        <v>55</v>
      </c>
      <c r="I486" s="24">
        <v>34646</v>
      </c>
      <c r="J486" s="27">
        <v>865</v>
      </c>
      <c r="K486" s="25">
        <v>0.28000000000000003</v>
      </c>
      <c r="L486" s="22" t="s">
        <v>30</v>
      </c>
      <c r="M486" s="23" t="s">
        <v>61</v>
      </c>
    </row>
    <row r="487" spans="1:13" x14ac:dyDescent="0.35">
      <c r="A487" s="22" t="s">
        <v>686</v>
      </c>
      <c r="B487" s="22" t="s">
        <v>1575</v>
      </c>
      <c r="C487" s="22" t="s">
        <v>57</v>
      </c>
      <c r="D487" s="22" t="s">
        <v>56</v>
      </c>
      <c r="E487" s="22" t="s">
        <v>29</v>
      </c>
      <c r="F487" s="22" t="s">
        <v>15</v>
      </c>
      <c r="G487" s="22" t="s">
        <v>21</v>
      </c>
      <c r="H487" s="22">
        <v>58</v>
      </c>
      <c r="I487" s="24">
        <v>41626</v>
      </c>
      <c r="J487" s="27">
        <v>647</v>
      </c>
      <c r="K487" s="25">
        <v>0</v>
      </c>
      <c r="L487" s="22" t="s">
        <v>17</v>
      </c>
      <c r="M487" s="23" t="s">
        <v>22</v>
      </c>
    </row>
    <row r="488" spans="1:13" x14ac:dyDescent="0.35">
      <c r="A488" s="22" t="s">
        <v>687</v>
      </c>
      <c r="B488" s="22" t="s">
        <v>1576</v>
      </c>
      <c r="C488" s="22" t="s">
        <v>36</v>
      </c>
      <c r="D488" s="22" t="s">
        <v>13</v>
      </c>
      <c r="E488" s="22" t="s">
        <v>29</v>
      </c>
      <c r="F488" s="22" t="s">
        <v>15</v>
      </c>
      <c r="G488" s="22" t="s">
        <v>21</v>
      </c>
      <c r="H488" s="22">
        <v>31</v>
      </c>
      <c r="I488" s="24">
        <v>44578</v>
      </c>
      <c r="J488" s="27">
        <v>722</v>
      </c>
      <c r="K488" s="25">
        <v>0.27</v>
      </c>
      <c r="L488" s="22" t="s">
        <v>17</v>
      </c>
      <c r="M488" s="23" t="s">
        <v>22</v>
      </c>
    </row>
    <row r="489" spans="1:13" x14ac:dyDescent="0.35">
      <c r="A489" s="22" t="s">
        <v>98</v>
      </c>
      <c r="B489" s="22" t="s">
        <v>1577</v>
      </c>
      <c r="C489" s="22" t="s">
        <v>72</v>
      </c>
      <c r="D489" s="22" t="s">
        <v>24</v>
      </c>
      <c r="E489" s="22" t="s">
        <v>1102</v>
      </c>
      <c r="F489" s="22" t="s">
        <v>15</v>
      </c>
      <c r="G489" s="22" t="s">
        <v>21</v>
      </c>
      <c r="H489" s="22">
        <v>28</v>
      </c>
      <c r="I489" s="24">
        <v>43874</v>
      </c>
      <c r="J489" s="27">
        <v>954</v>
      </c>
      <c r="K489" s="25">
        <v>0</v>
      </c>
      <c r="L489" s="22" t="s">
        <v>30</v>
      </c>
      <c r="M489" s="23" t="s">
        <v>61</v>
      </c>
    </row>
    <row r="490" spans="1:13" x14ac:dyDescent="0.35">
      <c r="A490" s="22" t="s">
        <v>688</v>
      </c>
      <c r="B490" s="22" t="s">
        <v>1578</v>
      </c>
      <c r="C490" s="22" t="s">
        <v>68</v>
      </c>
      <c r="D490" s="22" t="s">
        <v>20</v>
      </c>
      <c r="E490" s="22" t="s">
        <v>33</v>
      </c>
      <c r="F490" s="22" t="s">
        <v>15</v>
      </c>
      <c r="G490" s="22" t="s">
        <v>44</v>
      </c>
      <c r="H490" s="22">
        <v>50</v>
      </c>
      <c r="I490" s="24">
        <v>39670</v>
      </c>
      <c r="J490" s="27">
        <v>795</v>
      </c>
      <c r="K490" s="25">
        <v>0</v>
      </c>
      <c r="L490" s="22" t="s">
        <v>17</v>
      </c>
      <c r="M490" s="23" t="s">
        <v>22</v>
      </c>
    </row>
    <row r="491" spans="1:13" x14ac:dyDescent="0.35">
      <c r="A491" s="22" t="s">
        <v>689</v>
      </c>
      <c r="B491" s="22" t="s">
        <v>1579</v>
      </c>
      <c r="C491" s="22" t="s">
        <v>36</v>
      </c>
      <c r="D491" s="22" t="s">
        <v>43</v>
      </c>
      <c r="E491" s="22" t="s">
        <v>14</v>
      </c>
      <c r="F491" s="22" t="s">
        <v>15</v>
      </c>
      <c r="G491" s="22" t="s">
        <v>44</v>
      </c>
      <c r="H491" s="22">
        <v>61</v>
      </c>
      <c r="I491" s="24">
        <v>41377</v>
      </c>
      <c r="J491" s="27">
        <v>831</v>
      </c>
      <c r="K491" s="25">
        <v>0.21</v>
      </c>
      <c r="L491" s="22" t="s">
        <v>45</v>
      </c>
      <c r="M491" s="23" t="s">
        <v>1134</v>
      </c>
    </row>
    <row r="492" spans="1:13" x14ac:dyDescent="0.35">
      <c r="A492" s="22" t="s">
        <v>222</v>
      </c>
      <c r="B492" s="22" t="s">
        <v>1580</v>
      </c>
      <c r="C492" s="22" t="s">
        <v>23</v>
      </c>
      <c r="D492" s="22" t="s">
        <v>24</v>
      </c>
      <c r="E492" s="22" t="s">
        <v>1102</v>
      </c>
      <c r="F492" s="22" t="s">
        <v>25</v>
      </c>
      <c r="G492" s="22" t="s">
        <v>16</v>
      </c>
      <c r="H492" s="22">
        <v>53</v>
      </c>
      <c r="I492" s="24">
        <v>35490</v>
      </c>
      <c r="J492" s="27">
        <v>939</v>
      </c>
      <c r="K492" s="25">
        <v>0</v>
      </c>
      <c r="L492" s="22" t="s">
        <v>17</v>
      </c>
      <c r="M492" s="23" t="s">
        <v>54</v>
      </c>
    </row>
    <row r="493" spans="1:13" x14ac:dyDescent="0.35">
      <c r="A493" s="22" t="s">
        <v>690</v>
      </c>
      <c r="B493" s="22" t="s">
        <v>1581</v>
      </c>
      <c r="C493" s="22" t="s">
        <v>57</v>
      </c>
      <c r="D493" s="22" t="s">
        <v>43</v>
      </c>
      <c r="E493" s="22" t="s">
        <v>14</v>
      </c>
      <c r="F493" s="22" t="s">
        <v>15</v>
      </c>
      <c r="G493" s="22" t="s">
        <v>21</v>
      </c>
      <c r="H493" s="22">
        <v>51</v>
      </c>
      <c r="I493" s="24">
        <v>35997</v>
      </c>
      <c r="J493" s="27">
        <v>871</v>
      </c>
      <c r="K493" s="25">
        <v>0</v>
      </c>
      <c r="L493" s="22" t="s">
        <v>30</v>
      </c>
      <c r="M493" s="23" t="s">
        <v>61</v>
      </c>
    </row>
    <row r="494" spans="1:13" x14ac:dyDescent="0.35">
      <c r="A494" s="22" t="s">
        <v>691</v>
      </c>
      <c r="B494" s="22" t="s">
        <v>1582</v>
      </c>
      <c r="C494" s="22" t="s">
        <v>57</v>
      </c>
      <c r="D494" s="22" t="s">
        <v>13</v>
      </c>
      <c r="E494" s="22" t="s">
        <v>1102</v>
      </c>
      <c r="F494" s="22" t="s">
        <v>15</v>
      </c>
      <c r="G494" s="22" t="s">
        <v>44</v>
      </c>
      <c r="H494" s="22">
        <v>56</v>
      </c>
      <c r="I494" s="24">
        <v>43844</v>
      </c>
      <c r="J494" s="27">
        <v>780</v>
      </c>
      <c r="K494" s="25">
        <v>0</v>
      </c>
      <c r="L494" s="22" t="s">
        <v>45</v>
      </c>
      <c r="M494" s="23" t="s">
        <v>1134</v>
      </c>
    </row>
    <row r="495" spans="1:13" x14ac:dyDescent="0.35">
      <c r="A495" s="22" t="s">
        <v>692</v>
      </c>
      <c r="B495" s="22" t="s">
        <v>1583</v>
      </c>
      <c r="C495" s="22" t="s">
        <v>36</v>
      </c>
      <c r="D495" s="22" t="s">
        <v>24</v>
      </c>
      <c r="E495" s="22" t="s">
        <v>14</v>
      </c>
      <c r="F495" s="22" t="s">
        <v>25</v>
      </c>
      <c r="G495" s="22" t="s">
        <v>44</v>
      </c>
      <c r="H495" s="22">
        <v>38</v>
      </c>
      <c r="I495" s="24">
        <v>43382</v>
      </c>
      <c r="J495" s="27">
        <v>796</v>
      </c>
      <c r="K495" s="25">
        <v>0.3</v>
      </c>
      <c r="L495" s="22" t="s">
        <v>17</v>
      </c>
      <c r="M495" s="23" t="s">
        <v>18</v>
      </c>
    </row>
    <row r="496" spans="1:13" x14ac:dyDescent="0.35">
      <c r="A496" s="22" t="s">
        <v>693</v>
      </c>
      <c r="B496" s="22" t="s">
        <v>1584</v>
      </c>
      <c r="C496" s="22" t="s">
        <v>53</v>
      </c>
      <c r="D496" s="22" t="s">
        <v>24</v>
      </c>
      <c r="E496" s="22" t="s">
        <v>29</v>
      </c>
      <c r="F496" s="22" t="s">
        <v>15</v>
      </c>
      <c r="G496" s="22" t="s">
        <v>16</v>
      </c>
      <c r="H496" s="22">
        <v>41</v>
      </c>
      <c r="I496" s="24">
        <v>39550</v>
      </c>
      <c r="J496" s="27">
        <v>829</v>
      </c>
      <c r="K496" s="25">
        <v>0.05</v>
      </c>
      <c r="L496" s="22" t="s">
        <v>17</v>
      </c>
      <c r="M496" s="23" t="s">
        <v>40</v>
      </c>
    </row>
    <row r="497" spans="1:13" x14ac:dyDescent="0.35">
      <c r="A497" s="22" t="s">
        <v>694</v>
      </c>
      <c r="B497" s="22" t="s">
        <v>1585</v>
      </c>
      <c r="C497" s="22" t="s">
        <v>38</v>
      </c>
      <c r="D497" s="22" t="s">
        <v>43</v>
      </c>
      <c r="E497" s="22" t="s">
        <v>1102</v>
      </c>
      <c r="F497" s="22" t="s">
        <v>15</v>
      </c>
      <c r="G497" s="22" t="s">
        <v>21</v>
      </c>
      <c r="H497" s="22">
        <v>61</v>
      </c>
      <c r="I497" s="24">
        <v>35562</v>
      </c>
      <c r="J497" s="27">
        <v>869</v>
      </c>
      <c r="K497" s="25">
        <v>0</v>
      </c>
      <c r="L497" s="22" t="s">
        <v>30</v>
      </c>
      <c r="M497" s="23" t="s">
        <v>52</v>
      </c>
    </row>
    <row r="498" spans="1:13" x14ac:dyDescent="0.35">
      <c r="A498" s="22" t="s">
        <v>695</v>
      </c>
      <c r="B498" s="22" t="s">
        <v>1586</v>
      </c>
      <c r="C498" s="22" t="s">
        <v>57</v>
      </c>
      <c r="D498" s="22" t="s">
        <v>43</v>
      </c>
      <c r="E498" s="22" t="s">
        <v>29</v>
      </c>
      <c r="F498" s="22" t="s">
        <v>25</v>
      </c>
      <c r="G498" s="22" t="s">
        <v>21</v>
      </c>
      <c r="H498" s="22">
        <v>33</v>
      </c>
      <c r="I498" s="24">
        <v>44205</v>
      </c>
      <c r="J498" s="27">
        <v>725</v>
      </c>
      <c r="K498" s="25">
        <v>0</v>
      </c>
      <c r="L498" s="22" t="s">
        <v>30</v>
      </c>
      <c r="M498" s="23" t="s">
        <v>61</v>
      </c>
    </row>
    <row r="499" spans="1:13" x14ac:dyDescent="0.35">
      <c r="A499" s="22" t="s">
        <v>696</v>
      </c>
      <c r="B499" s="22" t="s">
        <v>1587</v>
      </c>
      <c r="C499" s="22" t="s">
        <v>36</v>
      </c>
      <c r="D499" s="22" t="s">
        <v>39</v>
      </c>
      <c r="E499" s="22" t="s">
        <v>29</v>
      </c>
      <c r="F499" s="22" t="s">
        <v>15</v>
      </c>
      <c r="G499" s="22" t="s">
        <v>21</v>
      </c>
      <c r="H499" s="22">
        <v>41</v>
      </c>
      <c r="I499" s="24">
        <v>44444</v>
      </c>
      <c r="J499" s="27">
        <v>671</v>
      </c>
      <c r="K499" s="25">
        <v>0.23</v>
      </c>
      <c r="L499" s="22" t="s">
        <v>30</v>
      </c>
      <c r="M499" s="23" t="s">
        <v>31</v>
      </c>
    </row>
    <row r="500" spans="1:13" x14ac:dyDescent="0.35">
      <c r="A500" s="22" t="s">
        <v>697</v>
      </c>
      <c r="B500" s="22" t="s">
        <v>1588</v>
      </c>
      <c r="C500" s="22" t="s">
        <v>77</v>
      </c>
      <c r="D500" s="22" t="s">
        <v>24</v>
      </c>
      <c r="E500" s="22" t="s">
        <v>33</v>
      </c>
      <c r="F500" s="22" t="s">
        <v>15</v>
      </c>
      <c r="G500" s="22" t="s">
        <v>21</v>
      </c>
      <c r="H500" s="22">
        <v>36</v>
      </c>
      <c r="I500" s="24">
        <v>41628</v>
      </c>
      <c r="J500" s="27">
        <v>513</v>
      </c>
      <c r="K500" s="25">
        <v>0</v>
      </c>
      <c r="L500" s="22" t="s">
        <v>17</v>
      </c>
      <c r="M500" s="23" t="s">
        <v>54</v>
      </c>
    </row>
    <row r="501" spans="1:13" x14ac:dyDescent="0.35">
      <c r="A501" s="22" t="s">
        <v>698</v>
      </c>
      <c r="B501" s="22" t="s">
        <v>1589</v>
      </c>
      <c r="C501" s="22" t="s">
        <v>53</v>
      </c>
      <c r="D501" s="22" t="s">
        <v>43</v>
      </c>
      <c r="E501" s="22" t="s">
        <v>29</v>
      </c>
      <c r="F501" s="22" t="s">
        <v>15</v>
      </c>
      <c r="G501" s="22" t="s">
        <v>21</v>
      </c>
      <c r="H501" s="22">
        <v>42</v>
      </c>
      <c r="I501" s="24">
        <v>43165</v>
      </c>
      <c r="J501" s="27">
        <v>927</v>
      </c>
      <c r="K501" s="25">
        <v>0.05</v>
      </c>
      <c r="L501" s="22" t="s">
        <v>17</v>
      </c>
      <c r="M501" s="23" t="s">
        <v>54</v>
      </c>
    </row>
    <row r="502" spans="1:13" x14ac:dyDescent="0.35">
      <c r="A502" s="22" t="s">
        <v>699</v>
      </c>
      <c r="B502" s="22" t="s">
        <v>1590</v>
      </c>
      <c r="C502" s="22" t="s">
        <v>77</v>
      </c>
      <c r="D502" s="22" t="s">
        <v>24</v>
      </c>
      <c r="E502" s="22" t="s">
        <v>33</v>
      </c>
      <c r="F502" s="22" t="s">
        <v>15</v>
      </c>
      <c r="G502" s="22" t="s">
        <v>16</v>
      </c>
      <c r="H502" s="22">
        <v>36</v>
      </c>
      <c r="I502" s="24">
        <v>42677</v>
      </c>
      <c r="J502" s="27">
        <v>911</v>
      </c>
      <c r="K502" s="25">
        <v>0</v>
      </c>
      <c r="L502" s="22" t="s">
        <v>17</v>
      </c>
      <c r="M502" s="23" t="s">
        <v>40</v>
      </c>
    </row>
    <row r="503" spans="1:13" x14ac:dyDescent="0.35">
      <c r="A503" s="22" t="s">
        <v>700</v>
      </c>
      <c r="B503" s="22" t="s">
        <v>1591</v>
      </c>
      <c r="C503" s="22" t="s">
        <v>53</v>
      </c>
      <c r="D503" s="22" t="s">
        <v>13</v>
      </c>
      <c r="E503" s="22" t="s">
        <v>33</v>
      </c>
      <c r="F503" s="22" t="s">
        <v>15</v>
      </c>
      <c r="G503" s="22" t="s">
        <v>16</v>
      </c>
      <c r="H503" s="22">
        <v>55</v>
      </c>
      <c r="I503" s="24">
        <v>41133</v>
      </c>
      <c r="J503" s="27">
        <v>549</v>
      </c>
      <c r="K503" s="25">
        <v>0.05</v>
      </c>
      <c r="L503" s="22" t="s">
        <v>17</v>
      </c>
      <c r="M503" s="23" t="s">
        <v>22</v>
      </c>
    </row>
    <row r="504" spans="1:13" x14ac:dyDescent="0.35">
      <c r="A504" s="22" t="s">
        <v>701</v>
      </c>
      <c r="B504" s="22" t="s">
        <v>1592</v>
      </c>
      <c r="C504" s="22" t="s">
        <v>83</v>
      </c>
      <c r="D504" s="22" t="s">
        <v>28</v>
      </c>
      <c r="E504" s="22" t="s">
        <v>29</v>
      </c>
      <c r="F504" s="22" t="s">
        <v>15</v>
      </c>
      <c r="G504" s="22" t="s">
        <v>21</v>
      </c>
      <c r="H504" s="22">
        <v>44</v>
      </c>
      <c r="I504" s="24">
        <v>43087</v>
      </c>
      <c r="J504" s="27">
        <v>922</v>
      </c>
      <c r="K504" s="25">
        <v>0</v>
      </c>
      <c r="L504" s="22" t="s">
        <v>30</v>
      </c>
      <c r="M504" s="23" t="s">
        <v>61</v>
      </c>
    </row>
    <row r="505" spans="1:13" x14ac:dyDescent="0.35">
      <c r="A505" s="22" t="s">
        <v>702</v>
      </c>
      <c r="B505" s="22" t="s">
        <v>1593</v>
      </c>
      <c r="C505" s="22" t="s">
        <v>53</v>
      </c>
      <c r="D505" s="22" t="s">
        <v>39</v>
      </c>
      <c r="E505" s="22" t="s">
        <v>14</v>
      </c>
      <c r="F505" s="22" t="s">
        <v>25</v>
      </c>
      <c r="G505" s="22" t="s">
        <v>44</v>
      </c>
      <c r="H505" s="22">
        <v>31</v>
      </c>
      <c r="I505" s="24">
        <v>44696</v>
      </c>
      <c r="J505" s="27">
        <v>908</v>
      </c>
      <c r="K505" s="25">
        <v>0.05</v>
      </c>
      <c r="L505" s="22" t="s">
        <v>45</v>
      </c>
      <c r="M505" s="23" t="s">
        <v>66</v>
      </c>
    </row>
    <row r="506" spans="1:13" x14ac:dyDescent="0.35">
      <c r="A506" s="22" t="s">
        <v>703</v>
      </c>
      <c r="B506" s="22" t="s">
        <v>1594</v>
      </c>
      <c r="C506" s="22" t="s">
        <v>74</v>
      </c>
      <c r="D506" s="22" t="s">
        <v>43</v>
      </c>
      <c r="E506" s="22" t="s">
        <v>14</v>
      </c>
      <c r="F506" s="22" t="s">
        <v>25</v>
      </c>
      <c r="G506" s="22" t="s">
        <v>21</v>
      </c>
      <c r="H506" s="22">
        <v>47</v>
      </c>
      <c r="I506" s="24">
        <v>41525</v>
      </c>
      <c r="J506" s="27">
        <v>642</v>
      </c>
      <c r="K506" s="25">
        <v>0</v>
      </c>
      <c r="L506" s="22" t="s">
        <v>30</v>
      </c>
      <c r="M506" s="23" t="s">
        <v>52</v>
      </c>
    </row>
    <row r="507" spans="1:13" x14ac:dyDescent="0.35">
      <c r="A507" s="22" t="s">
        <v>704</v>
      </c>
      <c r="B507" s="22" t="s">
        <v>1595</v>
      </c>
      <c r="C507" s="22" t="s">
        <v>12</v>
      </c>
      <c r="D507" s="22" t="s">
        <v>28</v>
      </c>
      <c r="E507" s="22" t="s">
        <v>29</v>
      </c>
      <c r="F507" s="22" t="s">
        <v>15</v>
      </c>
      <c r="G507" s="22" t="s">
        <v>41</v>
      </c>
      <c r="H507" s="22">
        <v>59</v>
      </c>
      <c r="I507" s="24">
        <v>37022</v>
      </c>
      <c r="J507" s="27">
        <v>836</v>
      </c>
      <c r="K507" s="25">
        <v>0.31</v>
      </c>
      <c r="L507" s="22" t="s">
        <v>17</v>
      </c>
      <c r="M507" s="23" t="s">
        <v>40</v>
      </c>
    </row>
    <row r="508" spans="1:13" x14ac:dyDescent="0.35">
      <c r="A508" s="22" t="s">
        <v>705</v>
      </c>
      <c r="B508" s="22" t="s">
        <v>1596</v>
      </c>
      <c r="C508" s="22" t="s">
        <v>36</v>
      </c>
      <c r="D508" s="22" t="s">
        <v>20</v>
      </c>
      <c r="E508" s="22" t="s">
        <v>1102</v>
      </c>
      <c r="F508" s="22" t="s">
        <v>15</v>
      </c>
      <c r="G508" s="22" t="s">
        <v>21</v>
      </c>
      <c r="H508" s="22">
        <v>48</v>
      </c>
      <c r="I508" s="24">
        <v>40047</v>
      </c>
      <c r="J508" s="27">
        <v>944</v>
      </c>
      <c r="K508" s="25">
        <v>0.22</v>
      </c>
      <c r="L508" s="22" t="s">
        <v>30</v>
      </c>
      <c r="M508" s="23" t="s">
        <v>31</v>
      </c>
    </row>
    <row r="509" spans="1:13" x14ac:dyDescent="0.35">
      <c r="A509" s="22" t="s">
        <v>706</v>
      </c>
      <c r="B509" s="22" t="s">
        <v>1597</v>
      </c>
      <c r="C509" s="22" t="s">
        <v>12</v>
      </c>
      <c r="D509" s="22" t="s">
        <v>20</v>
      </c>
      <c r="E509" s="22" t="s">
        <v>1102</v>
      </c>
      <c r="F509" s="22" t="s">
        <v>15</v>
      </c>
      <c r="G509" s="22" t="s">
        <v>21</v>
      </c>
      <c r="H509" s="22">
        <v>44</v>
      </c>
      <c r="I509" s="24">
        <v>38909</v>
      </c>
      <c r="J509" s="27">
        <v>785</v>
      </c>
      <c r="K509" s="25">
        <v>0.38</v>
      </c>
      <c r="L509" s="22" t="s">
        <v>30</v>
      </c>
      <c r="M509" s="23" t="s">
        <v>65</v>
      </c>
    </row>
    <row r="510" spans="1:13" x14ac:dyDescent="0.35">
      <c r="A510" s="22" t="s">
        <v>707</v>
      </c>
      <c r="B510" s="22" t="s">
        <v>1598</v>
      </c>
      <c r="C510" s="22" t="s">
        <v>74</v>
      </c>
      <c r="D510" s="22" t="s">
        <v>43</v>
      </c>
      <c r="E510" s="22" t="s">
        <v>33</v>
      </c>
      <c r="F510" s="22" t="s">
        <v>15</v>
      </c>
      <c r="G510" s="22" t="s">
        <v>21</v>
      </c>
      <c r="H510" s="22">
        <v>52</v>
      </c>
      <c r="I510" s="24">
        <v>35854</v>
      </c>
      <c r="J510" s="27">
        <v>525</v>
      </c>
      <c r="K510" s="25">
        <v>0</v>
      </c>
      <c r="L510" s="22" t="s">
        <v>30</v>
      </c>
      <c r="M510" s="23" t="s">
        <v>61</v>
      </c>
    </row>
    <row r="511" spans="1:13" x14ac:dyDescent="0.35">
      <c r="A511" s="22" t="s">
        <v>708</v>
      </c>
      <c r="B511" s="22" t="s">
        <v>1599</v>
      </c>
      <c r="C511" s="22" t="s">
        <v>38</v>
      </c>
      <c r="D511" s="22" t="s">
        <v>56</v>
      </c>
      <c r="E511" s="22" t="s">
        <v>1102</v>
      </c>
      <c r="F511" s="22" t="s">
        <v>25</v>
      </c>
      <c r="G511" s="22" t="s">
        <v>44</v>
      </c>
      <c r="H511" s="22">
        <v>54</v>
      </c>
      <c r="I511" s="24">
        <v>40005</v>
      </c>
      <c r="J511" s="27">
        <v>994</v>
      </c>
      <c r="K511" s="25">
        <v>0</v>
      </c>
      <c r="L511" s="22" t="s">
        <v>17</v>
      </c>
      <c r="M511" s="23" t="s">
        <v>54</v>
      </c>
    </row>
    <row r="512" spans="1:13" x14ac:dyDescent="0.35">
      <c r="A512" s="22" t="s">
        <v>709</v>
      </c>
      <c r="B512" s="22" t="s">
        <v>1600</v>
      </c>
      <c r="C512" s="22" t="s">
        <v>19</v>
      </c>
      <c r="D512" s="22" t="s">
        <v>20</v>
      </c>
      <c r="E512" s="22" t="s">
        <v>14</v>
      </c>
      <c r="F512" s="22" t="s">
        <v>15</v>
      </c>
      <c r="G512" s="22" t="s">
        <v>21</v>
      </c>
      <c r="H512" s="22">
        <v>31</v>
      </c>
      <c r="I512" s="24">
        <v>42605</v>
      </c>
      <c r="J512" s="27">
        <v>809</v>
      </c>
      <c r="K512" s="25">
        <v>0</v>
      </c>
      <c r="L512" s="22" t="s">
        <v>30</v>
      </c>
      <c r="M512" s="23" t="s">
        <v>31</v>
      </c>
    </row>
    <row r="513" spans="1:13" x14ac:dyDescent="0.35">
      <c r="A513" s="22" t="s">
        <v>710</v>
      </c>
      <c r="B513" s="22" t="s">
        <v>1601</v>
      </c>
      <c r="C513" s="22" t="s">
        <v>23</v>
      </c>
      <c r="D513" s="22" t="s">
        <v>24</v>
      </c>
      <c r="E513" s="22" t="s">
        <v>14</v>
      </c>
      <c r="F513" s="22" t="s">
        <v>25</v>
      </c>
      <c r="G513" s="22" t="s">
        <v>21</v>
      </c>
      <c r="H513" s="22">
        <v>39</v>
      </c>
      <c r="I513" s="24">
        <v>40644</v>
      </c>
      <c r="J513" s="27">
        <v>960</v>
      </c>
      <c r="K513" s="25">
        <v>0</v>
      </c>
      <c r="L513" s="22" t="s">
        <v>17</v>
      </c>
      <c r="M513" s="23" t="s">
        <v>40</v>
      </c>
    </row>
    <row r="514" spans="1:13" x14ac:dyDescent="0.35">
      <c r="A514" s="22" t="s">
        <v>711</v>
      </c>
      <c r="B514" s="22" t="s">
        <v>144</v>
      </c>
      <c r="C514" s="22" t="s">
        <v>1111</v>
      </c>
      <c r="D514" s="22" t="s">
        <v>24</v>
      </c>
      <c r="E514" s="22" t="s">
        <v>1102</v>
      </c>
      <c r="F514" s="22" t="s">
        <v>25</v>
      </c>
      <c r="G514" s="22" t="s">
        <v>21</v>
      </c>
      <c r="H514" s="22">
        <v>40</v>
      </c>
      <c r="I514" s="24">
        <v>41259</v>
      </c>
      <c r="J514" s="27">
        <v>952</v>
      </c>
      <c r="K514" s="25">
        <v>0.11</v>
      </c>
      <c r="L514" s="22" t="s">
        <v>17</v>
      </c>
      <c r="M514" s="23" t="s">
        <v>40</v>
      </c>
    </row>
    <row r="515" spans="1:13" x14ac:dyDescent="0.35">
      <c r="A515" s="22" t="s">
        <v>712</v>
      </c>
      <c r="B515" s="22" t="s">
        <v>1602</v>
      </c>
      <c r="C515" s="22" t="s">
        <v>53</v>
      </c>
      <c r="D515" s="22" t="s">
        <v>43</v>
      </c>
      <c r="E515" s="22" t="s">
        <v>29</v>
      </c>
      <c r="F515" s="22" t="s">
        <v>25</v>
      </c>
      <c r="G515" s="22" t="s">
        <v>16</v>
      </c>
      <c r="H515" s="22">
        <v>39</v>
      </c>
      <c r="I515" s="24">
        <v>39836</v>
      </c>
      <c r="J515" s="27">
        <v>816</v>
      </c>
      <c r="K515" s="25">
        <v>0.05</v>
      </c>
      <c r="L515" s="22" t="s">
        <v>17</v>
      </c>
      <c r="M515" s="23" t="s">
        <v>22</v>
      </c>
    </row>
    <row r="516" spans="1:13" x14ac:dyDescent="0.35">
      <c r="A516" s="22" t="s">
        <v>713</v>
      </c>
      <c r="B516" s="22" t="s">
        <v>1603</v>
      </c>
      <c r="C516" s="22" t="s">
        <v>36</v>
      </c>
      <c r="D516" s="22" t="s">
        <v>24</v>
      </c>
      <c r="E516" s="22" t="s">
        <v>14</v>
      </c>
      <c r="F516" s="22" t="s">
        <v>25</v>
      </c>
      <c r="G516" s="22" t="s">
        <v>16</v>
      </c>
      <c r="H516" s="22">
        <v>25</v>
      </c>
      <c r="I516" s="24">
        <v>44847</v>
      </c>
      <c r="J516" s="27">
        <v>665</v>
      </c>
      <c r="K516" s="25">
        <v>0.26</v>
      </c>
      <c r="L516" s="22" t="s">
        <v>17</v>
      </c>
      <c r="M516" s="23" t="s">
        <v>22</v>
      </c>
    </row>
    <row r="517" spans="1:13" x14ac:dyDescent="0.35">
      <c r="A517" s="22" t="s">
        <v>714</v>
      </c>
      <c r="B517" s="22" t="s">
        <v>1604</v>
      </c>
      <c r="C517" s="22" t="s">
        <v>58</v>
      </c>
      <c r="D517" s="22" t="s">
        <v>28</v>
      </c>
      <c r="E517" s="22" t="s">
        <v>14</v>
      </c>
      <c r="F517" s="22" t="s">
        <v>25</v>
      </c>
      <c r="G517" s="22" t="s">
        <v>21</v>
      </c>
      <c r="H517" s="22">
        <v>48</v>
      </c>
      <c r="I517" s="24">
        <v>37796</v>
      </c>
      <c r="J517" s="27">
        <v>656</v>
      </c>
      <c r="K517" s="25">
        <v>0</v>
      </c>
      <c r="L517" s="22" t="s">
        <v>30</v>
      </c>
      <c r="M517" s="23" t="s">
        <v>61</v>
      </c>
    </row>
    <row r="518" spans="1:13" x14ac:dyDescent="0.35">
      <c r="A518" s="22" t="s">
        <v>715</v>
      </c>
      <c r="B518" s="22" t="s">
        <v>1605</v>
      </c>
      <c r="C518" s="22" t="s">
        <v>59</v>
      </c>
      <c r="D518" s="22" t="s">
        <v>24</v>
      </c>
      <c r="E518" s="22" t="s">
        <v>14</v>
      </c>
      <c r="F518" s="22" t="s">
        <v>15</v>
      </c>
      <c r="G518" s="22" t="s">
        <v>44</v>
      </c>
      <c r="H518" s="22">
        <v>54</v>
      </c>
      <c r="I518" s="24">
        <v>37922</v>
      </c>
      <c r="J518" s="27">
        <v>975</v>
      </c>
      <c r="K518" s="25">
        <v>0</v>
      </c>
      <c r="L518" s="22" t="s">
        <v>17</v>
      </c>
      <c r="M518" s="23" t="s">
        <v>35</v>
      </c>
    </row>
    <row r="519" spans="1:13" x14ac:dyDescent="0.35">
      <c r="A519" s="22" t="s">
        <v>716</v>
      </c>
      <c r="B519" s="22" t="s">
        <v>1606</v>
      </c>
      <c r="C519" s="22" t="s">
        <v>83</v>
      </c>
      <c r="D519" s="22" t="s">
        <v>28</v>
      </c>
      <c r="E519" s="22" t="s">
        <v>33</v>
      </c>
      <c r="F519" s="22" t="s">
        <v>15</v>
      </c>
      <c r="G519" s="22" t="s">
        <v>16</v>
      </c>
      <c r="H519" s="22">
        <v>40</v>
      </c>
      <c r="I519" s="24">
        <v>43229</v>
      </c>
      <c r="J519" s="27">
        <v>804</v>
      </c>
      <c r="K519" s="25">
        <v>0</v>
      </c>
      <c r="L519" s="22" t="s">
        <v>17</v>
      </c>
      <c r="M519" s="23" t="s">
        <v>18</v>
      </c>
    </row>
    <row r="520" spans="1:13" x14ac:dyDescent="0.35">
      <c r="A520" s="22" t="s">
        <v>717</v>
      </c>
      <c r="B520" s="22" t="s">
        <v>1607</v>
      </c>
      <c r="C520" s="22" t="s">
        <v>32</v>
      </c>
      <c r="D520" s="22" t="s">
        <v>24</v>
      </c>
      <c r="E520" s="22" t="s">
        <v>33</v>
      </c>
      <c r="F520" s="22" t="s">
        <v>25</v>
      </c>
      <c r="G520" s="22" t="s">
        <v>16</v>
      </c>
      <c r="H520" s="22">
        <v>32</v>
      </c>
      <c r="I520" s="24">
        <v>44301</v>
      </c>
      <c r="J520" s="27">
        <v>890</v>
      </c>
      <c r="K520" s="25">
        <v>0</v>
      </c>
      <c r="L520" s="22" t="s">
        <v>17</v>
      </c>
      <c r="M520" s="23" t="s">
        <v>26</v>
      </c>
    </row>
    <row r="521" spans="1:13" x14ac:dyDescent="0.35">
      <c r="A521" s="22" t="s">
        <v>282</v>
      </c>
      <c r="B521" s="22" t="s">
        <v>1608</v>
      </c>
      <c r="C521" s="22" t="s">
        <v>12</v>
      </c>
      <c r="D521" s="22" t="s">
        <v>24</v>
      </c>
      <c r="E521" s="22" t="s">
        <v>33</v>
      </c>
      <c r="F521" s="22" t="s">
        <v>25</v>
      </c>
      <c r="G521" s="22" t="s">
        <v>44</v>
      </c>
      <c r="H521" s="22">
        <v>60</v>
      </c>
      <c r="I521" s="24">
        <v>41948</v>
      </c>
      <c r="J521" s="27">
        <v>718</v>
      </c>
      <c r="K521" s="25">
        <v>0.4</v>
      </c>
      <c r="L521" s="22" t="s">
        <v>17</v>
      </c>
      <c r="M521" s="23" t="s">
        <v>40</v>
      </c>
    </row>
    <row r="522" spans="1:13" x14ac:dyDescent="0.35">
      <c r="A522" s="22" t="s">
        <v>91</v>
      </c>
      <c r="B522" s="22" t="s">
        <v>1609</v>
      </c>
      <c r="C522" s="22" t="s">
        <v>55</v>
      </c>
      <c r="D522" s="22" t="s">
        <v>13</v>
      </c>
      <c r="E522" s="22" t="s">
        <v>1102</v>
      </c>
      <c r="F522" s="22" t="s">
        <v>15</v>
      </c>
      <c r="G522" s="22" t="s">
        <v>44</v>
      </c>
      <c r="H522" s="22">
        <v>29</v>
      </c>
      <c r="I522" s="24">
        <v>43241</v>
      </c>
      <c r="J522" s="27">
        <v>579</v>
      </c>
      <c r="K522" s="25">
        <v>0</v>
      </c>
      <c r="L522" s="22" t="s">
        <v>17</v>
      </c>
      <c r="M522" s="23" t="s">
        <v>54</v>
      </c>
    </row>
    <row r="523" spans="1:13" x14ac:dyDescent="0.35">
      <c r="A523" s="22" t="s">
        <v>718</v>
      </c>
      <c r="B523" s="22" t="s">
        <v>1610</v>
      </c>
      <c r="C523" s="22" t="s">
        <v>72</v>
      </c>
      <c r="D523" s="22" t="s">
        <v>24</v>
      </c>
      <c r="E523" s="22" t="s">
        <v>29</v>
      </c>
      <c r="F523" s="22" t="s">
        <v>15</v>
      </c>
      <c r="G523" s="22" t="s">
        <v>16</v>
      </c>
      <c r="H523" s="22">
        <v>25</v>
      </c>
      <c r="I523" s="24">
        <v>44250</v>
      </c>
      <c r="J523" s="27">
        <v>909</v>
      </c>
      <c r="K523" s="25">
        <v>0</v>
      </c>
      <c r="L523" s="22" t="s">
        <v>17</v>
      </c>
      <c r="M523" s="23" t="s">
        <v>40</v>
      </c>
    </row>
    <row r="524" spans="1:13" x14ac:dyDescent="0.35">
      <c r="A524" s="22" t="s">
        <v>719</v>
      </c>
      <c r="B524" s="22" t="s">
        <v>1611</v>
      </c>
      <c r="C524" s="22" t="s">
        <v>71</v>
      </c>
      <c r="D524" s="22" t="s">
        <v>24</v>
      </c>
      <c r="E524" s="22" t="s">
        <v>33</v>
      </c>
      <c r="F524" s="22" t="s">
        <v>25</v>
      </c>
      <c r="G524" s="22" t="s">
        <v>44</v>
      </c>
      <c r="H524" s="22">
        <v>34</v>
      </c>
      <c r="I524" s="24">
        <v>42532</v>
      </c>
      <c r="J524" s="27">
        <v>869</v>
      </c>
      <c r="K524" s="25">
        <v>0</v>
      </c>
      <c r="L524" s="22" t="s">
        <v>45</v>
      </c>
      <c r="M524" s="23" t="s">
        <v>66</v>
      </c>
    </row>
    <row r="525" spans="1:13" x14ac:dyDescent="0.35">
      <c r="A525" s="22" t="s">
        <v>720</v>
      </c>
      <c r="B525" s="22" t="s">
        <v>1612</v>
      </c>
      <c r="C525" s="22" t="s">
        <v>12</v>
      </c>
      <c r="D525" s="22" t="s">
        <v>24</v>
      </c>
      <c r="E525" s="22" t="s">
        <v>14</v>
      </c>
      <c r="F525" s="22" t="s">
        <v>15</v>
      </c>
      <c r="G525" s="22" t="s">
        <v>41</v>
      </c>
      <c r="H525" s="22">
        <v>26</v>
      </c>
      <c r="I525" s="24">
        <v>44687</v>
      </c>
      <c r="J525" s="27">
        <v>886</v>
      </c>
      <c r="K525" s="25">
        <v>0.36</v>
      </c>
      <c r="L525" s="22" t="s">
        <v>17</v>
      </c>
      <c r="M525" s="23" t="s">
        <v>35</v>
      </c>
    </row>
    <row r="526" spans="1:13" x14ac:dyDescent="0.35">
      <c r="A526" s="22" t="s">
        <v>721</v>
      </c>
      <c r="B526" s="22" t="s">
        <v>1613</v>
      </c>
      <c r="C526" s="22" t="s">
        <v>42</v>
      </c>
      <c r="D526" s="22" t="s">
        <v>43</v>
      </c>
      <c r="E526" s="22" t="s">
        <v>33</v>
      </c>
      <c r="F526" s="22" t="s">
        <v>25</v>
      </c>
      <c r="G526" s="22" t="s">
        <v>44</v>
      </c>
      <c r="H526" s="22">
        <v>39</v>
      </c>
      <c r="I526" s="24">
        <v>43058</v>
      </c>
      <c r="J526" s="27">
        <v>689</v>
      </c>
      <c r="K526" s="25">
        <v>0</v>
      </c>
      <c r="L526" s="22" t="s">
        <v>17</v>
      </c>
      <c r="M526" s="23" t="s">
        <v>18</v>
      </c>
    </row>
    <row r="527" spans="1:13" x14ac:dyDescent="0.35">
      <c r="A527" s="22" t="s">
        <v>722</v>
      </c>
      <c r="B527" s="22" t="s">
        <v>1614</v>
      </c>
      <c r="C527" s="22" t="s">
        <v>23</v>
      </c>
      <c r="D527" s="22" t="s">
        <v>24</v>
      </c>
      <c r="E527" s="22" t="s">
        <v>14</v>
      </c>
      <c r="F527" s="22" t="s">
        <v>15</v>
      </c>
      <c r="G527" s="22" t="s">
        <v>16</v>
      </c>
      <c r="H527" s="22">
        <v>34</v>
      </c>
      <c r="I527" s="24">
        <v>43401</v>
      </c>
      <c r="J527" s="27">
        <v>978</v>
      </c>
      <c r="K527" s="25">
        <v>0</v>
      </c>
      <c r="L527" s="22" t="s">
        <v>17</v>
      </c>
      <c r="M527" s="23" t="s">
        <v>54</v>
      </c>
    </row>
    <row r="528" spans="1:13" x14ac:dyDescent="0.35">
      <c r="A528" s="22" t="s">
        <v>723</v>
      </c>
      <c r="B528" s="22" t="s">
        <v>1615</v>
      </c>
      <c r="C528" s="22" t="s">
        <v>1111</v>
      </c>
      <c r="D528" s="22" t="s">
        <v>24</v>
      </c>
      <c r="E528" s="22" t="s">
        <v>14</v>
      </c>
      <c r="F528" s="22" t="s">
        <v>25</v>
      </c>
      <c r="G528" s="22" t="s">
        <v>44</v>
      </c>
      <c r="H528" s="22">
        <v>54</v>
      </c>
      <c r="I528" s="24">
        <v>35701</v>
      </c>
      <c r="J528" s="27">
        <v>805</v>
      </c>
      <c r="K528" s="25">
        <v>0.13</v>
      </c>
      <c r="L528" s="22" t="s">
        <v>45</v>
      </c>
      <c r="M528" s="23" t="s">
        <v>66</v>
      </c>
    </row>
    <row r="529" spans="1:13" x14ac:dyDescent="0.35">
      <c r="A529" s="22" t="s">
        <v>724</v>
      </c>
      <c r="B529" s="22" t="s">
        <v>1616</v>
      </c>
      <c r="C529" s="22" t="s">
        <v>57</v>
      </c>
      <c r="D529" s="22" t="s">
        <v>43</v>
      </c>
      <c r="E529" s="22" t="s">
        <v>33</v>
      </c>
      <c r="F529" s="22" t="s">
        <v>25</v>
      </c>
      <c r="G529" s="22" t="s">
        <v>16</v>
      </c>
      <c r="H529" s="22">
        <v>27</v>
      </c>
      <c r="I529" s="24">
        <v>44754</v>
      </c>
      <c r="J529" s="27">
        <v>564</v>
      </c>
      <c r="K529" s="25">
        <v>0</v>
      </c>
      <c r="L529" s="22" t="s">
        <v>17</v>
      </c>
      <c r="M529" s="23" t="s">
        <v>40</v>
      </c>
    </row>
    <row r="530" spans="1:13" x14ac:dyDescent="0.35">
      <c r="A530" s="22" t="s">
        <v>725</v>
      </c>
      <c r="B530" s="22" t="s">
        <v>1617</v>
      </c>
      <c r="C530" s="22" t="s">
        <v>1111</v>
      </c>
      <c r="D530" s="22" t="s">
        <v>13</v>
      </c>
      <c r="E530" s="22" t="s">
        <v>33</v>
      </c>
      <c r="F530" s="22" t="s">
        <v>15</v>
      </c>
      <c r="G530" s="22" t="s">
        <v>16</v>
      </c>
      <c r="H530" s="22">
        <v>26</v>
      </c>
      <c r="I530" s="24">
        <v>44150</v>
      </c>
      <c r="J530" s="27">
        <v>924</v>
      </c>
      <c r="K530" s="25">
        <v>0.14000000000000001</v>
      </c>
      <c r="L530" s="22" t="s">
        <v>17</v>
      </c>
      <c r="M530" s="23" t="s">
        <v>35</v>
      </c>
    </row>
    <row r="531" spans="1:13" x14ac:dyDescent="0.35">
      <c r="A531" s="22" t="s">
        <v>211</v>
      </c>
      <c r="B531" s="22" t="s">
        <v>1618</v>
      </c>
      <c r="C531" s="22" t="s">
        <v>12</v>
      </c>
      <c r="D531" s="22" t="s">
        <v>28</v>
      </c>
      <c r="E531" s="22" t="s">
        <v>1102</v>
      </c>
      <c r="F531" s="22" t="s">
        <v>15</v>
      </c>
      <c r="G531" s="22" t="s">
        <v>16</v>
      </c>
      <c r="H531" s="22">
        <v>26</v>
      </c>
      <c r="I531" s="24">
        <v>44778</v>
      </c>
      <c r="J531" s="27">
        <v>768</v>
      </c>
      <c r="K531" s="25">
        <v>0.35</v>
      </c>
      <c r="L531" s="22" t="s">
        <v>17</v>
      </c>
      <c r="M531" s="23" t="s">
        <v>35</v>
      </c>
    </row>
    <row r="532" spans="1:13" x14ac:dyDescent="0.35">
      <c r="A532" s="22" t="s">
        <v>726</v>
      </c>
      <c r="B532" s="22" t="s">
        <v>1619</v>
      </c>
      <c r="C532" s="22" t="s">
        <v>53</v>
      </c>
      <c r="D532" s="22" t="s">
        <v>43</v>
      </c>
      <c r="E532" s="22" t="s">
        <v>29</v>
      </c>
      <c r="F532" s="22" t="s">
        <v>15</v>
      </c>
      <c r="G532" s="22" t="s">
        <v>44</v>
      </c>
      <c r="H532" s="22">
        <v>29</v>
      </c>
      <c r="I532" s="24">
        <v>43648</v>
      </c>
      <c r="J532" s="27">
        <v>942</v>
      </c>
      <c r="K532" s="25">
        <v>0.1</v>
      </c>
      <c r="L532" s="22" t="s">
        <v>17</v>
      </c>
      <c r="M532" s="23" t="s">
        <v>26</v>
      </c>
    </row>
    <row r="533" spans="1:13" x14ac:dyDescent="0.35">
      <c r="A533" s="22" t="s">
        <v>727</v>
      </c>
      <c r="B533" s="22" t="s">
        <v>1620</v>
      </c>
      <c r="C533" s="22" t="s">
        <v>59</v>
      </c>
      <c r="D533" s="22" t="s">
        <v>24</v>
      </c>
      <c r="E533" s="22" t="s">
        <v>29</v>
      </c>
      <c r="F533" s="22" t="s">
        <v>25</v>
      </c>
      <c r="G533" s="22" t="s">
        <v>44</v>
      </c>
      <c r="H533" s="22">
        <v>64</v>
      </c>
      <c r="I533" s="24">
        <v>35626</v>
      </c>
      <c r="J533" s="27">
        <v>905</v>
      </c>
      <c r="K533" s="25">
        <v>0</v>
      </c>
      <c r="L533" s="22" t="s">
        <v>45</v>
      </c>
      <c r="M533" s="23" t="s">
        <v>66</v>
      </c>
    </row>
    <row r="534" spans="1:13" x14ac:dyDescent="0.35">
      <c r="A534" s="22" t="s">
        <v>195</v>
      </c>
      <c r="B534" s="22" t="s">
        <v>1621</v>
      </c>
      <c r="C534" s="22" t="s">
        <v>1111</v>
      </c>
      <c r="D534" s="22" t="s">
        <v>56</v>
      </c>
      <c r="E534" s="22" t="s">
        <v>14</v>
      </c>
      <c r="F534" s="22" t="s">
        <v>25</v>
      </c>
      <c r="G534" s="22" t="s">
        <v>44</v>
      </c>
      <c r="H534" s="22">
        <v>45</v>
      </c>
      <c r="I534" s="24">
        <v>37113</v>
      </c>
      <c r="J534" s="27">
        <v>939</v>
      </c>
      <c r="K534" s="25">
        <v>0.14000000000000001</v>
      </c>
      <c r="L534" s="22" t="s">
        <v>17</v>
      </c>
      <c r="M534" s="23" t="s">
        <v>18</v>
      </c>
    </row>
    <row r="535" spans="1:13" x14ac:dyDescent="0.35">
      <c r="A535" s="22" t="s">
        <v>258</v>
      </c>
      <c r="B535" s="22" t="s">
        <v>1622</v>
      </c>
      <c r="C535" s="22" t="s">
        <v>55</v>
      </c>
      <c r="D535" s="22" t="s">
        <v>39</v>
      </c>
      <c r="E535" s="22" t="s">
        <v>33</v>
      </c>
      <c r="F535" s="22" t="s">
        <v>15</v>
      </c>
      <c r="G535" s="22" t="s">
        <v>21</v>
      </c>
      <c r="H535" s="22">
        <v>45</v>
      </c>
      <c r="I535" s="24">
        <v>43458</v>
      </c>
      <c r="J535" s="27">
        <v>900</v>
      </c>
      <c r="K535" s="25">
        <v>0</v>
      </c>
      <c r="L535" s="22" t="s">
        <v>17</v>
      </c>
      <c r="M535" s="23" t="s">
        <v>54</v>
      </c>
    </row>
    <row r="536" spans="1:13" x14ac:dyDescent="0.35">
      <c r="A536" s="22" t="s">
        <v>728</v>
      </c>
      <c r="B536" s="22" t="s">
        <v>1623</v>
      </c>
      <c r="C536" s="22" t="s">
        <v>42</v>
      </c>
      <c r="D536" s="22" t="s">
        <v>43</v>
      </c>
      <c r="E536" s="22" t="s">
        <v>1102</v>
      </c>
      <c r="F536" s="22" t="s">
        <v>25</v>
      </c>
      <c r="G536" s="22" t="s">
        <v>44</v>
      </c>
      <c r="H536" s="22">
        <v>51</v>
      </c>
      <c r="I536" s="24">
        <v>44452</v>
      </c>
      <c r="J536" s="27">
        <v>628</v>
      </c>
      <c r="K536" s="25">
        <v>0</v>
      </c>
      <c r="L536" s="22" t="s">
        <v>17</v>
      </c>
      <c r="M536" s="23" t="s">
        <v>18</v>
      </c>
    </row>
    <row r="537" spans="1:13" x14ac:dyDescent="0.35">
      <c r="A537" s="22" t="s">
        <v>729</v>
      </c>
      <c r="B537" s="22" t="s">
        <v>1624</v>
      </c>
      <c r="C537" s="22" t="s">
        <v>73</v>
      </c>
      <c r="D537" s="22" t="s">
        <v>24</v>
      </c>
      <c r="E537" s="22" t="s">
        <v>33</v>
      </c>
      <c r="F537" s="22" t="s">
        <v>25</v>
      </c>
      <c r="G537" s="22" t="s">
        <v>44</v>
      </c>
      <c r="H537" s="22">
        <v>56</v>
      </c>
      <c r="I537" s="24">
        <v>38443</v>
      </c>
      <c r="J537" s="27">
        <v>971</v>
      </c>
      <c r="K537" s="25">
        <v>0</v>
      </c>
      <c r="L537" s="22" t="s">
        <v>17</v>
      </c>
      <c r="M537" s="23" t="s">
        <v>18</v>
      </c>
    </row>
    <row r="538" spans="1:13" x14ac:dyDescent="0.35">
      <c r="A538" s="22" t="s">
        <v>730</v>
      </c>
      <c r="B538" s="22" t="s">
        <v>1625</v>
      </c>
      <c r="C538" s="22" t="s">
        <v>47</v>
      </c>
      <c r="D538" s="22" t="s">
        <v>24</v>
      </c>
      <c r="E538" s="22" t="s">
        <v>1102</v>
      </c>
      <c r="F538" s="22" t="s">
        <v>25</v>
      </c>
      <c r="G538" s="22" t="s">
        <v>21</v>
      </c>
      <c r="H538" s="22">
        <v>58</v>
      </c>
      <c r="I538" s="24">
        <v>35016</v>
      </c>
      <c r="J538" s="27">
        <v>546</v>
      </c>
      <c r="K538" s="25">
        <v>0</v>
      </c>
      <c r="L538" s="22" t="s">
        <v>17</v>
      </c>
      <c r="M538" s="23" t="s">
        <v>22</v>
      </c>
    </row>
    <row r="539" spans="1:13" x14ac:dyDescent="0.35">
      <c r="A539" s="22" t="s">
        <v>731</v>
      </c>
      <c r="B539" s="22" t="s">
        <v>1626</v>
      </c>
      <c r="C539" s="22" t="s">
        <v>53</v>
      </c>
      <c r="D539" s="22" t="s">
        <v>20</v>
      </c>
      <c r="E539" s="22" t="s">
        <v>29</v>
      </c>
      <c r="F539" s="22" t="s">
        <v>25</v>
      </c>
      <c r="G539" s="22" t="s">
        <v>41</v>
      </c>
      <c r="H539" s="22">
        <v>43</v>
      </c>
      <c r="I539" s="24">
        <v>42632</v>
      </c>
      <c r="J539" s="27">
        <v>502</v>
      </c>
      <c r="K539" s="25">
        <v>0.1</v>
      </c>
      <c r="L539" s="22" t="s">
        <v>17</v>
      </c>
      <c r="M539" s="23" t="s">
        <v>26</v>
      </c>
    </row>
    <row r="540" spans="1:13" x14ac:dyDescent="0.35">
      <c r="A540" s="22" t="s">
        <v>732</v>
      </c>
      <c r="B540" s="22" t="s">
        <v>1627</v>
      </c>
      <c r="C540" s="22" t="s">
        <v>59</v>
      </c>
      <c r="D540" s="22" t="s">
        <v>24</v>
      </c>
      <c r="E540" s="22" t="s">
        <v>29</v>
      </c>
      <c r="F540" s="22" t="s">
        <v>25</v>
      </c>
      <c r="G540" s="22" t="s">
        <v>21</v>
      </c>
      <c r="H540" s="22">
        <v>52</v>
      </c>
      <c r="I540" s="24">
        <v>43308</v>
      </c>
      <c r="J540" s="27">
        <v>969</v>
      </c>
      <c r="K540" s="25">
        <v>0</v>
      </c>
      <c r="L540" s="22" t="s">
        <v>30</v>
      </c>
      <c r="M540" s="23" t="s">
        <v>52</v>
      </c>
    </row>
    <row r="541" spans="1:13" x14ac:dyDescent="0.35">
      <c r="A541" s="22" t="s">
        <v>733</v>
      </c>
      <c r="B541" s="22" t="s">
        <v>1628</v>
      </c>
      <c r="C541" s="22" t="s">
        <v>48</v>
      </c>
      <c r="D541" s="22" t="s">
        <v>24</v>
      </c>
      <c r="E541" s="22" t="s">
        <v>29</v>
      </c>
      <c r="F541" s="22" t="s">
        <v>25</v>
      </c>
      <c r="G541" s="22" t="s">
        <v>21</v>
      </c>
      <c r="H541" s="22">
        <v>41</v>
      </c>
      <c r="I541" s="24">
        <v>43243</v>
      </c>
      <c r="J541" s="27">
        <v>827</v>
      </c>
      <c r="K541" s="25">
        <v>0.1</v>
      </c>
      <c r="L541" s="22" t="s">
        <v>30</v>
      </c>
      <c r="M541" s="23" t="s">
        <v>61</v>
      </c>
    </row>
    <row r="542" spans="1:13" x14ac:dyDescent="0.35">
      <c r="A542" s="22" t="s">
        <v>734</v>
      </c>
      <c r="B542" s="22" t="s">
        <v>1629</v>
      </c>
      <c r="C542" s="22" t="s">
        <v>12</v>
      </c>
      <c r="D542" s="22" t="s">
        <v>56</v>
      </c>
      <c r="E542" s="22" t="s">
        <v>1102</v>
      </c>
      <c r="F542" s="22" t="s">
        <v>25</v>
      </c>
      <c r="G542" s="22" t="s">
        <v>16</v>
      </c>
      <c r="H542" s="22">
        <v>43</v>
      </c>
      <c r="I542" s="24">
        <v>42415</v>
      </c>
      <c r="J542" s="27">
        <v>969</v>
      </c>
      <c r="K542" s="25">
        <v>0.33</v>
      </c>
      <c r="L542" s="22" t="s">
        <v>17</v>
      </c>
      <c r="M542" s="23" t="s">
        <v>26</v>
      </c>
    </row>
    <row r="543" spans="1:13" x14ac:dyDescent="0.35">
      <c r="A543" s="22" t="s">
        <v>735</v>
      </c>
      <c r="B543" s="22" t="s">
        <v>1630</v>
      </c>
      <c r="C543" s="22" t="s">
        <v>60</v>
      </c>
      <c r="D543" s="22" t="s">
        <v>24</v>
      </c>
      <c r="E543" s="22" t="s">
        <v>14</v>
      </c>
      <c r="F543" s="22" t="s">
        <v>25</v>
      </c>
      <c r="G543" s="22" t="s">
        <v>44</v>
      </c>
      <c r="H543" s="22">
        <v>36</v>
      </c>
      <c r="I543" s="24">
        <v>42399</v>
      </c>
      <c r="J543" s="27">
        <v>708</v>
      </c>
      <c r="K543" s="25">
        <v>0</v>
      </c>
      <c r="L543" s="22" t="s">
        <v>45</v>
      </c>
      <c r="M543" s="23" t="s">
        <v>46</v>
      </c>
    </row>
    <row r="544" spans="1:13" x14ac:dyDescent="0.35">
      <c r="A544" s="22" t="s">
        <v>736</v>
      </c>
      <c r="B544" s="22" t="s">
        <v>1631</v>
      </c>
      <c r="C544" s="22" t="s">
        <v>70</v>
      </c>
      <c r="D544" s="22" t="s">
        <v>28</v>
      </c>
      <c r="E544" s="22" t="s">
        <v>14</v>
      </c>
      <c r="F544" s="22" t="s">
        <v>25</v>
      </c>
      <c r="G544" s="22" t="s">
        <v>16</v>
      </c>
      <c r="H544" s="22">
        <v>55</v>
      </c>
      <c r="I544" s="24">
        <v>39302</v>
      </c>
      <c r="J544" s="27">
        <v>617</v>
      </c>
      <c r="K544" s="25">
        <v>0</v>
      </c>
      <c r="L544" s="22" t="s">
        <v>17</v>
      </c>
      <c r="M544" s="23" t="s">
        <v>54</v>
      </c>
    </row>
    <row r="545" spans="1:13" x14ac:dyDescent="0.35">
      <c r="A545" s="22" t="s">
        <v>737</v>
      </c>
      <c r="B545" s="22" t="s">
        <v>1632</v>
      </c>
      <c r="C545" s="22" t="s">
        <v>47</v>
      </c>
      <c r="D545" s="22" t="s">
        <v>24</v>
      </c>
      <c r="E545" s="22" t="s">
        <v>1102</v>
      </c>
      <c r="F545" s="22" t="s">
        <v>15</v>
      </c>
      <c r="G545" s="22" t="s">
        <v>21</v>
      </c>
      <c r="H545" s="22">
        <v>39</v>
      </c>
      <c r="I545" s="24">
        <v>39908</v>
      </c>
      <c r="J545" s="27">
        <v>559</v>
      </c>
      <c r="K545" s="25">
        <v>0</v>
      </c>
      <c r="L545" s="22" t="s">
        <v>17</v>
      </c>
      <c r="M545" s="23" t="s">
        <v>18</v>
      </c>
    </row>
    <row r="546" spans="1:13" x14ac:dyDescent="0.35">
      <c r="A546" s="22" t="s">
        <v>738</v>
      </c>
      <c r="B546" s="22" t="s">
        <v>1633</v>
      </c>
      <c r="C546" s="22" t="s">
        <v>55</v>
      </c>
      <c r="D546" s="22" t="s">
        <v>56</v>
      </c>
      <c r="E546" s="22" t="s">
        <v>29</v>
      </c>
      <c r="F546" s="22" t="s">
        <v>15</v>
      </c>
      <c r="G546" s="22" t="s">
        <v>16</v>
      </c>
      <c r="H546" s="22">
        <v>56</v>
      </c>
      <c r="I546" s="24">
        <v>36951</v>
      </c>
      <c r="J546" s="27">
        <v>601</v>
      </c>
      <c r="K546" s="25">
        <v>0</v>
      </c>
      <c r="L546" s="22" t="s">
        <v>17</v>
      </c>
      <c r="M546" s="23" t="s">
        <v>40</v>
      </c>
    </row>
    <row r="547" spans="1:13" x14ac:dyDescent="0.35">
      <c r="A547" s="22" t="s">
        <v>739</v>
      </c>
      <c r="B547" s="22" t="s">
        <v>1634</v>
      </c>
      <c r="C547" s="22" t="s">
        <v>1111</v>
      </c>
      <c r="D547" s="22" t="s">
        <v>43</v>
      </c>
      <c r="E547" s="22" t="s">
        <v>14</v>
      </c>
      <c r="F547" s="22" t="s">
        <v>25</v>
      </c>
      <c r="G547" s="22" t="s">
        <v>21</v>
      </c>
      <c r="H547" s="22">
        <v>45</v>
      </c>
      <c r="I547" s="24">
        <v>39875</v>
      </c>
      <c r="J547" s="27">
        <v>785</v>
      </c>
      <c r="K547" s="25">
        <v>0.13</v>
      </c>
      <c r="L547" s="22" t="s">
        <v>30</v>
      </c>
      <c r="M547" s="23" t="s">
        <v>52</v>
      </c>
    </row>
    <row r="548" spans="1:13" x14ac:dyDescent="0.35">
      <c r="A548" s="22" t="s">
        <v>740</v>
      </c>
      <c r="B548" s="22" t="s">
        <v>1635</v>
      </c>
      <c r="C548" s="22" t="s">
        <v>77</v>
      </c>
      <c r="D548" s="22" t="s">
        <v>24</v>
      </c>
      <c r="E548" s="22" t="s">
        <v>1102</v>
      </c>
      <c r="F548" s="22" t="s">
        <v>15</v>
      </c>
      <c r="G548" s="22" t="s">
        <v>44</v>
      </c>
      <c r="H548" s="22">
        <v>63</v>
      </c>
      <c r="I548" s="24">
        <v>39587</v>
      </c>
      <c r="J548" s="27">
        <v>916</v>
      </c>
      <c r="K548" s="25">
        <v>0</v>
      </c>
      <c r="L548" s="22" t="s">
        <v>45</v>
      </c>
      <c r="M548" s="23" t="s">
        <v>1134</v>
      </c>
    </row>
    <row r="549" spans="1:13" x14ac:dyDescent="0.35">
      <c r="A549" s="22" t="s">
        <v>741</v>
      </c>
      <c r="B549" s="22" t="s">
        <v>1636</v>
      </c>
      <c r="C549" s="22" t="s">
        <v>36</v>
      </c>
      <c r="D549" s="22" t="s">
        <v>20</v>
      </c>
      <c r="E549" s="22" t="s">
        <v>29</v>
      </c>
      <c r="F549" s="22" t="s">
        <v>15</v>
      </c>
      <c r="G549" s="22" t="s">
        <v>44</v>
      </c>
      <c r="H549" s="22">
        <v>39</v>
      </c>
      <c r="I549" s="24">
        <v>41906</v>
      </c>
      <c r="J549" s="27">
        <v>828</v>
      </c>
      <c r="K549" s="25">
        <v>0.28999999999999998</v>
      </c>
      <c r="L549" s="22" t="s">
        <v>45</v>
      </c>
      <c r="M549" s="23" t="s">
        <v>1134</v>
      </c>
    </row>
    <row r="550" spans="1:13" x14ac:dyDescent="0.35">
      <c r="A550" s="22" t="s">
        <v>742</v>
      </c>
      <c r="B550" s="22" t="s">
        <v>1637</v>
      </c>
      <c r="C550" s="22" t="s">
        <v>57</v>
      </c>
      <c r="D550" s="22" t="s">
        <v>13</v>
      </c>
      <c r="E550" s="22" t="s">
        <v>29</v>
      </c>
      <c r="F550" s="22" t="s">
        <v>25</v>
      </c>
      <c r="G550" s="22" t="s">
        <v>21</v>
      </c>
      <c r="H550" s="22">
        <v>32</v>
      </c>
      <c r="I550" s="24">
        <v>42033</v>
      </c>
      <c r="J550" s="27">
        <v>746</v>
      </c>
      <c r="K550" s="25">
        <v>0</v>
      </c>
      <c r="L550" s="22" t="s">
        <v>17</v>
      </c>
      <c r="M550" s="23" t="s">
        <v>22</v>
      </c>
    </row>
    <row r="551" spans="1:13" x14ac:dyDescent="0.35">
      <c r="A551" s="22" t="s">
        <v>743</v>
      </c>
      <c r="B551" s="22" t="s">
        <v>1638</v>
      </c>
      <c r="C551" s="22" t="s">
        <v>55</v>
      </c>
      <c r="D551" s="22" t="s">
        <v>13</v>
      </c>
      <c r="E551" s="22" t="s">
        <v>33</v>
      </c>
      <c r="F551" s="22" t="s">
        <v>25</v>
      </c>
      <c r="G551" s="22" t="s">
        <v>21</v>
      </c>
      <c r="H551" s="22">
        <v>45</v>
      </c>
      <c r="I551" s="24">
        <v>41246</v>
      </c>
      <c r="J551" s="27">
        <v>705</v>
      </c>
      <c r="K551" s="25">
        <v>0</v>
      </c>
      <c r="L551" s="22" t="s">
        <v>30</v>
      </c>
      <c r="M551" s="23" t="s">
        <v>65</v>
      </c>
    </row>
    <row r="552" spans="1:13" x14ac:dyDescent="0.35">
      <c r="A552" s="22" t="s">
        <v>744</v>
      </c>
      <c r="B552" s="22" t="s">
        <v>1639</v>
      </c>
      <c r="C552" s="22" t="s">
        <v>60</v>
      </c>
      <c r="D552" s="22" t="s">
        <v>24</v>
      </c>
      <c r="E552" s="22" t="s">
        <v>14</v>
      </c>
      <c r="F552" s="22" t="s">
        <v>25</v>
      </c>
      <c r="G552" s="22" t="s">
        <v>21</v>
      </c>
      <c r="H552" s="22">
        <v>41</v>
      </c>
      <c r="I552" s="24">
        <v>43420</v>
      </c>
      <c r="J552" s="27">
        <v>720</v>
      </c>
      <c r="K552" s="25">
        <v>0</v>
      </c>
      <c r="L552" s="22" t="s">
        <v>30</v>
      </c>
      <c r="M552" s="23" t="s">
        <v>61</v>
      </c>
    </row>
    <row r="553" spans="1:13" x14ac:dyDescent="0.35">
      <c r="A553" s="22" t="s">
        <v>745</v>
      </c>
      <c r="B553" s="22" t="s">
        <v>1640</v>
      </c>
      <c r="C553" s="22" t="s">
        <v>58</v>
      </c>
      <c r="D553" s="22" t="s">
        <v>28</v>
      </c>
      <c r="E553" s="22" t="s">
        <v>29</v>
      </c>
      <c r="F553" s="22" t="s">
        <v>15</v>
      </c>
      <c r="G553" s="22" t="s">
        <v>16</v>
      </c>
      <c r="H553" s="22">
        <v>56</v>
      </c>
      <c r="I553" s="24">
        <v>42781</v>
      </c>
      <c r="J553" s="27">
        <v>661</v>
      </c>
      <c r="K553" s="25">
        <v>0</v>
      </c>
      <c r="L553" s="22" t="s">
        <v>17</v>
      </c>
      <c r="M553" s="23" t="s">
        <v>18</v>
      </c>
    </row>
    <row r="554" spans="1:13" x14ac:dyDescent="0.35">
      <c r="A554" s="22" t="s">
        <v>271</v>
      </c>
      <c r="B554" s="22" t="s">
        <v>1641</v>
      </c>
      <c r="C554" s="22" t="s">
        <v>53</v>
      </c>
      <c r="D554" s="22" t="s">
        <v>39</v>
      </c>
      <c r="E554" s="22" t="s">
        <v>1102</v>
      </c>
      <c r="F554" s="22" t="s">
        <v>15</v>
      </c>
      <c r="G554" s="22" t="s">
        <v>44</v>
      </c>
      <c r="H554" s="22">
        <v>30</v>
      </c>
      <c r="I554" s="24">
        <v>43097</v>
      </c>
      <c r="J554" s="27">
        <v>868</v>
      </c>
      <c r="K554" s="25">
        <v>7.0000000000000007E-2</v>
      </c>
      <c r="L554" s="22" t="s">
        <v>17</v>
      </c>
      <c r="M554" s="23" t="s">
        <v>35</v>
      </c>
    </row>
    <row r="555" spans="1:13" x14ac:dyDescent="0.35">
      <c r="A555" s="22" t="s">
        <v>174</v>
      </c>
      <c r="B555" s="22" t="s">
        <v>1642</v>
      </c>
      <c r="C555" s="22" t="s">
        <v>51</v>
      </c>
      <c r="D555" s="22" t="s">
        <v>28</v>
      </c>
      <c r="E555" s="22" t="s">
        <v>33</v>
      </c>
      <c r="F555" s="22" t="s">
        <v>25</v>
      </c>
      <c r="G555" s="22" t="s">
        <v>16</v>
      </c>
      <c r="H555" s="22">
        <v>46</v>
      </c>
      <c r="I555" s="24">
        <v>40230</v>
      </c>
      <c r="J555" s="27">
        <v>596</v>
      </c>
      <c r="K555" s="25">
        <v>0</v>
      </c>
      <c r="L555" s="22" t="s">
        <v>17</v>
      </c>
      <c r="M555" s="23" t="s">
        <v>18</v>
      </c>
    </row>
    <row r="556" spans="1:13" x14ac:dyDescent="0.35">
      <c r="A556" s="22" t="s">
        <v>746</v>
      </c>
      <c r="B556" s="22" t="s">
        <v>1643</v>
      </c>
      <c r="C556" s="22" t="s">
        <v>72</v>
      </c>
      <c r="D556" s="22" t="s">
        <v>24</v>
      </c>
      <c r="E556" s="22" t="s">
        <v>1102</v>
      </c>
      <c r="F556" s="22" t="s">
        <v>25</v>
      </c>
      <c r="G556" s="22" t="s">
        <v>16</v>
      </c>
      <c r="H556" s="22">
        <v>47</v>
      </c>
      <c r="I556" s="24">
        <v>39725</v>
      </c>
      <c r="J556" s="27">
        <v>804</v>
      </c>
      <c r="K556" s="25">
        <v>0</v>
      </c>
      <c r="L556" s="22" t="s">
        <v>17</v>
      </c>
      <c r="M556" s="23" t="s">
        <v>54</v>
      </c>
    </row>
    <row r="557" spans="1:13" x14ac:dyDescent="0.35">
      <c r="A557" s="22" t="s">
        <v>747</v>
      </c>
      <c r="B557" s="22" t="s">
        <v>1644</v>
      </c>
      <c r="C557" s="22" t="s">
        <v>12</v>
      </c>
      <c r="D557" s="22" t="s">
        <v>28</v>
      </c>
      <c r="E557" s="22" t="s">
        <v>33</v>
      </c>
      <c r="F557" s="22" t="s">
        <v>25</v>
      </c>
      <c r="G557" s="22" t="s">
        <v>16</v>
      </c>
      <c r="H557" s="22">
        <v>53</v>
      </c>
      <c r="I557" s="24">
        <v>40781</v>
      </c>
      <c r="J557" s="27">
        <v>525</v>
      </c>
      <c r="K557" s="25">
        <v>0.34</v>
      </c>
      <c r="L557" s="22" t="s">
        <v>17</v>
      </c>
      <c r="M557" s="23" t="s">
        <v>54</v>
      </c>
    </row>
    <row r="558" spans="1:13" x14ac:dyDescent="0.35">
      <c r="A558" s="22" t="s">
        <v>275</v>
      </c>
      <c r="B558" s="22" t="s">
        <v>1645</v>
      </c>
      <c r="C558" s="22" t="s">
        <v>34</v>
      </c>
      <c r="D558" s="22" t="s">
        <v>24</v>
      </c>
      <c r="E558" s="22" t="s">
        <v>1102</v>
      </c>
      <c r="F558" s="22" t="s">
        <v>25</v>
      </c>
      <c r="G558" s="22" t="s">
        <v>21</v>
      </c>
      <c r="H558" s="22">
        <v>38</v>
      </c>
      <c r="I558" s="24">
        <v>44462</v>
      </c>
      <c r="J558" s="27">
        <v>882</v>
      </c>
      <c r="K558" s="25">
        <v>0</v>
      </c>
      <c r="L558" s="22" t="s">
        <v>30</v>
      </c>
      <c r="M558" s="23" t="s">
        <v>65</v>
      </c>
    </row>
    <row r="559" spans="1:13" x14ac:dyDescent="0.35">
      <c r="A559" s="22" t="s">
        <v>748</v>
      </c>
      <c r="B559" s="22" t="s">
        <v>1646</v>
      </c>
      <c r="C559" s="22" t="s">
        <v>67</v>
      </c>
      <c r="D559" s="22" t="s">
        <v>24</v>
      </c>
      <c r="E559" s="22" t="s">
        <v>14</v>
      </c>
      <c r="F559" s="22" t="s">
        <v>25</v>
      </c>
      <c r="G559" s="22" t="s">
        <v>21</v>
      </c>
      <c r="H559" s="22">
        <v>65</v>
      </c>
      <c r="I559" s="24">
        <v>34147</v>
      </c>
      <c r="J559" s="27">
        <v>911</v>
      </c>
      <c r="K559" s="25">
        <v>0</v>
      </c>
      <c r="L559" s="22" t="s">
        <v>17</v>
      </c>
      <c r="M559" s="23" t="s">
        <v>54</v>
      </c>
    </row>
    <row r="560" spans="1:13" x14ac:dyDescent="0.35">
      <c r="A560" s="22" t="s">
        <v>749</v>
      </c>
      <c r="B560" s="22" t="s">
        <v>1647</v>
      </c>
      <c r="C560" s="22" t="s">
        <v>70</v>
      </c>
      <c r="D560" s="22" t="s">
        <v>28</v>
      </c>
      <c r="E560" s="22" t="s">
        <v>1102</v>
      </c>
      <c r="F560" s="22" t="s">
        <v>15</v>
      </c>
      <c r="G560" s="22" t="s">
        <v>44</v>
      </c>
      <c r="H560" s="22">
        <v>58</v>
      </c>
      <c r="I560" s="24">
        <v>39386</v>
      </c>
      <c r="J560" s="27">
        <v>866</v>
      </c>
      <c r="K560" s="25">
        <v>0</v>
      </c>
      <c r="L560" s="22" t="s">
        <v>17</v>
      </c>
      <c r="M560" s="23" t="s">
        <v>18</v>
      </c>
    </row>
    <row r="561" spans="1:13" x14ac:dyDescent="0.35">
      <c r="A561" s="22" t="s">
        <v>274</v>
      </c>
      <c r="B561" s="22" t="s">
        <v>1648</v>
      </c>
      <c r="C561" s="22" t="s">
        <v>55</v>
      </c>
      <c r="D561" s="22" t="s">
        <v>56</v>
      </c>
      <c r="E561" s="22" t="s">
        <v>33</v>
      </c>
      <c r="F561" s="22" t="s">
        <v>15</v>
      </c>
      <c r="G561" s="22" t="s">
        <v>21</v>
      </c>
      <c r="H561" s="22">
        <v>36</v>
      </c>
      <c r="I561" s="24">
        <v>40676</v>
      </c>
      <c r="J561" s="27">
        <v>772</v>
      </c>
      <c r="K561" s="25">
        <v>0</v>
      </c>
      <c r="L561" s="22" t="s">
        <v>17</v>
      </c>
      <c r="M561" s="23" t="s">
        <v>22</v>
      </c>
    </row>
    <row r="562" spans="1:13" x14ac:dyDescent="0.35">
      <c r="A562" s="22" t="s">
        <v>228</v>
      </c>
      <c r="B562" s="22" t="s">
        <v>1649</v>
      </c>
      <c r="C562" s="22" t="s">
        <v>57</v>
      </c>
      <c r="D562" s="22" t="s">
        <v>56</v>
      </c>
      <c r="E562" s="22" t="s">
        <v>14</v>
      </c>
      <c r="F562" s="22" t="s">
        <v>15</v>
      </c>
      <c r="G562" s="22" t="s">
        <v>21</v>
      </c>
      <c r="H562" s="22">
        <v>45</v>
      </c>
      <c r="I562" s="24">
        <v>42239</v>
      </c>
      <c r="J562" s="27">
        <v>658</v>
      </c>
      <c r="K562" s="25">
        <v>0</v>
      </c>
      <c r="L562" s="22" t="s">
        <v>17</v>
      </c>
      <c r="M562" s="23" t="s">
        <v>22</v>
      </c>
    </row>
    <row r="563" spans="1:13" x14ac:dyDescent="0.35">
      <c r="A563" s="22" t="s">
        <v>231</v>
      </c>
      <c r="B563" s="22" t="s">
        <v>1650</v>
      </c>
      <c r="C563" s="22" t="s">
        <v>58</v>
      </c>
      <c r="D563" s="22" t="s">
        <v>28</v>
      </c>
      <c r="E563" s="22" t="s">
        <v>14</v>
      </c>
      <c r="F563" s="22" t="s">
        <v>25</v>
      </c>
      <c r="G563" s="22" t="s">
        <v>44</v>
      </c>
      <c r="H563" s="22">
        <v>34</v>
      </c>
      <c r="I563" s="24">
        <v>43684</v>
      </c>
      <c r="J563" s="27">
        <v>638</v>
      </c>
      <c r="K563" s="25">
        <v>0</v>
      </c>
      <c r="L563" s="22" t="s">
        <v>17</v>
      </c>
      <c r="M563" s="23" t="s">
        <v>18</v>
      </c>
    </row>
    <row r="564" spans="1:13" x14ac:dyDescent="0.35">
      <c r="A564" s="22" t="s">
        <v>750</v>
      </c>
      <c r="B564" s="22" t="s">
        <v>1651</v>
      </c>
      <c r="C564" s="22" t="s">
        <v>19</v>
      </c>
      <c r="D564" s="22" t="s">
        <v>20</v>
      </c>
      <c r="E564" s="22" t="s">
        <v>14</v>
      </c>
      <c r="F564" s="22" t="s">
        <v>15</v>
      </c>
      <c r="G564" s="22" t="s">
        <v>21</v>
      </c>
      <c r="H564" s="22">
        <v>37</v>
      </c>
      <c r="I564" s="24">
        <v>40241</v>
      </c>
      <c r="J564" s="27">
        <v>726</v>
      </c>
      <c r="K564" s="25">
        <v>0</v>
      </c>
      <c r="L564" s="22" t="s">
        <v>30</v>
      </c>
      <c r="M564" s="23" t="s">
        <v>52</v>
      </c>
    </row>
    <row r="565" spans="1:13" x14ac:dyDescent="0.35">
      <c r="A565" s="22" t="s">
        <v>751</v>
      </c>
      <c r="B565" s="22" t="s">
        <v>1652</v>
      </c>
      <c r="C565" s="22" t="s">
        <v>38</v>
      </c>
      <c r="D565" s="22" t="s">
        <v>43</v>
      </c>
      <c r="E565" s="22" t="s">
        <v>33</v>
      </c>
      <c r="F565" s="22" t="s">
        <v>25</v>
      </c>
      <c r="G565" s="22" t="s">
        <v>21</v>
      </c>
      <c r="H565" s="22">
        <v>43</v>
      </c>
      <c r="I565" s="24">
        <v>44478</v>
      </c>
      <c r="J565" s="27">
        <v>681</v>
      </c>
      <c r="K565" s="25">
        <v>0</v>
      </c>
      <c r="L565" s="22" t="s">
        <v>17</v>
      </c>
      <c r="M565" s="23" t="s">
        <v>18</v>
      </c>
    </row>
    <row r="566" spans="1:13" x14ac:dyDescent="0.35">
      <c r="A566" s="22" t="s">
        <v>752</v>
      </c>
      <c r="B566" s="22" t="s">
        <v>1653</v>
      </c>
      <c r="C566" s="22" t="s">
        <v>70</v>
      </c>
      <c r="D566" s="22" t="s">
        <v>28</v>
      </c>
      <c r="E566" s="22" t="s">
        <v>14</v>
      </c>
      <c r="F566" s="22" t="s">
        <v>25</v>
      </c>
      <c r="G566" s="22" t="s">
        <v>44</v>
      </c>
      <c r="H566" s="22">
        <v>27</v>
      </c>
      <c r="I566" s="24">
        <v>44599</v>
      </c>
      <c r="J566" s="27">
        <v>510</v>
      </c>
      <c r="K566" s="25">
        <v>0</v>
      </c>
      <c r="L566" s="22" t="s">
        <v>45</v>
      </c>
      <c r="M566" s="23" t="s">
        <v>1134</v>
      </c>
    </row>
    <row r="567" spans="1:13" x14ac:dyDescent="0.35">
      <c r="A567" s="22" t="s">
        <v>753</v>
      </c>
      <c r="B567" s="22" t="s">
        <v>1654</v>
      </c>
      <c r="C567" s="22" t="s">
        <v>55</v>
      </c>
      <c r="D567" s="22" t="s">
        <v>43</v>
      </c>
      <c r="E567" s="22" t="s">
        <v>33</v>
      </c>
      <c r="F567" s="22" t="s">
        <v>25</v>
      </c>
      <c r="G567" s="22" t="s">
        <v>44</v>
      </c>
      <c r="H567" s="22">
        <v>38</v>
      </c>
      <c r="I567" s="24">
        <v>44534</v>
      </c>
      <c r="J567" s="27">
        <v>546</v>
      </c>
      <c r="K567" s="25">
        <v>0</v>
      </c>
      <c r="L567" s="22" t="s">
        <v>17</v>
      </c>
      <c r="M567" s="23" t="s">
        <v>40</v>
      </c>
    </row>
    <row r="568" spans="1:13" x14ac:dyDescent="0.35">
      <c r="A568" s="22" t="s">
        <v>754</v>
      </c>
      <c r="B568" s="22" t="s">
        <v>1655</v>
      </c>
      <c r="C568" s="22" t="s">
        <v>34</v>
      </c>
      <c r="D568" s="22" t="s">
        <v>24</v>
      </c>
      <c r="E568" s="22" t="s">
        <v>29</v>
      </c>
      <c r="F568" s="22" t="s">
        <v>15</v>
      </c>
      <c r="G568" s="22" t="s">
        <v>16</v>
      </c>
      <c r="H568" s="22">
        <v>60</v>
      </c>
      <c r="I568" s="24">
        <v>34222</v>
      </c>
      <c r="J568" s="27">
        <v>986</v>
      </c>
      <c r="K568" s="25">
        <v>0</v>
      </c>
      <c r="L568" s="22" t="s">
        <v>17</v>
      </c>
      <c r="M568" s="23" t="s">
        <v>40</v>
      </c>
    </row>
    <row r="569" spans="1:13" x14ac:dyDescent="0.35">
      <c r="A569" s="22" t="s">
        <v>755</v>
      </c>
      <c r="B569" s="22" t="s">
        <v>1656</v>
      </c>
      <c r="C569" s="22" t="s">
        <v>68</v>
      </c>
      <c r="D569" s="22" t="s">
        <v>20</v>
      </c>
      <c r="E569" s="22" t="s">
        <v>29</v>
      </c>
      <c r="F569" s="22" t="s">
        <v>25</v>
      </c>
      <c r="G569" s="22" t="s">
        <v>21</v>
      </c>
      <c r="H569" s="22">
        <v>29</v>
      </c>
      <c r="I569" s="24">
        <v>43058</v>
      </c>
      <c r="J569" s="27">
        <v>849</v>
      </c>
      <c r="K569" s="25">
        <v>0</v>
      </c>
      <c r="L569" s="22" t="s">
        <v>17</v>
      </c>
      <c r="M569" s="23" t="s">
        <v>40</v>
      </c>
    </row>
    <row r="570" spans="1:13" x14ac:dyDescent="0.35">
      <c r="A570" s="22" t="s">
        <v>756</v>
      </c>
      <c r="B570" s="22" t="s">
        <v>1657</v>
      </c>
      <c r="C570" s="22" t="s">
        <v>53</v>
      </c>
      <c r="D570" s="22" t="s">
        <v>43</v>
      </c>
      <c r="E570" s="22" t="s">
        <v>1102</v>
      </c>
      <c r="F570" s="22" t="s">
        <v>25</v>
      </c>
      <c r="G570" s="22" t="s">
        <v>44</v>
      </c>
      <c r="H570" s="22">
        <v>49</v>
      </c>
      <c r="I570" s="24">
        <v>35688</v>
      </c>
      <c r="J570" s="27">
        <v>655</v>
      </c>
      <c r="K570" s="25">
        <v>0.1</v>
      </c>
      <c r="L570" s="22" t="s">
        <v>45</v>
      </c>
      <c r="M570" s="23" t="s">
        <v>66</v>
      </c>
    </row>
    <row r="571" spans="1:13" x14ac:dyDescent="0.35">
      <c r="A571" s="22" t="s">
        <v>757</v>
      </c>
      <c r="B571" s="22" t="s">
        <v>1658</v>
      </c>
      <c r="C571" s="22" t="s">
        <v>38</v>
      </c>
      <c r="D571" s="22" t="s">
        <v>39</v>
      </c>
      <c r="E571" s="22" t="s">
        <v>29</v>
      </c>
      <c r="F571" s="22" t="s">
        <v>25</v>
      </c>
      <c r="G571" s="22" t="s">
        <v>41</v>
      </c>
      <c r="H571" s="22">
        <v>45</v>
      </c>
      <c r="I571" s="24">
        <v>43107</v>
      </c>
      <c r="J571" s="27">
        <v>991</v>
      </c>
      <c r="K571" s="25">
        <v>0</v>
      </c>
      <c r="L571" s="22" t="s">
        <v>17</v>
      </c>
      <c r="M571" s="23" t="s">
        <v>26</v>
      </c>
    </row>
    <row r="572" spans="1:13" x14ac:dyDescent="0.35">
      <c r="A572" s="22" t="s">
        <v>49</v>
      </c>
      <c r="B572" s="22" t="s">
        <v>1659</v>
      </c>
      <c r="C572" s="22" t="s">
        <v>60</v>
      </c>
      <c r="D572" s="22" t="s">
        <v>24</v>
      </c>
      <c r="E572" s="22" t="s">
        <v>1102</v>
      </c>
      <c r="F572" s="22" t="s">
        <v>25</v>
      </c>
      <c r="G572" s="22" t="s">
        <v>16</v>
      </c>
      <c r="H572" s="22">
        <v>44</v>
      </c>
      <c r="I572" s="24">
        <v>38039</v>
      </c>
      <c r="J572" s="27">
        <v>629</v>
      </c>
      <c r="K572" s="25">
        <v>0</v>
      </c>
      <c r="L572" s="22" t="s">
        <v>17</v>
      </c>
      <c r="M572" s="23" t="s">
        <v>22</v>
      </c>
    </row>
    <row r="573" spans="1:13" x14ac:dyDescent="0.35">
      <c r="A573" s="22" t="s">
        <v>758</v>
      </c>
      <c r="B573" s="22" t="s">
        <v>1660</v>
      </c>
      <c r="C573" s="22" t="s">
        <v>38</v>
      </c>
      <c r="D573" s="22" t="s">
        <v>13</v>
      </c>
      <c r="E573" s="22" t="s">
        <v>1102</v>
      </c>
      <c r="F573" s="22" t="s">
        <v>25</v>
      </c>
      <c r="G573" s="22" t="s">
        <v>16</v>
      </c>
      <c r="H573" s="22">
        <v>46</v>
      </c>
      <c r="I573" s="24">
        <v>40945</v>
      </c>
      <c r="J573" s="27">
        <v>607</v>
      </c>
      <c r="K573" s="25">
        <v>0</v>
      </c>
      <c r="L573" s="22" t="s">
        <v>17</v>
      </c>
      <c r="M573" s="23" t="s">
        <v>26</v>
      </c>
    </row>
    <row r="574" spans="1:13" x14ac:dyDescent="0.35">
      <c r="A574" s="22" t="s">
        <v>759</v>
      </c>
      <c r="B574" s="22" t="s">
        <v>1661</v>
      </c>
      <c r="C574" s="22" t="s">
        <v>36</v>
      </c>
      <c r="D574" s="22" t="s">
        <v>20</v>
      </c>
      <c r="E574" s="22" t="s">
        <v>14</v>
      </c>
      <c r="F574" s="22" t="s">
        <v>25</v>
      </c>
      <c r="G574" s="22" t="s">
        <v>21</v>
      </c>
      <c r="H574" s="22">
        <v>36</v>
      </c>
      <c r="I574" s="24">
        <v>40476</v>
      </c>
      <c r="J574" s="27">
        <v>574</v>
      </c>
      <c r="K574" s="25">
        <v>0.18</v>
      </c>
      <c r="L574" s="22" t="s">
        <v>30</v>
      </c>
      <c r="M574" s="23" t="s">
        <v>65</v>
      </c>
    </row>
    <row r="575" spans="1:13" x14ac:dyDescent="0.35">
      <c r="A575" s="22" t="s">
        <v>760</v>
      </c>
      <c r="B575" s="22" t="s">
        <v>1662</v>
      </c>
      <c r="C575" s="22" t="s">
        <v>38</v>
      </c>
      <c r="D575" s="22" t="s">
        <v>56</v>
      </c>
      <c r="E575" s="22" t="s">
        <v>33</v>
      </c>
      <c r="F575" s="22" t="s">
        <v>25</v>
      </c>
      <c r="G575" s="22" t="s">
        <v>44</v>
      </c>
      <c r="H575" s="22">
        <v>45</v>
      </c>
      <c r="I575" s="24">
        <v>44661</v>
      </c>
      <c r="J575" s="27">
        <v>828</v>
      </c>
      <c r="K575" s="25">
        <v>0</v>
      </c>
      <c r="L575" s="22" t="s">
        <v>45</v>
      </c>
      <c r="M575" s="23" t="s">
        <v>1134</v>
      </c>
    </row>
    <row r="576" spans="1:13" x14ac:dyDescent="0.35">
      <c r="A576" s="22" t="s">
        <v>102</v>
      </c>
      <c r="B576" s="22" t="s">
        <v>1663</v>
      </c>
      <c r="C576" s="22" t="s">
        <v>12</v>
      </c>
      <c r="D576" s="22" t="s">
        <v>20</v>
      </c>
      <c r="E576" s="22" t="s">
        <v>14</v>
      </c>
      <c r="F576" s="22" t="s">
        <v>25</v>
      </c>
      <c r="G576" s="22" t="s">
        <v>44</v>
      </c>
      <c r="H576" s="22">
        <v>55</v>
      </c>
      <c r="I576" s="24">
        <v>36220</v>
      </c>
      <c r="J576" s="27">
        <v>622</v>
      </c>
      <c r="K576" s="25">
        <v>0.33</v>
      </c>
      <c r="L576" s="22" t="s">
        <v>45</v>
      </c>
      <c r="M576" s="23" t="s">
        <v>46</v>
      </c>
    </row>
    <row r="577" spans="1:13" x14ac:dyDescent="0.35">
      <c r="A577" s="22" t="s">
        <v>761</v>
      </c>
      <c r="B577" s="22" t="s">
        <v>1664</v>
      </c>
      <c r="C577" s="22" t="s">
        <v>34</v>
      </c>
      <c r="D577" s="22" t="s">
        <v>24</v>
      </c>
      <c r="E577" s="22" t="s">
        <v>1102</v>
      </c>
      <c r="F577" s="22" t="s">
        <v>25</v>
      </c>
      <c r="G577" s="22" t="s">
        <v>16</v>
      </c>
      <c r="H577" s="22">
        <v>43</v>
      </c>
      <c r="I577" s="24">
        <v>39708</v>
      </c>
      <c r="J577" s="27">
        <v>623</v>
      </c>
      <c r="K577" s="25">
        <v>0</v>
      </c>
      <c r="L577" s="22" t="s">
        <v>17</v>
      </c>
      <c r="M577" s="23" t="s">
        <v>35</v>
      </c>
    </row>
    <row r="578" spans="1:13" x14ac:dyDescent="0.35">
      <c r="A578" s="22" t="s">
        <v>762</v>
      </c>
      <c r="B578" s="22" t="s">
        <v>167</v>
      </c>
      <c r="C578" s="22" t="s">
        <v>55</v>
      </c>
      <c r="D578" s="22" t="s">
        <v>43</v>
      </c>
      <c r="E578" s="22" t="s">
        <v>1102</v>
      </c>
      <c r="F578" s="22" t="s">
        <v>25</v>
      </c>
      <c r="G578" s="22" t="s">
        <v>21</v>
      </c>
      <c r="H578" s="22">
        <v>30</v>
      </c>
      <c r="I578" s="24">
        <v>44805</v>
      </c>
      <c r="J578" s="27">
        <v>722</v>
      </c>
      <c r="K578" s="25">
        <v>0</v>
      </c>
      <c r="L578" s="22" t="s">
        <v>17</v>
      </c>
      <c r="M578" s="23" t="s">
        <v>54</v>
      </c>
    </row>
    <row r="579" spans="1:13" x14ac:dyDescent="0.35">
      <c r="A579" s="22" t="s">
        <v>763</v>
      </c>
      <c r="B579" s="22" t="s">
        <v>1665</v>
      </c>
      <c r="C579" s="22" t="s">
        <v>12</v>
      </c>
      <c r="D579" s="22" t="s">
        <v>39</v>
      </c>
      <c r="E579" s="22" t="s">
        <v>33</v>
      </c>
      <c r="F579" s="22" t="s">
        <v>15</v>
      </c>
      <c r="G579" s="22" t="s">
        <v>16</v>
      </c>
      <c r="H579" s="22">
        <v>48</v>
      </c>
      <c r="I579" s="24">
        <v>36335</v>
      </c>
      <c r="J579" s="27">
        <v>525</v>
      </c>
      <c r="K579" s="25">
        <v>0.34</v>
      </c>
      <c r="L579" s="22" t="s">
        <v>17</v>
      </c>
      <c r="M579" s="23" t="s">
        <v>26</v>
      </c>
    </row>
    <row r="580" spans="1:13" x14ac:dyDescent="0.35">
      <c r="A580" s="22" t="s">
        <v>764</v>
      </c>
      <c r="B580" s="22" t="s">
        <v>1666</v>
      </c>
      <c r="C580" s="22" t="s">
        <v>38</v>
      </c>
      <c r="D580" s="22" t="s">
        <v>39</v>
      </c>
      <c r="E580" s="22" t="s">
        <v>1102</v>
      </c>
      <c r="F580" s="22" t="s">
        <v>15</v>
      </c>
      <c r="G580" s="22" t="s">
        <v>41</v>
      </c>
      <c r="H580" s="22">
        <v>60</v>
      </c>
      <c r="I580" s="24">
        <v>38430</v>
      </c>
      <c r="J580" s="27">
        <v>980</v>
      </c>
      <c r="K580" s="25">
        <v>0</v>
      </c>
      <c r="L580" s="22" t="s">
        <v>17</v>
      </c>
      <c r="M580" s="23" t="s">
        <v>35</v>
      </c>
    </row>
    <row r="581" spans="1:13" x14ac:dyDescent="0.35">
      <c r="A581" s="22" t="s">
        <v>765</v>
      </c>
      <c r="B581" s="22" t="s">
        <v>1667</v>
      </c>
      <c r="C581" s="22" t="s">
        <v>60</v>
      </c>
      <c r="D581" s="22" t="s">
        <v>24</v>
      </c>
      <c r="E581" s="22" t="s">
        <v>14</v>
      </c>
      <c r="F581" s="22" t="s">
        <v>25</v>
      </c>
      <c r="G581" s="22" t="s">
        <v>21</v>
      </c>
      <c r="H581" s="22">
        <v>30</v>
      </c>
      <c r="I581" s="24">
        <v>44448</v>
      </c>
      <c r="J581" s="27">
        <v>746</v>
      </c>
      <c r="K581" s="25">
        <v>0</v>
      </c>
      <c r="L581" s="22" t="s">
        <v>30</v>
      </c>
      <c r="M581" s="23" t="s">
        <v>52</v>
      </c>
    </row>
    <row r="582" spans="1:13" x14ac:dyDescent="0.35">
      <c r="A582" s="22" t="s">
        <v>766</v>
      </c>
      <c r="B582" s="22" t="s">
        <v>1668</v>
      </c>
      <c r="C582" s="22" t="s">
        <v>60</v>
      </c>
      <c r="D582" s="22" t="s">
        <v>24</v>
      </c>
      <c r="E582" s="22" t="s">
        <v>1102</v>
      </c>
      <c r="F582" s="22" t="s">
        <v>25</v>
      </c>
      <c r="G582" s="22" t="s">
        <v>16</v>
      </c>
      <c r="H582" s="22">
        <v>25</v>
      </c>
      <c r="I582" s="24">
        <v>44299</v>
      </c>
      <c r="J582" s="27">
        <v>792</v>
      </c>
      <c r="K582" s="25">
        <v>0</v>
      </c>
      <c r="L582" s="22" t="s">
        <v>17</v>
      </c>
      <c r="M582" s="23" t="s">
        <v>18</v>
      </c>
    </row>
    <row r="583" spans="1:13" x14ac:dyDescent="0.35">
      <c r="A583" s="22" t="s">
        <v>767</v>
      </c>
      <c r="B583" s="22" t="s">
        <v>1669</v>
      </c>
      <c r="C583" s="22" t="s">
        <v>55</v>
      </c>
      <c r="D583" s="22" t="s">
        <v>43</v>
      </c>
      <c r="E583" s="22" t="s">
        <v>1102</v>
      </c>
      <c r="F583" s="22" t="s">
        <v>25</v>
      </c>
      <c r="G583" s="22" t="s">
        <v>44</v>
      </c>
      <c r="H583" s="22">
        <v>58</v>
      </c>
      <c r="I583" s="24">
        <v>41970</v>
      </c>
      <c r="J583" s="27">
        <v>653</v>
      </c>
      <c r="K583" s="25">
        <v>0</v>
      </c>
      <c r="L583" s="22" t="s">
        <v>45</v>
      </c>
      <c r="M583" s="23" t="s">
        <v>1134</v>
      </c>
    </row>
    <row r="584" spans="1:13" x14ac:dyDescent="0.35">
      <c r="A584" s="22" t="s">
        <v>768</v>
      </c>
      <c r="B584" s="22" t="s">
        <v>1670</v>
      </c>
      <c r="C584" s="22" t="s">
        <v>53</v>
      </c>
      <c r="D584" s="22" t="s">
        <v>20</v>
      </c>
      <c r="E584" s="22" t="s">
        <v>29</v>
      </c>
      <c r="F584" s="22" t="s">
        <v>25</v>
      </c>
      <c r="G584" s="22" t="s">
        <v>44</v>
      </c>
      <c r="H584" s="22">
        <v>37</v>
      </c>
      <c r="I584" s="24">
        <v>44641</v>
      </c>
      <c r="J584" s="27">
        <v>947</v>
      </c>
      <c r="K584" s="25">
        <v>0.08</v>
      </c>
      <c r="L584" s="22" t="s">
        <v>45</v>
      </c>
      <c r="M584" s="23" t="s">
        <v>1134</v>
      </c>
    </row>
    <row r="585" spans="1:13" x14ac:dyDescent="0.35">
      <c r="A585" s="22" t="s">
        <v>769</v>
      </c>
      <c r="B585" s="22" t="s">
        <v>1671</v>
      </c>
      <c r="C585" s="22" t="s">
        <v>60</v>
      </c>
      <c r="D585" s="22" t="s">
        <v>24</v>
      </c>
      <c r="E585" s="22" t="s">
        <v>14</v>
      </c>
      <c r="F585" s="22" t="s">
        <v>25</v>
      </c>
      <c r="G585" s="22" t="s">
        <v>21</v>
      </c>
      <c r="H585" s="22">
        <v>44</v>
      </c>
      <c r="I585" s="24">
        <v>40305</v>
      </c>
      <c r="J585" s="27">
        <v>640</v>
      </c>
      <c r="K585" s="25">
        <v>0</v>
      </c>
      <c r="L585" s="22" t="s">
        <v>17</v>
      </c>
      <c r="M585" s="23" t="s">
        <v>18</v>
      </c>
    </row>
    <row r="586" spans="1:13" x14ac:dyDescent="0.35">
      <c r="A586" s="22" t="s">
        <v>770</v>
      </c>
      <c r="B586" s="22" t="s">
        <v>1672</v>
      </c>
      <c r="C586" s="22" t="s">
        <v>68</v>
      </c>
      <c r="D586" s="22" t="s">
        <v>20</v>
      </c>
      <c r="E586" s="22" t="s">
        <v>14</v>
      </c>
      <c r="F586" s="22" t="s">
        <v>15</v>
      </c>
      <c r="G586" s="22" t="s">
        <v>44</v>
      </c>
      <c r="H586" s="22">
        <v>53</v>
      </c>
      <c r="I586" s="24">
        <v>43747</v>
      </c>
      <c r="J586" s="27">
        <v>698</v>
      </c>
      <c r="K586" s="25">
        <v>0</v>
      </c>
      <c r="L586" s="22" t="s">
        <v>17</v>
      </c>
      <c r="M586" s="23" t="s">
        <v>40</v>
      </c>
    </row>
    <row r="587" spans="1:13" x14ac:dyDescent="0.35">
      <c r="A587" s="22" t="s">
        <v>771</v>
      </c>
      <c r="B587" s="22" t="s">
        <v>1673</v>
      </c>
      <c r="C587" s="22" t="s">
        <v>36</v>
      </c>
      <c r="D587" s="22" t="s">
        <v>43</v>
      </c>
      <c r="E587" s="22" t="s">
        <v>1102</v>
      </c>
      <c r="F587" s="22" t="s">
        <v>15</v>
      </c>
      <c r="G587" s="22" t="s">
        <v>21</v>
      </c>
      <c r="H587" s="22">
        <v>58</v>
      </c>
      <c r="I587" s="24">
        <v>40191</v>
      </c>
      <c r="J587" s="27">
        <v>768</v>
      </c>
      <c r="K587" s="25">
        <v>0.19</v>
      </c>
      <c r="L587" s="22" t="s">
        <v>17</v>
      </c>
      <c r="M587" s="23" t="s">
        <v>35</v>
      </c>
    </row>
    <row r="588" spans="1:13" x14ac:dyDescent="0.35">
      <c r="A588" s="22" t="s">
        <v>772</v>
      </c>
      <c r="B588" s="22" t="s">
        <v>1674</v>
      </c>
      <c r="C588" s="22" t="s">
        <v>72</v>
      </c>
      <c r="D588" s="22" t="s">
        <v>24</v>
      </c>
      <c r="E588" s="22" t="s">
        <v>1102</v>
      </c>
      <c r="F588" s="22" t="s">
        <v>25</v>
      </c>
      <c r="G588" s="22" t="s">
        <v>16</v>
      </c>
      <c r="H588" s="22">
        <v>65</v>
      </c>
      <c r="I588" s="24">
        <v>43856</v>
      </c>
      <c r="J588" s="27">
        <v>528</v>
      </c>
      <c r="K588" s="25">
        <v>0</v>
      </c>
      <c r="L588" s="22" t="s">
        <v>17</v>
      </c>
      <c r="M588" s="23" t="s">
        <v>54</v>
      </c>
    </row>
    <row r="589" spans="1:13" x14ac:dyDescent="0.35">
      <c r="A589" s="22" t="s">
        <v>773</v>
      </c>
      <c r="B589" s="22" t="s">
        <v>1675</v>
      </c>
      <c r="C589" s="22" t="s">
        <v>36</v>
      </c>
      <c r="D589" s="22" t="s">
        <v>56</v>
      </c>
      <c r="E589" s="22" t="s">
        <v>14</v>
      </c>
      <c r="F589" s="22" t="s">
        <v>25</v>
      </c>
      <c r="G589" s="22" t="s">
        <v>21</v>
      </c>
      <c r="H589" s="22">
        <v>57</v>
      </c>
      <c r="I589" s="24">
        <v>36614</v>
      </c>
      <c r="J589" s="27">
        <v>510</v>
      </c>
      <c r="K589" s="25">
        <v>0.22</v>
      </c>
      <c r="L589" s="22" t="s">
        <v>30</v>
      </c>
      <c r="M589" s="23" t="s">
        <v>31</v>
      </c>
    </row>
    <row r="590" spans="1:13" x14ac:dyDescent="0.35">
      <c r="A590" s="22" t="s">
        <v>774</v>
      </c>
      <c r="B590" s="22" t="s">
        <v>1676</v>
      </c>
      <c r="C590" s="22" t="s">
        <v>72</v>
      </c>
      <c r="D590" s="22" t="s">
        <v>24</v>
      </c>
      <c r="E590" s="22" t="s">
        <v>33</v>
      </c>
      <c r="F590" s="22" t="s">
        <v>25</v>
      </c>
      <c r="G590" s="22" t="s">
        <v>44</v>
      </c>
      <c r="H590" s="22">
        <v>31</v>
      </c>
      <c r="I590" s="24">
        <v>44360</v>
      </c>
      <c r="J590" s="27">
        <v>892</v>
      </c>
      <c r="K590" s="25">
        <v>0</v>
      </c>
      <c r="L590" s="22" t="s">
        <v>17</v>
      </c>
      <c r="M590" s="23" t="s">
        <v>35</v>
      </c>
    </row>
    <row r="591" spans="1:13" x14ac:dyDescent="0.35">
      <c r="A591" s="22" t="s">
        <v>775</v>
      </c>
      <c r="B591" s="22" t="s">
        <v>1677</v>
      </c>
      <c r="C591" s="22" t="s">
        <v>76</v>
      </c>
      <c r="D591" s="22" t="s">
        <v>28</v>
      </c>
      <c r="E591" s="22" t="s">
        <v>33</v>
      </c>
      <c r="F591" s="22" t="s">
        <v>25</v>
      </c>
      <c r="G591" s="22" t="s">
        <v>21</v>
      </c>
      <c r="H591" s="22">
        <v>32</v>
      </c>
      <c r="I591" s="24">
        <v>43583</v>
      </c>
      <c r="J591" s="27">
        <v>800</v>
      </c>
      <c r="K591" s="25">
        <v>0.13</v>
      </c>
      <c r="L591" s="22" t="s">
        <v>30</v>
      </c>
      <c r="M591" s="23" t="s">
        <v>31</v>
      </c>
    </row>
    <row r="592" spans="1:13" x14ac:dyDescent="0.35">
      <c r="A592" s="22" t="s">
        <v>776</v>
      </c>
      <c r="B592" s="22" t="s">
        <v>1678</v>
      </c>
      <c r="C592" s="22" t="s">
        <v>53</v>
      </c>
      <c r="D592" s="22" t="s">
        <v>56</v>
      </c>
      <c r="E592" s="22" t="s">
        <v>1102</v>
      </c>
      <c r="F592" s="22" t="s">
        <v>25</v>
      </c>
      <c r="G592" s="22" t="s">
        <v>16</v>
      </c>
      <c r="H592" s="22">
        <v>48</v>
      </c>
      <c r="I592" s="24">
        <v>36897</v>
      </c>
      <c r="J592" s="27">
        <v>794</v>
      </c>
      <c r="K592" s="25">
        <v>0.09</v>
      </c>
      <c r="L592" s="22" t="s">
        <v>17</v>
      </c>
      <c r="M592" s="23" t="s">
        <v>35</v>
      </c>
    </row>
    <row r="593" spans="1:13" x14ac:dyDescent="0.35">
      <c r="A593" s="22" t="s">
        <v>777</v>
      </c>
      <c r="B593" s="22" t="s">
        <v>1679</v>
      </c>
      <c r="C593" s="22" t="s">
        <v>12</v>
      </c>
      <c r="D593" s="22" t="s">
        <v>24</v>
      </c>
      <c r="E593" s="22" t="s">
        <v>1102</v>
      </c>
      <c r="F593" s="22" t="s">
        <v>15</v>
      </c>
      <c r="G593" s="22" t="s">
        <v>21</v>
      </c>
      <c r="H593" s="22">
        <v>55</v>
      </c>
      <c r="I593" s="24">
        <v>37191</v>
      </c>
      <c r="J593" s="27">
        <v>706</v>
      </c>
      <c r="K593" s="25">
        <v>0.3</v>
      </c>
      <c r="L593" s="22" t="s">
        <v>30</v>
      </c>
      <c r="M593" s="23" t="s">
        <v>52</v>
      </c>
    </row>
    <row r="594" spans="1:13" x14ac:dyDescent="0.35">
      <c r="A594" s="22" t="s">
        <v>139</v>
      </c>
      <c r="B594" s="22" t="s">
        <v>1680</v>
      </c>
      <c r="C594" s="22" t="s">
        <v>70</v>
      </c>
      <c r="D594" s="22" t="s">
        <v>28</v>
      </c>
      <c r="E594" s="22" t="s">
        <v>1102</v>
      </c>
      <c r="F594" s="22" t="s">
        <v>15</v>
      </c>
      <c r="G594" s="22" t="s">
        <v>16</v>
      </c>
      <c r="H594" s="22">
        <v>52</v>
      </c>
      <c r="I594" s="24">
        <v>42923</v>
      </c>
      <c r="J594" s="27">
        <v>898</v>
      </c>
      <c r="K594" s="25">
        <v>0</v>
      </c>
      <c r="L594" s="22" t="s">
        <v>17</v>
      </c>
      <c r="M594" s="23" t="s">
        <v>18</v>
      </c>
    </row>
    <row r="595" spans="1:13" x14ac:dyDescent="0.35">
      <c r="A595" s="22" t="s">
        <v>778</v>
      </c>
      <c r="B595" s="22" t="s">
        <v>1681</v>
      </c>
      <c r="C595" s="22" t="s">
        <v>70</v>
      </c>
      <c r="D595" s="22" t="s">
        <v>28</v>
      </c>
      <c r="E595" s="22" t="s">
        <v>14</v>
      </c>
      <c r="F595" s="22" t="s">
        <v>15</v>
      </c>
      <c r="G595" s="22" t="s">
        <v>44</v>
      </c>
      <c r="H595" s="22">
        <v>27</v>
      </c>
      <c r="I595" s="24">
        <v>44389</v>
      </c>
      <c r="J595" s="27">
        <v>692</v>
      </c>
      <c r="K595" s="25">
        <v>0</v>
      </c>
      <c r="L595" s="22" t="s">
        <v>45</v>
      </c>
      <c r="M595" s="23" t="s">
        <v>66</v>
      </c>
    </row>
    <row r="596" spans="1:13" x14ac:dyDescent="0.35">
      <c r="A596" s="22" t="s">
        <v>779</v>
      </c>
      <c r="B596" s="22" t="s">
        <v>1682</v>
      </c>
      <c r="C596" s="22" t="s">
        <v>74</v>
      </c>
      <c r="D596" s="22" t="s">
        <v>43</v>
      </c>
      <c r="E596" s="22" t="s">
        <v>1102</v>
      </c>
      <c r="F596" s="22" t="s">
        <v>15</v>
      </c>
      <c r="G596" s="22" t="s">
        <v>16</v>
      </c>
      <c r="H596" s="22">
        <v>36</v>
      </c>
      <c r="I596" s="24">
        <v>41160</v>
      </c>
      <c r="J596" s="27">
        <v>528</v>
      </c>
      <c r="K596" s="25">
        <v>0</v>
      </c>
      <c r="L596" s="22" t="s">
        <v>17</v>
      </c>
      <c r="M596" s="23" t="s">
        <v>22</v>
      </c>
    </row>
    <row r="597" spans="1:13" x14ac:dyDescent="0.35">
      <c r="A597" s="22" t="s">
        <v>780</v>
      </c>
      <c r="B597" s="22" t="s">
        <v>1683</v>
      </c>
      <c r="C597" s="22" t="s">
        <v>71</v>
      </c>
      <c r="D597" s="22" t="s">
        <v>24</v>
      </c>
      <c r="E597" s="22" t="s">
        <v>1102</v>
      </c>
      <c r="F597" s="22" t="s">
        <v>25</v>
      </c>
      <c r="G597" s="22" t="s">
        <v>16</v>
      </c>
      <c r="H597" s="22">
        <v>36</v>
      </c>
      <c r="I597" s="24">
        <v>44780</v>
      </c>
      <c r="J597" s="27">
        <v>545</v>
      </c>
      <c r="K597" s="25">
        <v>0</v>
      </c>
      <c r="L597" s="22" t="s">
        <v>17</v>
      </c>
      <c r="M597" s="23" t="s">
        <v>40</v>
      </c>
    </row>
    <row r="598" spans="1:13" x14ac:dyDescent="0.35">
      <c r="A598" s="22" t="s">
        <v>781</v>
      </c>
      <c r="B598" s="22" t="s">
        <v>1684</v>
      </c>
      <c r="C598" s="22" t="s">
        <v>53</v>
      </c>
      <c r="D598" s="22" t="s">
        <v>43</v>
      </c>
      <c r="E598" s="22" t="s">
        <v>33</v>
      </c>
      <c r="F598" s="22" t="s">
        <v>25</v>
      </c>
      <c r="G598" s="22" t="s">
        <v>44</v>
      </c>
      <c r="H598" s="22">
        <v>42</v>
      </c>
      <c r="I598" s="24">
        <v>43627</v>
      </c>
      <c r="J598" s="27">
        <v>797</v>
      </c>
      <c r="K598" s="25">
        <v>0.06</v>
      </c>
      <c r="L598" s="22" t="s">
        <v>17</v>
      </c>
      <c r="M598" s="23" t="s">
        <v>40</v>
      </c>
    </row>
    <row r="599" spans="1:13" x14ac:dyDescent="0.35">
      <c r="A599" s="22" t="s">
        <v>190</v>
      </c>
      <c r="B599" s="22" t="s">
        <v>1685</v>
      </c>
      <c r="C599" s="22" t="s">
        <v>38</v>
      </c>
      <c r="D599" s="22" t="s">
        <v>39</v>
      </c>
      <c r="E599" s="22" t="s">
        <v>14</v>
      </c>
      <c r="F599" s="22" t="s">
        <v>25</v>
      </c>
      <c r="G599" s="22" t="s">
        <v>16</v>
      </c>
      <c r="H599" s="22">
        <v>48</v>
      </c>
      <c r="I599" s="24">
        <v>43450</v>
      </c>
      <c r="J599" s="27">
        <v>917</v>
      </c>
      <c r="K599" s="25">
        <v>0</v>
      </c>
      <c r="L599" s="22" t="s">
        <v>17</v>
      </c>
      <c r="M599" s="23" t="s">
        <v>22</v>
      </c>
    </row>
    <row r="600" spans="1:13" x14ac:dyDescent="0.35">
      <c r="A600" s="22" t="s">
        <v>782</v>
      </c>
      <c r="B600" s="22" t="s">
        <v>1686</v>
      </c>
      <c r="C600" s="22" t="s">
        <v>48</v>
      </c>
      <c r="D600" s="22" t="s">
        <v>24</v>
      </c>
      <c r="E600" s="22" t="s">
        <v>1102</v>
      </c>
      <c r="F600" s="22" t="s">
        <v>15</v>
      </c>
      <c r="G600" s="22" t="s">
        <v>21</v>
      </c>
      <c r="H600" s="22">
        <v>42</v>
      </c>
      <c r="I600" s="24">
        <v>39549</v>
      </c>
      <c r="J600" s="27">
        <v>606</v>
      </c>
      <c r="K600" s="25">
        <v>7.0000000000000007E-2</v>
      </c>
      <c r="L600" s="22" t="s">
        <v>30</v>
      </c>
      <c r="M600" s="23" t="s">
        <v>65</v>
      </c>
    </row>
    <row r="601" spans="1:13" x14ac:dyDescent="0.35">
      <c r="A601" s="22" t="s">
        <v>783</v>
      </c>
      <c r="B601" s="22" t="s">
        <v>1687</v>
      </c>
      <c r="C601" s="22" t="s">
        <v>1111</v>
      </c>
      <c r="D601" s="22" t="s">
        <v>20</v>
      </c>
      <c r="E601" s="22" t="s">
        <v>14</v>
      </c>
      <c r="F601" s="22" t="s">
        <v>25</v>
      </c>
      <c r="G601" s="22" t="s">
        <v>21</v>
      </c>
      <c r="H601" s="22">
        <v>37</v>
      </c>
      <c r="I601" s="24">
        <v>43699</v>
      </c>
      <c r="J601" s="27">
        <v>923</v>
      </c>
      <c r="K601" s="25">
        <v>0.15</v>
      </c>
      <c r="L601" s="22" t="s">
        <v>30</v>
      </c>
      <c r="M601" s="23" t="s">
        <v>61</v>
      </c>
    </row>
    <row r="602" spans="1:13" x14ac:dyDescent="0.35">
      <c r="A602" s="22" t="s">
        <v>784</v>
      </c>
      <c r="B602" s="22" t="s">
        <v>1688</v>
      </c>
      <c r="C602" s="22" t="s">
        <v>59</v>
      </c>
      <c r="D602" s="22" t="s">
        <v>24</v>
      </c>
      <c r="E602" s="22" t="s">
        <v>1102</v>
      </c>
      <c r="F602" s="22" t="s">
        <v>15</v>
      </c>
      <c r="G602" s="22" t="s">
        <v>21</v>
      </c>
      <c r="H602" s="22">
        <v>55</v>
      </c>
      <c r="I602" s="24">
        <v>41052</v>
      </c>
      <c r="J602" s="27">
        <v>760</v>
      </c>
      <c r="K602" s="25">
        <v>0</v>
      </c>
      <c r="L602" s="22" t="s">
        <v>17</v>
      </c>
      <c r="M602" s="23" t="s">
        <v>22</v>
      </c>
    </row>
    <row r="603" spans="1:13" x14ac:dyDescent="0.35">
      <c r="A603" s="22" t="s">
        <v>785</v>
      </c>
      <c r="B603" s="22" t="s">
        <v>1689</v>
      </c>
      <c r="C603" s="22" t="s">
        <v>19</v>
      </c>
      <c r="D603" s="22" t="s">
        <v>20</v>
      </c>
      <c r="E603" s="22" t="s">
        <v>1102</v>
      </c>
      <c r="F603" s="22" t="s">
        <v>15</v>
      </c>
      <c r="G603" s="22" t="s">
        <v>21</v>
      </c>
      <c r="H603" s="22">
        <v>62</v>
      </c>
      <c r="I603" s="24">
        <v>36392</v>
      </c>
      <c r="J603" s="27">
        <v>748</v>
      </c>
      <c r="K603" s="25">
        <v>0</v>
      </c>
      <c r="L603" s="22" t="s">
        <v>17</v>
      </c>
      <c r="M603" s="23" t="s">
        <v>54</v>
      </c>
    </row>
    <row r="604" spans="1:13" x14ac:dyDescent="0.35">
      <c r="A604" s="22" t="s">
        <v>114</v>
      </c>
      <c r="B604" s="22" t="s">
        <v>1690</v>
      </c>
      <c r="C604" s="22" t="s">
        <v>1111</v>
      </c>
      <c r="D604" s="22" t="s">
        <v>56</v>
      </c>
      <c r="E604" s="22" t="s">
        <v>1102</v>
      </c>
      <c r="F604" s="22" t="s">
        <v>15</v>
      </c>
      <c r="G604" s="22" t="s">
        <v>44</v>
      </c>
      <c r="H604" s="22">
        <v>29</v>
      </c>
      <c r="I604" s="24">
        <v>44087</v>
      </c>
      <c r="J604" s="27">
        <v>823</v>
      </c>
      <c r="K604" s="25">
        <v>0.11</v>
      </c>
      <c r="L604" s="22" t="s">
        <v>17</v>
      </c>
      <c r="M604" s="23" t="s">
        <v>54</v>
      </c>
    </row>
    <row r="605" spans="1:13" x14ac:dyDescent="0.35">
      <c r="A605" s="22" t="s">
        <v>786</v>
      </c>
      <c r="B605" s="22" t="s">
        <v>1691</v>
      </c>
      <c r="C605" s="22" t="s">
        <v>1111</v>
      </c>
      <c r="D605" s="22" t="s">
        <v>20</v>
      </c>
      <c r="E605" s="22" t="s">
        <v>29</v>
      </c>
      <c r="F605" s="22" t="s">
        <v>15</v>
      </c>
      <c r="G605" s="22" t="s">
        <v>44</v>
      </c>
      <c r="H605" s="22">
        <v>29</v>
      </c>
      <c r="I605" s="24">
        <v>43371</v>
      </c>
      <c r="J605" s="27">
        <v>965</v>
      </c>
      <c r="K605" s="25">
        <v>0.1</v>
      </c>
      <c r="L605" s="22" t="s">
        <v>45</v>
      </c>
      <c r="M605" s="23" t="s">
        <v>1134</v>
      </c>
    </row>
    <row r="606" spans="1:13" x14ac:dyDescent="0.35">
      <c r="A606" s="22" t="s">
        <v>787</v>
      </c>
      <c r="B606" s="22" t="s">
        <v>1692</v>
      </c>
      <c r="C606" s="22" t="s">
        <v>12</v>
      </c>
      <c r="D606" s="22" t="s">
        <v>20</v>
      </c>
      <c r="E606" s="22" t="s">
        <v>33</v>
      </c>
      <c r="F606" s="22" t="s">
        <v>15</v>
      </c>
      <c r="G606" s="22" t="s">
        <v>44</v>
      </c>
      <c r="H606" s="22">
        <v>45</v>
      </c>
      <c r="I606" s="24">
        <v>38124</v>
      </c>
      <c r="J606" s="27">
        <v>662</v>
      </c>
      <c r="K606" s="25">
        <v>0.37</v>
      </c>
      <c r="L606" s="22" t="s">
        <v>17</v>
      </c>
      <c r="M606" s="23" t="s">
        <v>22</v>
      </c>
    </row>
    <row r="607" spans="1:13" x14ac:dyDescent="0.35">
      <c r="A607" s="22" t="s">
        <v>788</v>
      </c>
      <c r="B607" s="22" t="s">
        <v>1693</v>
      </c>
      <c r="C607" s="22" t="s">
        <v>57</v>
      </c>
      <c r="D607" s="22" t="s">
        <v>39</v>
      </c>
      <c r="E607" s="22" t="s">
        <v>33</v>
      </c>
      <c r="F607" s="22" t="s">
        <v>25</v>
      </c>
      <c r="G607" s="22" t="s">
        <v>16</v>
      </c>
      <c r="H607" s="22">
        <v>57</v>
      </c>
      <c r="I607" s="24">
        <v>40090</v>
      </c>
      <c r="J607" s="27">
        <v>729</v>
      </c>
      <c r="K607" s="25">
        <v>0</v>
      </c>
      <c r="L607" s="22" t="s">
        <v>17</v>
      </c>
      <c r="M607" s="23" t="s">
        <v>22</v>
      </c>
    </row>
    <row r="608" spans="1:13" x14ac:dyDescent="0.35">
      <c r="A608" s="22" t="s">
        <v>789</v>
      </c>
      <c r="B608" s="22" t="s">
        <v>1694</v>
      </c>
      <c r="C608" s="22" t="s">
        <v>12</v>
      </c>
      <c r="D608" s="22" t="s">
        <v>39</v>
      </c>
      <c r="E608" s="22" t="s">
        <v>33</v>
      </c>
      <c r="F608" s="22" t="s">
        <v>25</v>
      </c>
      <c r="G608" s="22" t="s">
        <v>21</v>
      </c>
      <c r="H608" s="22">
        <v>31</v>
      </c>
      <c r="I608" s="24">
        <v>43714</v>
      </c>
      <c r="J608" s="27">
        <v>840</v>
      </c>
      <c r="K608" s="25">
        <v>0.36</v>
      </c>
      <c r="L608" s="22" t="s">
        <v>30</v>
      </c>
      <c r="M608" s="23" t="s">
        <v>61</v>
      </c>
    </row>
    <row r="609" spans="1:13" x14ac:dyDescent="0.35">
      <c r="A609" s="22" t="s">
        <v>790</v>
      </c>
      <c r="B609" s="22" t="s">
        <v>1695</v>
      </c>
      <c r="C609" s="22" t="s">
        <v>38</v>
      </c>
      <c r="D609" s="22" t="s">
        <v>56</v>
      </c>
      <c r="E609" s="22" t="s">
        <v>33</v>
      </c>
      <c r="F609" s="22" t="s">
        <v>15</v>
      </c>
      <c r="G609" s="22" t="s">
        <v>21</v>
      </c>
      <c r="H609" s="22">
        <v>31</v>
      </c>
      <c r="I609" s="24">
        <v>43238</v>
      </c>
      <c r="J609" s="27">
        <v>668</v>
      </c>
      <c r="K609" s="25">
        <v>0</v>
      </c>
      <c r="L609" s="22" t="s">
        <v>30</v>
      </c>
      <c r="M609" s="23" t="s">
        <v>61</v>
      </c>
    </row>
    <row r="610" spans="1:13" x14ac:dyDescent="0.35">
      <c r="A610" s="22" t="s">
        <v>791</v>
      </c>
      <c r="B610" s="22" t="s">
        <v>1696</v>
      </c>
      <c r="C610" s="22" t="s">
        <v>57</v>
      </c>
      <c r="D610" s="22" t="s">
        <v>56</v>
      </c>
      <c r="E610" s="22" t="s">
        <v>33</v>
      </c>
      <c r="F610" s="22" t="s">
        <v>25</v>
      </c>
      <c r="G610" s="22" t="s">
        <v>16</v>
      </c>
      <c r="H610" s="22">
        <v>47</v>
      </c>
      <c r="I610" s="24">
        <v>42122</v>
      </c>
      <c r="J610" s="27">
        <v>748</v>
      </c>
      <c r="K610" s="25">
        <v>0</v>
      </c>
      <c r="L610" s="22" t="s">
        <v>17</v>
      </c>
      <c r="M610" s="23" t="s">
        <v>26</v>
      </c>
    </row>
    <row r="611" spans="1:13" x14ac:dyDescent="0.35">
      <c r="A611" s="22" t="s">
        <v>792</v>
      </c>
      <c r="B611" s="22" t="s">
        <v>1697</v>
      </c>
      <c r="C611" s="22" t="s">
        <v>77</v>
      </c>
      <c r="D611" s="22" t="s">
        <v>24</v>
      </c>
      <c r="E611" s="22" t="s">
        <v>33</v>
      </c>
      <c r="F611" s="22" t="s">
        <v>25</v>
      </c>
      <c r="G611" s="22" t="s">
        <v>44</v>
      </c>
      <c r="H611" s="22">
        <v>60</v>
      </c>
      <c r="I611" s="24">
        <v>38910</v>
      </c>
      <c r="J611" s="27">
        <v>552</v>
      </c>
      <c r="K611" s="25">
        <v>0</v>
      </c>
      <c r="L611" s="22" t="s">
        <v>17</v>
      </c>
      <c r="M611" s="23" t="s">
        <v>22</v>
      </c>
    </row>
    <row r="612" spans="1:13" x14ac:dyDescent="0.35">
      <c r="A612" s="22" t="s">
        <v>793</v>
      </c>
      <c r="B612" s="22" t="s">
        <v>1698</v>
      </c>
      <c r="C612" s="22" t="s">
        <v>27</v>
      </c>
      <c r="D612" s="22" t="s">
        <v>28</v>
      </c>
      <c r="E612" s="22" t="s">
        <v>14</v>
      </c>
      <c r="F612" s="22" t="s">
        <v>25</v>
      </c>
      <c r="G612" s="22" t="s">
        <v>44</v>
      </c>
      <c r="H612" s="22">
        <v>42</v>
      </c>
      <c r="I612" s="24">
        <v>42810</v>
      </c>
      <c r="J612" s="27">
        <v>894</v>
      </c>
      <c r="K612" s="25">
        <v>0</v>
      </c>
      <c r="L612" s="22" t="s">
        <v>45</v>
      </c>
      <c r="M612" s="23" t="s">
        <v>46</v>
      </c>
    </row>
    <row r="613" spans="1:13" x14ac:dyDescent="0.35">
      <c r="A613" s="22" t="s">
        <v>208</v>
      </c>
      <c r="B613" s="22" t="s">
        <v>1699</v>
      </c>
      <c r="C613" s="22" t="s">
        <v>12</v>
      </c>
      <c r="D613" s="22" t="s">
        <v>24</v>
      </c>
      <c r="E613" s="22" t="s">
        <v>33</v>
      </c>
      <c r="F613" s="22" t="s">
        <v>15</v>
      </c>
      <c r="G613" s="22" t="s">
        <v>21</v>
      </c>
      <c r="H613" s="22">
        <v>26</v>
      </c>
      <c r="I613" s="24">
        <v>44533</v>
      </c>
      <c r="J613" s="27">
        <v>900</v>
      </c>
      <c r="K613" s="25">
        <v>0.31</v>
      </c>
      <c r="L613" s="22" t="s">
        <v>17</v>
      </c>
      <c r="M613" s="23" t="s">
        <v>18</v>
      </c>
    </row>
    <row r="614" spans="1:13" x14ac:dyDescent="0.35">
      <c r="A614" s="22" t="s">
        <v>794</v>
      </c>
      <c r="B614" s="22" t="s">
        <v>1700</v>
      </c>
      <c r="C614" s="22" t="s">
        <v>53</v>
      </c>
      <c r="D614" s="22" t="s">
        <v>13</v>
      </c>
      <c r="E614" s="22" t="s">
        <v>29</v>
      </c>
      <c r="F614" s="22" t="s">
        <v>25</v>
      </c>
      <c r="G614" s="22" t="s">
        <v>16</v>
      </c>
      <c r="H614" s="22">
        <v>57</v>
      </c>
      <c r="I614" s="24">
        <v>40651</v>
      </c>
      <c r="J614" s="27">
        <v>677</v>
      </c>
      <c r="K614" s="25">
        <v>0.1</v>
      </c>
      <c r="L614" s="22" t="s">
        <v>17</v>
      </c>
      <c r="M614" s="23" t="s">
        <v>40</v>
      </c>
    </row>
    <row r="615" spans="1:13" x14ac:dyDescent="0.35">
      <c r="A615" s="22" t="s">
        <v>795</v>
      </c>
      <c r="B615" s="22" t="s">
        <v>1701</v>
      </c>
      <c r="C615" s="22" t="s">
        <v>36</v>
      </c>
      <c r="D615" s="22" t="s">
        <v>28</v>
      </c>
      <c r="E615" s="22" t="s">
        <v>14</v>
      </c>
      <c r="F615" s="22" t="s">
        <v>15</v>
      </c>
      <c r="G615" s="22" t="s">
        <v>44</v>
      </c>
      <c r="H615" s="22">
        <v>25</v>
      </c>
      <c r="I615" s="24">
        <v>44876</v>
      </c>
      <c r="J615" s="27">
        <v>962</v>
      </c>
      <c r="K615" s="25">
        <v>0.16</v>
      </c>
      <c r="L615" s="22" t="s">
        <v>45</v>
      </c>
      <c r="M615" s="23" t="s">
        <v>66</v>
      </c>
    </row>
    <row r="616" spans="1:13" x14ac:dyDescent="0.35">
      <c r="A616" s="22" t="s">
        <v>796</v>
      </c>
      <c r="B616" s="22" t="s">
        <v>1702</v>
      </c>
      <c r="C616" s="22" t="s">
        <v>68</v>
      </c>
      <c r="D616" s="22" t="s">
        <v>20</v>
      </c>
      <c r="E616" s="22" t="s">
        <v>29</v>
      </c>
      <c r="F616" s="22" t="s">
        <v>25</v>
      </c>
      <c r="G616" s="22" t="s">
        <v>21</v>
      </c>
      <c r="H616" s="22">
        <v>53</v>
      </c>
      <c r="I616" s="24">
        <v>42472</v>
      </c>
      <c r="J616" s="27">
        <v>567</v>
      </c>
      <c r="K616" s="25">
        <v>0</v>
      </c>
      <c r="L616" s="22" t="s">
        <v>17</v>
      </c>
      <c r="M616" s="23" t="s">
        <v>54</v>
      </c>
    </row>
    <row r="617" spans="1:13" x14ac:dyDescent="0.35">
      <c r="A617" s="22" t="s">
        <v>797</v>
      </c>
      <c r="B617" s="22" t="s">
        <v>1703</v>
      </c>
      <c r="C617" s="22" t="s">
        <v>36</v>
      </c>
      <c r="D617" s="22" t="s">
        <v>24</v>
      </c>
      <c r="E617" s="22" t="s">
        <v>1102</v>
      </c>
      <c r="F617" s="22" t="s">
        <v>25</v>
      </c>
      <c r="G617" s="22" t="s">
        <v>41</v>
      </c>
      <c r="H617" s="22">
        <v>43</v>
      </c>
      <c r="I617" s="24">
        <v>37695</v>
      </c>
      <c r="J617" s="27">
        <v>938</v>
      </c>
      <c r="K617" s="25">
        <v>0.25</v>
      </c>
      <c r="L617" s="22" t="s">
        <v>17</v>
      </c>
      <c r="M617" s="23" t="s">
        <v>18</v>
      </c>
    </row>
    <row r="618" spans="1:13" x14ac:dyDescent="0.35">
      <c r="A618" s="22" t="s">
        <v>798</v>
      </c>
      <c r="B618" s="22" t="s">
        <v>1704</v>
      </c>
      <c r="C618" s="22" t="s">
        <v>57</v>
      </c>
      <c r="D618" s="22" t="s">
        <v>56</v>
      </c>
      <c r="E618" s="22" t="s">
        <v>29</v>
      </c>
      <c r="F618" s="22" t="s">
        <v>15</v>
      </c>
      <c r="G618" s="22" t="s">
        <v>16</v>
      </c>
      <c r="H618" s="22">
        <v>49</v>
      </c>
      <c r="I618" s="24">
        <v>37305</v>
      </c>
      <c r="J618" s="27">
        <v>812</v>
      </c>
      <c r="K618" s="25">
        <v>0</v>
      </c>
      <c r="L618" s="22" t="s">
        <v>17</v>
      </c>
      <c r="M618" s="23" t="s">
        <v>18</v>
      </c>
    </row>
    <row r="619" spans="1:13" x14ac:dyDescent="0.35">
      <c r="A619" s="22" t="s">
        <v>799</v>
      </c>
      <c r="B619" s="22" t="s">
        <v>1705</v>
      </c>
      <c r="C619" s="22" t="s">
        <v>68</v>
      </c>
      <c r="D619" s="22" t="s">
        <v>20</v>
      </c>
      <c r="E619" s="22" t="s">
        <v>14</v>
      </c>
      <c r="F619" s="22" t="s">
        <v>15</v>
      </c>
      <c r="G619" s="22" t="s">
        <v>21</v>
      </c>
      <c r="H619" s="22">
        <v>61</v>
      </c>
      <c r="I619" s="24">
        <v>35303</v>
      </c>
      <c r="J619" s="27">
        <v>706</v>
      </c>
      <c r="K619" s="25">
        <v>0</v>
      </c>
      <c r="L619" s="22" t="s">
        <v>17</v>
      </c>
      <c r="M619" s="23" t="s">
        <v>26</v>
      </c>
    </row>
    <row r="620" spans="1:13" x14ac:dyDescent="0.35">
      <c r="A620" s="22" t="s">
        <v>800</v>
      </c>
      <c r="B620" s="22" t="s">
        <v>1706</v>
      </c>
      <c r="C620" s="22" t="s">
        <v>76</v>
      </c>
      <c r="D620" s="22" t="s">
        <v>28</v>
      </c>
      <c r="E620" s="22" t="s">
        <v>14</v>
      </c>
      <c r="F620" s="22" t="s">
        <v>25</v>
      </c>
      <c r="G620" s="22" t="s">
        <v>44</v>
      </c>
      <c r="H620" s="22">
        <v>41</v>
      </c>
      <c r="I620" s="24">
        <v>40252</v>
      </c>
      <c r="J620" s="27">
        <v>579</v>
      </c>
      <c r="K620" s="25">
        <v>0.1</v>
      </c>
      <c r="L620" s="22" t="s">
        <v>17</v>
      </c>
      <c r="M620" s="23" t="s">
        <v>35</v>
      </c>
    </row>
    <row r="621" spans="1:13" x14ac:dyDescent="0.35">
      <c r="A621" s="22" t="s">
        <v>801</v>
      </c>
      <c r="B621" s="22" t="s">
        <v>1707</v>
      </c>
      <c r="C621" s="22" t="s">
        <v>59</v>
      </c>
      <c r="D621" s="22" t="s">
        <v>24</v>
      </c>
      <c r="E621" s="22" t="s">
        <v>33</v>
      </c>
      <c r="F621" s="22" t="s">
        <v>15</v>
      </c>
      <c r="G621" s="22" t="s">
        <v>16</v>
      </c>
      <c r="H621" s="22">
        <v>56</v>
      </c>
      <c r="I621" s="24">
        <v>43463</v>
      </c>
      <c r="J621" s="27">
        <v>743</v>
      </c>
      <c r="K621" s="25">
        <v>0</v>
      </c>
      <c r="L621" s="22" t="s">
        <v>17</v>
      </c>
      <c r="M621" s="23" t="s">
        <v>40</v>
      </c>
    </row>
    <row r="622" spans="1:13" x14ac:dyDescent="0.35">
      <c r="A622" s="22" t="s">
        <v>802</v>
      </c>
      <c r="B622" s="22" t="s">
        <v>1708</v>
      </c>
      <c r="C622" s="22" t="s">
        <v>76</v>
      </c>
      <c r="D622" s="22" t="s">
        <v>28</v>
      </c>
      <c r="E622" s="22" t="s">
        <v>1102</v>
      </c>
      <c r="F622" s="22" t="s">
        <v>25</v>
      </c>
      <c r="G622" s="22" t="s">
        <v>16</v>
      </c>
      <c r="H622" s="22">
        <v>49</v>
      </c>
      <c r="I622" s="24">
        <v>37370</v>
      </c>
      <c r="J622" s="27">
        <v>579</v>
      </c>
      <c r="K622" s="25">
        <v>0.1</v>
      </c>
      <c r="L622" s="22" t="s">
        <v>17</v>
      </c>
      <c r="M622" s="23" t="s">
        <v>26</v>
      </c>
    </row>
    <row r="623" spans="1:13" x14ac:dyDescent="0.35">
      <c r="A623" s="22" t="s">
        <v>803</v>
      </c>
      <c r="B623" s="22" t="s">
        <v>1709</v>
      </c>
      <c r="C623" s="22" t="s">
        <v>83</v>
      </c>
      <c r="D623" s="22" t="s">
        <v>28</v>
      </c>
      <c r="E623" s="22" t="s">
        <v>1102</v>
      </c>
      <c r="F623" s="22" t="s">
        <v>15</v>
      </c>
      <c r="G623" s="22" t="s">
        <v>21</v>
      </c>
      <c r="H623" s="22">
        <v>32</v>
      </c>
      <c r="I623" s="24">
        <v>41753</v>
      </c>
      <c r="J623" s="27">
        <v>583</v>
      </c>
      <c r="K623" s="25">
        <v>0</v>
      </c>
      <c r="L623" s="22" t="s">
        <v>30</v>
      </c>
      <c r="M623" s="23" t="s">
        <v>52</v>
      </c>
    </row>
    <row r="624" spans="1:13" x14ac:dyDescent="0.35">
      <c r="A624" s="22" t="s">
        <v>804</v>
      </c>
      <c r="B624" s="22" t="s">
        <v>1710</v>
      </c>
      <c r="C624" s="22" t="s">
        <v>55</v>
      </c>
      <c r="D624" s="22" t="s">
        <v>56</v>
      </c>
      <c r="E624" s="22" t="s">
        <v>29</v>
      </c>
      <c r="F624" s="22" t="s">
        <v>15</v>
      </c>
      <c r="G624" s="22" t="s">
        <v>16</v>
      </c>
      <c r="H624" s="22">
        <v>30</v>
      </c>
      <c r="I624" s="24">
        <v>42592</v>
      </c>
      <c r="J624" s="27">
        <v>925</v>
      </c>
      <c r="K624" s="25">
        <v>0</v>
      </c>
      <c r="L624" s="22" t="s">
        <v>17</v>
      </c>
      <c r="M624" s="23" t="s">
        <v>54</v>
      </c>
    </row>
    <row r="625" spans="1:13" x14ac:dyDescent="0.35">
      <c r="A625" s="22" t="s">
        <v>805</v>
      </c>
      <c r="B625" s="22" t="s">
        <v>1711</v>
      </c>
      <c r="C625" s="22" t="s">
        <v>53</v>
      </c>
      <c r="D625" s="22" t="s">
        <v>13</v>
      </c>
      <c r="E625" s="22" t="s">
        <v>1102</v>
      </c>
      <c r="F625" s="22" t="s">
        <v>25</v>
      </c>
      <c r="G625" s="22" t="s">
        <v>21</v>
      </c>
      <c r="H625" s="22">
        <v>64</v>
      </c>
      <c r="I625" s="24">
        <v>37815</v>
      </c>
      <c r="J625" s="27">
        <v>538</v>
      </c>
      <c r="K625" s="25">
        <v>0.05</v>
      </c>
      <c r="L625" s="22" t="s">
        <v>17</v>
      </c>
      <c r="M625" s="23" t="s">
        <v>40</v>
      </c>
    </row>
    <row r="626" spans="1:13" x14ac:dyDescent="0.35">
      <c r="A626" s="22" t="s">
        <v>806</v>
      </c>
      <c r="B626" s="22" t="s">
        <v>1712</v>
      </c>
      <c r="C626" s="22" t="s">
        <v>59</v>
      </c>
      <c r="D626" s="22" t="s">
        <v>24</v>
      </c>
      <c r="E626" s="22" t="s">
        <v>1102</v>
      </c>
      <c r="F626" s="22" t="s">
        <v>25</v>
      </c>
      <c r="G626" s="22" t="s">
        <v>44</v>
      </c>
      <c r="H626" s="22">
        <v>57</v>
      </c>
      <c r="I626" s="24">
        <v>44762</v>
      </c>
      <c r="J626" s="27">
        <v>891</v>
      </c>
      <c r="K626" s="25">
        <v>0</v>
      </c>
      <c r="L626" s="22" t="s">
        <v>45</v>
      </c>
      <c r="M626" s="23" t="s">
        <v>46</v>
      </c>
    </row>
    <row r="627" spans="1:13" x14ac:dyDescent="0.35">
      <c r="A627" s="22" t="s">
        <v>277</v>
      </c>
      <c r="B627" s="22" t="s">
        <v>1713</v>
      </c>
      <c r="C627" s="22" t="s">
        <v>12</v>
      </c>
      <c r="D627" s="22" t="s">
        <v>39</v>
      </c>
      <c r="E627" s="22" t="s">
        <v>1102</v>
      </c>
      <c r="F627" s="22" t="s">
        <v>15</v>
      </c>
      <c r="G627" s="22" t="s">
        <v>16</v>
      </c>
      <c r="H627" s="22">
        <v>50</v>
      </c>
      <c r="I627" s="24">
        <v>43280</v>
      </c>
      <c r="J627" s="27">
        <v>880</v>
      </c>
      <c r="K627" s="25">
        <v>0.35</v>
      </c>
      <c r="L627" s="22" t="s">
        <v>17</v>
      </c>
      <c r="M627" s="23" t="s">
        <v>40</v>
      </c>
    </row>
    <row r="628" spans="1:13" x14ac:dyDescent="0.35">
      <c r="A628" s="22" t="s">
        <v>125</v>
      </c>
      <c r="B628" s="22" t="s">
        <v>1714</v>
      </c>
      <c r="C628" s="22" t="s">
        <v>53</v>
      </c>
      <c r="D628" s="22" t="s">
        <v>43</v>
      </c>
      <c r="E628" s="22" t="s">
        <v>33</v>
      </c>
      <c r="F628" s="22" t="s">
        <v>25</v>
      </c>
      <c r="G628" s="22" t="s">
        <v>21</v>
      </c>
      <c r="H628" s="22">
        <v>61</v>
      </c>
      <c r="I628" s="24">
        <v>37894</v>
      </c>
      <c r="J628" s="27">
        <v>919</v>
      </c>
      <c r="K628" s="25">
        <v>0.09</v>
      </c>
      <c r="L628" s="22" t="s">
        <v>17</v>
      </c>
      <c r="M628" s="23" t="s">
        <v>54</v>
      </c>
    </row>
    <row r="629" spans="1:13" x14ac:dyDescent="0.35">
      <c r="A629" s="22" t="s">
        <v>807</v>
      </c>
      <c r="B629" s="22" t="s">
        <v>1715</v>
      </c>
      <c r="C629" s="22" t="s">
        <v>53</v>
      </c>
      <c r="D629" s="22" t="s">
        <v>13</v>
      </c>
      <c r="E629" s="22" t="s">
        <v>33</v>
      </c>
      <c r="F629" s="22" t="s">
        <v>25</v>
      </c>
      <c r="G629" s="22" t="s">
        <v>21</v>
      </c>
      <c r="H629" s="22">
        <v>43</v>
      </c>
      <c r="I629" s="24">
        <v>38747</v>
      </c>
      <c r="J629" s="27">
        <v>857</v>
      </c>
      <c r="K629" s="25">
        <v>0.1</v>
      </c>
      <c r="L629" s="22" t="s">
        <v>30</v>
      </c>
      <c r="M629" s="23" t="s">
        <v>65</v>
      </c>
    </row>
    <row r="630" spans="1:13" x14ac:dyDescent="0.35">
      <c r="A630" s="22" t="s">
        <v>808</v>
      </c>
      <c r="B630" s="22" t="s">
        <v>1716</v>
      </c>
      <c r="C630" s="22" t="s">
        <v>53</v>
      </c>
      <c r="D630" s="22" t="s">
        <v>39</v>
      </c>
      <c r="E630" s="22" t="s">
        <v>14</v>
      </c>
      <c r="F630" s="22" t="s">
        <v>15</v>
      </c>
      <c r="G630" s="22" t="s">
        <v>21</v>
      </c>
      <c r="H630" s="22">
        <v>26</v>
      </c>
      <c r="I630" s="24">
        <v>44622</v>
      </c>
      <c r="J630" s="27">
        <v>998</v>
      </c>
      <c r="K630" s="25">
        <v>0.09</v>
      </c>
      <c r="L630" s="22" t="s">
        <v>17</v>
      </c>
      <c r="M630" s="23" t="s">
        <v>26</v>
      </c>
    </row>
    <row r="631" spans="1:13" x14ac:dyDescent="0.35">
      <c r="A631" s="22" t="s">
        <v>809</v>
      </c>
      <c r="B631" s="22" t="s">
        <v>1717</v>
      </c>
      <c r="C631" s="22" t="s">
        <v>72</v>
      </c>
      <c r="D631" s="22" t="s">
        <v>24</v>
      </c>
      <c r="E631" s="22" t="s">
        <v>33</v>
      </c>
      <c r="F631" s="22" t="s">
        <v>15</v>
      </c>
      <c r="G631" s="22" t="s">
        <v>21</v>
      </c>
      <c r="H631" s="22">
        <v>54</v>
      </c>
      <c r="I631" s="24">
        <v>40864</v>
      </c>
      <c r="J631" s="27">
        <v>832</v>
      </c>
      <c r="K631" s="25">
        <v>0</v>
      </c>
      <c r="L631" s="22" t="s">
        <v>17</v>
      </c>
      <c r="M631" s="23" t="s">
        <v>22</v>
      </c>
    </row>
    <row r="632" spans="1:13" x14ac:dyDescent="0.35">
      <c r="A632" s="22" t="s">
        <v>194</v>
      </c>
      <c r="B632" s="22" t="s">
        <v>1718</v>
      </c>
      <c r="C632" s="22" t="s">
        <v>53</v>
      </c>
      <c r="D632" s="22" t="s">
        <v>13</v>
      </c>
      <c r="E632" s="22" t="s">
        <v>14</v>
      </c>
      <c r="F632" s="22" t="s">
        <v>15</v>
      </c>
      <c r="G632" s="22" t="s">
        <v>44</v>
      </c>
      <c r="H632" s="22">
        <v>49</v>
      </c>
      <c r="I632" s="24">
        <v>38392</v>
      </c>
      <c r="J632" s="27">
        <v>799</v>
      </c>
      <c r="K632" s="25">
        <v>0.08</v>
      </c>
      <c r="L632" s="22" t="s">
        <v>17</v>
      </c>
      <c r="M632" s="23" t="s">
        <v>54</v>
      </c>
    </row>
    <row r="633" spans="1:13" x14ac:dyDescent="0.35">
      <c r="A633" s="22" t="s">
        <v>200</v>
      </c>
      <c r="B633" s="22" t="s">
        <v>1719</v>
      </c>
      <c r="C633" s="22" t="s">
        <v>55</v>
      </c>
      <c r="D633" s="22" t="s">
        <v>43</v>
      </c>
      <c r="E633" s="22" t="s">
        <v>14</v>
      </c>
      <c r="F633" s="22" t="s">
        <v>15</v>
      </c>
      <c r="G633" s="22" t="s">
        <v>16</v>
      </c>
      <c r="H633" s="22">
        <v>32</v>
      </c>
      <c r="I633" s="24">
        <v>43155</v>
      </c>
      <c r="J633" s="27">
        <v>963</v>
      </c>
      <c r="K633" s="25">
        <v>0</v>
      </c>
      <c r="L633" s="22" t="s">
        <v>17</v>
      </c>
      <c r="M633" s="23" t="s">
        <v>26</v>
      </c>
    </row>
    <row r="634" spans="1:13" x14ac:dyDescent="0.35">
      <c r="A634" s="22" t="s">
        <v>810</v>
      </c>
      <c r="B634" s="22" t="s">
        <v>1720</v>
      </c>
      <c r="C634" s="22" t="s">
        <v>1111</v>
      </c>
      <c r="D634" s="22" t="s">
        <v>43</v>
      </c>
      <c r="E634" s="22" t="s">
        <v>14</v>
      </c>
      <c r="F634" s="22" t="s">
        <v>15</v>
      </c>
      <c r="G634" s="22" t="s">
        <v>44</v>
      </c>
      <c r="H634" s="22">
        <v>62</v>
      </c>
      <c r="I634" s="24">
        <v>39824</v>
      </c>
      <c r="J634" s="27">
        <v>688</v>
      </c>
      <c r="K634" s="25">
        <v>0.15</v>
      </c>
      <c r="L634" s="22" t="s">
        <v>17</v>
      </c>
      <c r="M634" s="23" t="s">
        <v>26</v>
      </c>
    </row>
    <row r="635" spans="1:13" x14ac:dyDescent="0.35">
      <c r="A635" s="22" t="s">
        <v>811</v>
      </c>
      <c r="B635" s="22" t="s">
        <v>1721</v>
      </c>
      <c r="C635" s="22" t="s">
        <v>60</v>
      </c>
      <c r="D635" s="22" t="s">
        <v>24</v>
      </c>
      <c r="E635" s="22" t="s">
        <v>1102</v>
      </c>
      <c r="F635" s="22" t="s">
        <v>15</v>
      </c>
      <c r="G635" s="22" t="s">
        <v>21</v>
      </c>
      <c r="H635" s="22">
        <v>64</v>
      </c>
      <c r="I635" s="24">
        <v>44854</v>
      </c>
      <c r="J635" s="27">
        <v>782</v>
      </c>
      <c r="K635" s="25">
        <v>0</v>
      </c>
      <c r="L635" s="22" t="s">
        <v>30</v>
      </c>
      <c r="M635" s="23" t="s">
        <v>31</v>
      </c>
    </row>
    <row r="636" spans="1:13" x14ac:dyDescent="0.35">
      <c r="A636" s="22" t="s">
        <v>812</v>
      </c>
      <c r="B636" s="22" t="s">
        <v>1722</v>
      </c>
      <c r="C636" s="22" t="s">
        <v>47</v>
      </c>
      <c r="D636" s="22" t="s">
        <v>24</v>
      </c>
      <c r="E636" s="22" t="s">
        <v>14</v>
      </c>
      <c r="F636" s="22" t="s">
        <v>15</v>
      </c>
      <c r="G636" s="22" t="s">
        <v>44</v>
      </c>
      <c r="H636" s="22">
        <v>52</v>
      </c>
      <c r="I636" s="24">
        <v>40713</v>
      </c>
      <c r="J636" s="27">
        <v>709</v>
      </c>
      <c r="K636" s="25">
        <v>0</v>
      </c>
      <c r="L636" s="22" t="s">
        <v>45</v>
      </c>
      <c r="M636" s="23" t="s">
        <v>46</v>
      </c>
    </row>
    <row r="637" spans="1:13" x14ac:dyDescent="0.35">
      <c r="A637" s="22" t="s">
        <v>813</v>
      </c>
      <c r="B637" s="22" t="s">
        <v>1723</v>
      </c>
      <c r="C637" s="22" t="s">
        <v>1111</v>
      </c>
      <c r="D637" s="22" t="s">
        <v>20</v>
      </c>
      <c r="E637" s="22" t="s">
        <v>1102</v>
      </c>
      <c r="F637" s="22" t="s">
        <v>15</v>
      </c>
      <c r="G637" s="22" t="s">
        <v>44</v>
      </c>
      <c r="H637" s="22">
        <v>42</v>
      </c>
      <c r="I637" s="24">
        <v>43570</v>
      </c>
      <c r="J637" s="27">
        <v>785</v>
      </c>
      <c r="K637" s="25">
        <v>0.12</v>
      </c>
      <c r="L637" s="22" t="s">
        <v>17</v>
      </c>
      <c r="M637" s="23" t="s">
        <v>22</v>
      </c>
    </row>
    <row r="638" spans="1:13" x14ac:dyDescent="0.35">
      <c r="A638" s="22" t="s">
        <v>814</v>
      </c>
      <c r="B638" s="22" t="s">
        <v>1724</v>
      </c>
      <c r="C638" s="22" t="s">
        <v>19</v>
      </c>
      <c r="D638" s="22" t="s">
        <v>20</v>
      </c>
      <c r="E638" s="22" t="s">
        <v>29</v>
      </c>
      <c r="F638" s="22" t="s">
        <v>25</v>
      </c>
      <c r="G638" s="22" t="s">
        <v>21</v>
      </c>
      <c r="H638" s="22">
        <v>45</v>
      </c>
      <c r="I638" s="24">
        <v>42878</v>
      </c>
      <c r="J638" s="27">
        <v>967</v>
      </c>
      <c r="K638" s="25">
        <v>0</v>
      </c>
      <c r="L638" s="22" t="s">
        <v>30</v>
      </c>
      <c r="M638" s="23" t="s">
        <v>52</v>
      </c>
    </row>
    <row r="639" spans="1:13" x14ac:dyDescent="0.35">
      <c r="A639" s="22" t="s">
        <v>160</v>
      </c>
      <c r="B639" s="22" t="s">
        <v>1725</v>
      </c>
      <c r="C639" s="22" t="s">
        <v>55</v>
      </c>
      <c r="D639" s="22" t="s">
        <v>43</v>
      </c>
      <c r="E639" s="22" t="s">
        <v>29</v>
      </c>
      <c r="F639" s="22" t="s">
        <v>25</v>
      </c>
      <c r="G639" s="22" t="s">
        <v>21</v>
      </c>
      <c r="H639" s="22">
        <v>65</v>
      </c>
      <c r="I639" s="24">
        <v>35824</v>
      </c>
      <c r="J639" s="27">
        <v>689</v>
      </c>
      <c r="K639" s="25">
        <v>0</v>
      </c>
      <c r="L639" s="22" t="s">
        <v>17</v>
      </c>
      <c r="M639" s="23" t="s">
        <v>22</v>
      </c>
    </row>
    <row r="640" spans="1:13" x14ac:dyDescent="0.35">
      <c r="A640" s="22" t="s">
        <v>815</v>
      </c>
      <c r="B640" s="22" t="s">
        <v>1726</v>
      </c>
      <c r="C640" s="22" t="s">
        <v>53</v>
      </c>
      <c r="D640" s="22" t="s">
        <v>20</v>
      </c>
      <c r="E640" s="22" t="s">
        <v>29</v>
      </c>
      <c r="F640" s="22" t="s">
        <v>15</v>
      </c>
      <c r="G640" s="22" t="s">
        <v>21</v>
      </c>
      <c r="H640" s="22">
        <v>46</v>
      </c>
      <c r="I640" s="24">
        <v>44206</v>
      </c>
      <c r="J640" s="27">
        <v>694</v>
      </c>
      <c r="K640" s="25">
        <v>0.08</v>
      </c>
      <c r="L640" s="22" t="s">
        <v>30</v>
      </c>
      <c r="M640" s="23" t="s">
        <v>31</v>
      </c>
    </row>
    <row r="641" spans="1:13" x14ac:dyDescent="0.35">
      <c r="A641" s="22" t="s">
        <v>816</v>
      </c>
      <c r="B641" s="22" t="s">
        <v>149</v>
      </c>
      <c r="C641" s="22" t="s">
        <v>71</v>
      </c>
      <c r="D641" s="22" t="s">
        <v>24</v>
      </c>
      <c r="E641" s="22" t="s">
        <v>29</v>
      </c>
      <c r="F641" s="22" t="s">
        <v>15</v>
      </c>
      <c r="G641" s="22" t="s">
        <v>44</v>
      </c>
      <c r="H641" s="22">
        <v>64</v>
      </c>
      <c r="I641" s="24">
        <v>44868</v>
      </c>
      <c r="J641" s="27">
        <v>569</v>
      </c>
      <c r="K641" s="25">
        <v>0</v>
      </c>
      <c r="L641" s="22" t="s">
        <v>45</v>
      </c>
      <c r="M641" s="23" t="s">
        <v>66</v>
      </c>
    </row>
    <row r="642" spans="1:13" x14ac:dyDescent="0.35">
      <c r="A642" s="22" t="s">
        <v>89</v>
      </c>
      <c r="B642" s="22" t="s">
        <v>1727</v>
      </c>
      <c r="C642" s="22" t="s">
        <v>12</v>
      </c>
      <c r="D642" s="22" t="s">
        <v>39</v>
      </c>
      <c r="E642" s="22" t="s">
        <v>33</v>
      </c>
      <c r="F642" s="22" t="s">
        <v>15</v>
      </c>
      <c r="G642" s="22" t="s">
        <v>21</v>
      </c>
      <c r="H642" s="22">
        <v>45</v>
      </c>
      <c r="I642" s="24">
        <v>39386</v>
      </c>
      <c r="J642" s="27">
        <v>837</v>
      </c>
      <c r="K642" s="25">
        <v>0.37</v>
      </c>
      <c r="L642" s="22" t="s">
        <v>17</v>
      </c>
      <c r="M642" s="23" t="s">
        <v>18</v>
      </c>
    </row>
    <row r="643" spans="1:13" x14ac:dyDescent="0.35">
      <c r="A643" s="22" t="s">
        <v>817</v>
      </c>
      <c r="B643" s="22" t="s">
        <v>1728</v>
      </c>
      <c r="C643" s="22" t="s">
        <v>23</v>
      </c>
      <c r="D643" s="22" t="s">
        <v>24</v>
      </c>
      <c r="E643" s="22" t="s">
        <v>1102</v>
      </c>
      <c r="F643" s="22" t="s">
        <v>15</v>
      </c>
      <c r="G643" s="22" t="s">
        <v>21</v>
      </c>
      <c r="H643" s="22">
        <v>32</v>
      </c>
      <c r="I643" s="24">
        <v>44547</v>
      </c>
      <c r="J643" s="27">
        <v>798</v>
      </c>
      <c r="K643" s="25">
        <v>0</v>
      </c>
      <c r="L643" s="22" t="s">
        <v>17</v>
      </c>
      <c r="M643" s="23" t="s">
        <v>35</v>
      </c>
    </row>
    <row r="644" spans="1:13" x14ac:dyDescent="0.35">
      <c r="A644" s="22" t="s">
        <v>818</v>
      </c>
      <c r="B644" s="22" t="s">
        <v>1729</v>
      </c>
      <c r="C644" s="22" t="s">
        <v>36</v>
      </c>
      <c r="D644" s="22" t="s">
        <v>28</v>
      </c>
      <c r="E644" s="22" t="s">
        <v>29</v>
      </c>
      <c r="F644" s="22" t="s">
        <v>15</v>
      </c>
      <c r="G644" s="22" t="s">
        <v>21</v>
      </c>
      <c r="H644" s="22">
        <v>56</v>
      </c>
      <c r="I644" s="24">
        <v>44739</v>
      </c>
      <c r="J644" s="27">
        <v>555</v>
      </c>
      <c r="K644" s="25">
        <v>0.18</v>
      </c>
      <c r="L644" s="22" t="s">
        <v>17</v>
      </c>
      <c r="M644" s="23" t="s">
        <v>18</v>
      </c>
    </row>
    <row r="645" spans="1:13" x14ac:dyDescent="0.35">
      <c r="A645" s="22" t="s">
        <v>819</v>
      </c>
      <c r="B645" s="22" t="s">
        <v>1730</v>
      </c>
      <c r="C645" s="22" t="s">
        <v>62</v>
      </c>
      <c r="D645" s="22" t="s">
        <v>24</v>
      </c>
      <c r="E645" s="22" t="s">
        <v>29</v>
      </c>
      <c r="F645" s="22" t="s">
        <v>25</v>
      </c>
      <c r="G645" s="22" t="s">
        <v>21</v>
      </c>
      <c r="H645" s="22">
        <v>46</v>
      </c>
      <c r="I645" s="24">
        <v>40892</v>
      </c>
      <c r="J645" s="27">
        <v>839</v>
      </c>
      <c r="K645" s="25">
        <v>0</v>
      </c>
      <c r="L645" s="22" t="s">
        <v>17</v>
      </c>
      <c r="M645" s="23" t="s">
        <v>22</v>
      </c>
    </row>
    <row r="646" spans="1:13" x14ac:dyDescent="0.35">
      <c r="A646" s="22" t="s">
        <v>820</v>
      </c>
      <c r="B646" s="22" t="s">
        <v>1722</v>
      </c>
      <c r="C646" s="22" t="s">
        <v>12</v>
      </c>
      <c r="D646" s="22" t="s">
        <v>20</v>
      </c>
      <c r="E646" s="22" t="s">
        <v>29</v>
      </c>
      <c r="F646" s="22" t="s">
        <v>15</v>
      </c>
      <c r="G646" s="22" t="s">
        <v>44</v>
      </c>
      <c r="H646" s="22">
        <v>26</v>
      </c>
      <c r="I646" s="24">
        <v>43973</v>
      </c>
      <c r="J646" s="27">
        <v>860</v>
      </c>
      <c r="K646" s="25">
        <v>0.4</v>
      </c>
      <c r="L646" s="22" t="s">
        <v>17</v>
      </c>
      <c r="M646" s="23" t="s">
        <v>18</v>
      </c>
    </row>
    <row r="647" spans="1:13" x14ac:dyDescent="0.35">
      <c r="A647" s="22" t="s">
        <v>821</v>
      </c>
      <c r="B647" s="22" t="s">
        <v>1731</v>
      </c>
      <c r="C647" s="22" t="s">
        <v>53</v>
      </c>
      <c r="D647" s="22" t="s">
        <v>20</v>
      </c>
      <c r="E647" s="22" t="s">
        <v>1102</v>
      </c>
      <c r="F647" s="22" t="s">
        <v>15</v>
      </c>
      <c r="G647" s="22" t="s">
        <v>16</v>
      </c>
      <c r="H647" s="22">
        <v>59</v>
      </c>
      <c r="I647" s="24">
        <v>42742</v>
      </c>
      <c r="J647" s="27">
        <v>885</v>
      </c>
      <c r="K647" s="25">
        <v>0.06</v>
      </c>
      <c r="L647" s="22" t="s">
        <v>17</v>
      </c>
      <c r="M647" s="23" t="s">
        <v>35</v>
      </c>
    </row>
    <row r="648" spans="1:13" x14ac:dyDescent="0.35">
      <c r="A648" s="22" t="s">
        <v>822</v>
      </c>
      <c r="B648" s="22" t="s">
        <v>1732</v>
      </c>
      <c r="C648" s="22" t="s">
        <v>77</v>
      </c>
      <c r="D648" s="22" t="s">
        <v>24</v>
      </c>
      <c r="E648" s="22" t="s">
        <v>29</v>
      </c>
      <c r="F648" s="22" t="s">
        <v>25</v>
      </c>
      <c r="G648" s="22" t="s">
        <v>41</v>
      </c>
      <c r="H648" s="22">
        <v>50</v>
      </c>
      <c r="I648" s="24">
        <v>43299</v>
      </c>
      <c r="J648" s="27">
        <v>909</v>
      </c>
      <c r="K648" s="25">
        <v>0</v>
      </c>
      <c r="L648" s="22" t="s">
        <v>17</v>
      </c>
      <c r="M648" s="23" t="s">
        <v>40</v>
      </c>
    </row>
    <row r="649" spans="1:13" x14ac:dyDescent="0.35">
      <c r="A649" s="22" t="s">
        <v>251</v>
      </c>
      <c r="B649" s="22" t="s">
        <v>1733</v>
      </c>
      <c r="C649" s="22" t="s">
        <v>50</v>
      </c>
      <c r="D649" s="22" t="s">
        <v>28</v>
      </c>
      <c r="E649" s="22" t="s">
        <v>14</v>
      </c>
      <c r="F649" s="22" t="s">
        <v>15</v>
      </c>
      <c r="G649" s="22" t="s">
        <v>16</v>
      </c>
      <c r="H649" s="22">
        <v>32</v>
      </c>
      <c r="I649" s="24">
        <v>43729</v>
      </c>
      <c r="J649" s="27">
        <v>844</v>
      </c>
      <c r="K649" s="25">
        <v>0</v>
      </c>
      <c r="L649" s="22" t="s">
        <v>17</v>
      </c>
      <c r="M649" s="23" t="s">
        <v>40</v>
      </c>
    </row>
    <row r="650" spans="1:13" x14ac:dyDescent="0.35">
      <c r="A650" s="22" t="s">
        <v>823</v>
      </c>
      <c r="B650" s="22" t="s">
        <v>1734</v>
      </c>
      <c r="C650" s="22" t="s">
        <v>57</v>
      </c>
      <c r="D650" s="22" t="s">
        <v>13</v>
      </c>
      <c r="E650" s="22" t="s">
        <v>33</v>
      </c>
      <c r="F650" s="22" t="s">
        <v>25</v>
      </c>
      <c r="G650" s="22" t="s">
        <v>44</v>
      </c>
      <c r="H650" s="22">
        <v>56</v>
      </c>
      <c r="I650" s="24">
        <v>37358</v>
      </c>
      <c r="J650" s="27">
        <v>858</v>
      </c>
      <c r="K650" s="25">
        <v>0</v>
      </c>
      <c r="L650" s="22" t="s">
        <v>45</v>
      </c>
      <c r="M650" s="23" t="s">
        <v>66</v>
      </c>
    </row>
    <row r="651" spans="1:13" x14ac:dyDescent="0.35">
      <c r="A651" s="22" t="s">
        <v>824</v>
      </c>
      <c r="B651" s="22" t="s">
        <v>1735</v>
      </c>
      <c r="C651" s="22" t="s">
        <v>27</v>
      </c>
      <c r="D651" s="22" t="s">
        <v>28</v>
      </c>
      <c r="E651" s="22" t="s">
        <v>14</v>
      </c>
      <c r="F651" s="22" t="s">
        <v>25</v>
      </c>
      <c r="G651" s="22" t="s">
        <v>21</v>
      </c>
      <c r="H651" s="22">
        <v>32</v>
      </c>
      <c r="I651" s="24">
        <v>43728</v>
      </c>
      <c r="J651" s="27">
        <v>689</v>
      </c>
      <c r="K651" s="25">
        <v>0</v>
      </c>
      <c r="L651" s="22" t="s">
        <v>30</v>
      </c>
      <c r="M651" s="23" t="s">
        <v>31</v>
      </c>
    </row>
    <row r="652" spans="1:13" x14ac:dyDescent="0.35">
      <c r="A652" s="22" t="s">
        <v>185</v>
      </c>
      <c r="B652" s="22" t="s">
        <v>1736</v>
      </c>
      <c r="C652" s="22" t="s">
        <v>57</v>
      </c>
      <c r="D652" s="22" t="s">
        <v>39</v>
      </c>
      <c r="E652" s="22" t="s">
        <v>33</v>
      </c>
      <c r="F652" s="22" t="s">
        <v>25</v>
      </c>
      <c r="G652" s="22" t="s">
        <v>21</v>
      </c>
      <c r="H652" s="22">
        <v>45</v>
      </c>
      <c r="I652" s="24">
        <v>38682</v>
      </c>
      <c r="J652" s="27">
        <v>892</v>
      </c>
      <c r="K652" s="25">
        <v>0</v>
      </c>
      <c r="L652" s="22" t="s">
        <v>30</v>
      </c>
      <c r="M652" s="23" t="s">
        <v>31</v>
      </c>
    </row>
    <row r="653" spans="1:13" x14ac:dyDescent="0.35">
      <c r="A653" s="22" t="s">
        <v>825</v>
      </c>
      <c r="B653" s="22" t="s">
        <v>1737</v>
      </c>
      <c r="C653" s="22" t="s">
        <v>1111</v>
      </c>
      <c r="D653" s="22" t="s">
        <v>39</v>
      </c>
      <c r="E653" s="22" t="s">
        <v>29</v>
      </c>
      <c r="F653" s="22" t="s">
        <v>25</v>
      </c>
      <c r="G653" s="22" t="s">
        <v>21</v>
      </c>
      <c r="H653" s="22">
        <v>43</v>
      </c>
      <c r="I653" s="24">
        <v>39282</v>
      </c>
      <c r="J653" s="27">
        <v>925</v>
      </c>
      <c r="K653" s="25">
        <v>0.13</v>
      </c>
      <c r="L653" s="22" t="s">
        <v>17</v>
      </c>
      <c r="M653" s="23" t="s">
        <v>22</v>
      </c>
    </row>
    <row r="654" spans="1:13" x14ac:dyDescent="0.35">
      <c r="A654" s="22" t="s">
        <v>826</v>
      </c>
      <c r="B654" s="22" t="s">
        <v>1738</v>
      </c>
      <c r="C654" s="22" t="s">
        <v>53</v>
      </c>
      <c r="D654" s="22" t="s">
        <v>24</v>
      </c>
      <c r="E654" s="22" t="s">
        <v>1102</v>
      </c>
      <c r="F654" s="22" t="s">
        <v>15</v>
      </c>
      <c r="G654" s="22" t="s">
        <v>21</v>
      </c>
      <c r="H654" s="22">
        <v>45</v>
      </c>
      <c r="I654" s="24">
        <v>37751</v>
      </c>
      <c r="J654" s="27">
        <v>609</v>
      </c>
      <c r="K654" s="25">
        <v>0.06</v>
      </c>
      <c r="L654" s="22" t="s">
        <v>17</v>
      </c>
      <c r="M654" s="23" t="s">
        <v>22</v>
      </c>
    </row>
    <row r="655" spans="1:13" x14ac:dyDescent="0.35">
      <c r="A655" s="22" t="s">
        <v>827</v>
      </c>
      <c r="B655" s="22" t="s">
        <v>1739</v>
      </c>
      <c r="C655" s="22" t="s">
        <v>57</v>
      </c>
      <c r="D655" s="22" t="s">
        <v>56</v>
      </c>
      <c r="E655" s="22" t="s">
        <v>1102</v>
      </c>
      <c r="F655" s="22" t="s">
        <v>25</v>
      </c>
      <c r="G655" s="22" t="s">
        <v>21</v>
      </c>
      <c r="H655" s="22">
        <v>38</v>
      </c>
      <c r="I655" s="24">
        <v>41454</v>
      </c>
      <c r="J655" s="27">
        <v>672</v>
      </c>
      <c r="K655" s="25">
        <v>0</v>
      </c>
      <c r="L655" s="22" t="s">
        <v>17</v>
      </c>
      <c r="M655" s="23" t="s">
        <v>26</v>
      </c>
    </row>
    <row r="656" spans="1:13" x14ac:dyDescent="0.35">
      <c r="A656" s="22" t="s">
        <v>828</v>
      </c>
      <c r="B656" s="22" t="s">
        <v>1740</v>
      </c>
      <c r="C656" s="22" t="s">
        <v>55</v>
      </c>
      <c r="D656" s="22" t="s">
        <v>43</v>
      </c>
      <c r="E656" s="22" t="s">
        <v>14</v>
      </c>
      <c r="F656" s="22" t="s">
        <v>15</v>
      </c>
      <c r="G656" s="22" t="s">
        <v>16</v>
      </c>
      <c r="H656" s="22">
        <v>46</v>
      </c>
      <c r="I656" s="24">
        <v>41860</v>
      </c>
      <c r="J656" s="27">
        <v>955</v>
      </c>
      <c r="K656" s="25">
        <v>0</v>
      </c>
      <c r="L656" s="22" t="s">
        <v>17</v>
      </c>
      <c r="M656" s="23" t="s">
        <v>54</v>
      </c>
    </row>
    <row r="657" spans="1:13" x14ac:dyDescent="0.35">
      <c r="A657" s="22" t="s">
        <v>829</v>
      </c>
      <c r="B657" s="22" t="s">
        <v>1741</v>
      </c>
      <c r="C657" s="22" t="s">
        <v>73</v>
      </c>
      <c r="D657" s="22" t="s">
        <v>24</v>
      </c>
      <c r="E657" s="22" t="s">
        <v>14</v>
      </c>
      <c r="F657" s="22" t="s">
        <v>25</v>
      </c>
      <c r="G657" s="22" t="s">
        <v>21</v>
      </c>
      <c r="H657" s="22">
        <v>26</v>
      </c>
      <c r="I657" s="24">
        <v>44558</v>
      </c>
      <c r="J657" s="27">
        <v>904</v>
      </c>
      <c r="K657" s="25">
        <v>0</v>
      </c>
      <c r="L657" s="22" t="s">
        <v>17</v>
      </c>
      <c r="M657" s="23" t="s">
        <v>26</v>
      </c>
    </row>
    <row r="658" spans="1:13" x14ac:dyDescent="0.35">
      <c r="A658" s="22" t="s">
        <v>830</v>
      </c>
      <c r="B658" s="22" t="s">
        <v>1742</v>
      </c>
      <c r="C658" s="22" t="s">
        <v>27</v>
      </c>
      <c r="D658" s="22" t="s">
        <v>28</v>
      </c>
      <c r="E658" s="22" t="s">
        <v>29</v>
      </c>
      <c r="F658" s="22" t="s">
        <v>15</v>
      </c>
      <c r="G658" s="22" t="s">
        <v>44</v>
      </c>
      <c r="H658" s="22">
        <v>27</v>
      </c>
      <c r="I658" s="24">
        <v>44059</v>
      </c>
      <c r="J658" s="27">
        <v>522</v>
      </c>
      <c r="K658" s="25">
        <v>0</v>
      </c>
      <c r="L658" s="22" t="s">
        <v>45</v>
      </c>
      <c r="M658" s="23" t="s">
        <v>46</v>
      </c>
    </row>
    <row r="659" spans="1:13" x14ac:dyDescent="0.35">
      <c r="A659" s="22" t="s">
        <v>831</v>
      </c>
      <c r="B659" s="22" t="s">
        <v>1743</v>
      </c>
      <c r="C659" s="22" t="s">
        <v>77</v>
      </c>
      <c r="D659" s="22" t="s">
        <v>24</v>
      </c>
      <c r="E659" s="22" t="s">
        <v>33</v>
      </c>
      <c r="F659" s="22" t="s">
        <v>15</v>
      </c>
      <c r="G659" s="22" t="s">
        <v>21</v>
      </c>
      <c r="H659" s="22">
        <v>48</v>
      </c>
      <c r="I659" s="24">
        <v>44501</v>
      </c>
      <c r="J659" s="27">
        <v>679</v>
      </c>
      <c r="K659" s="25">
        <v>0</v>
      </c>
      <c r="L659" s="22" t="s">
        <v>30</v>
      </c>
      <c r="M659" s="23" t="s">
        <v>31</v>
      </c>
    </row>
    <row r="660" spans="1:13" x14ac:dyDescent="0.35">
      <c r="A660" s="22" t="s">
        <v>832</v>
      </c>
      <c r="B660" s="22" t="s">
        <v>1744</v>
      </c>
      <c r="C660" s="22" t="s">
        <v>53</v>
      </c>
      <c r="D660" s="22" t="s">
        <v>20</v>
      </c>
      <c r="E660" s="22" t="s">
        <v>29</v>
      </c>
      <c r="F660" s="22" t="s">
        <v>15</v>
      </c>
      <c r="G660" s="22" t="s">
        <v>16</v>
      </c>
      <c r="H660" s="22">
        <v>57</v>
      </c>
      <c r="I660" s="24">
        <v>41411</v>
      </c>
      <c r="J660" s="27">
        <v>832</v>
      </c>
      <c r="K660" s="25">
        <v>0.06</v>
      </c>
      <c r="L660" s="22" t="s">
        <v>17</v>
      </c>
      <c r="M660" s="23" t="s">
        <v>35</v>
      </c>
    </row>
    <row r="661" spans="1:13" x14ac:dyDescent="0.35">
      <c r="A661" s="22" t="s">
        <v>279</v>
      </c>
      <c r="B661" s="22" t="s">
        <v>1745</v>
      </c>
      <c r="C661" s="22" t="s">
        <v>76</v>
      </c>
      <c r="D661" s="22" t="s">
        <v>28</v>
      </c>
      <c r="E661" s="22" t="s">
        <v>1102</v>
      </c>
      <c r="F661" s="22" t="s">
        <v>25</v>
      </c>
      <c r="G661" s="22" t="s">
        <v>16</v>
      </c>
      <c r="H661" s="22">
        <v>58</v>
      </c>
      <c r="I661" s="24">
        <v>37627</v>
      </c>
      <c r="J661" s="27">
        <v>701</v>
      </c>
      <c r="K661" s="25">
        <v>0.13</v>
      </c>
      <c r="L661" s="22" t="s">
        <v>17</v>
      </c>
      <c r="M661" s="23" t="s">
        <v>18</v>
      </c>
    </row>
    <row r="662" spans="1:13" x14ac:dyDescent="0.35">
      <c r="A662" s="22" t="s">
        <v>833</v>
      </c>
      <c r="B662" s="22" t="s">
        <v>1746</v>
      </c>
      <c r="C662" s="22" t="s">
        <v>53</v>
      </c>
      <c r="D662" s="22" t="s">
        <v>13</v>
      </c>
      <c r="E662" s="22" t="s">
        <v>29</v>
      </c>
      <c r="F662" s="22" t="s">
        <v>25</v>
      </c>
      <c r="G662" s="22" t="s">
        <v>16</v>
      </c>
      <c r="H662" s="22">
        <v>48</v>
      </c>
      <c r="I662" s="24">
        <v>40314</v>
      </c>
      <c r="J662" s="27">
        <v>845</v>
      </c>
      <c r="K662" s="25">
        <v>0.05</v>
      </c>
      <c r="L662" s="22" t="s">
        <v>17</v>
      </c>
      <c r="M662" s="23" t="s">
        <v>26</v>
      </c>
    </row>
    <row r="663" spans="1:13" x14ac:dyDescent="0.35">
      <c r="A663" s="22" t="s">
        <v>834</v>
      </c>
      <c r="B663" s="22" t="s">
        <v>1747</v>
      </c>
      <c r="C663" s="22" t="s">
        <v>1111</v>
      </c>
      <c r="D663" s="22" t="s">
        <v>20</v>
      </c>
      <c r="E663" s="22" t="s">
        <v>14</v>
      </c>
      <c r="F663" s="22" t="s">
        <v>25</v>
      </c>
      <c r="G663" s="22" t="s">
        <v>21</v>
      </c>
      <c r="H663" s="22">
        <v>54</v>
      </c>
      <c r="I663" s="24">
        <v>34779</v>
      </c>
      <c r="J663" s="27">
        <v>555</v>
      </c>
      <c r="K663" s="25">
        <v>0.12</v>
      </c>
      <c r="L663" s="22" t="s">
        <v>30</v>
      </c>
      <c r="M663" s="23" t="s">
        <v>65</v>
      </c>
    </row>
    <row r="664" spans="1:13" x14ac:dyDescent="0.35">
      <c r="A664" s="22" t="s">
        <v>835</v>
      </c>
      <c r="B664" s="22" t="s">
        <v>1748</v>
      </c>
      <c r="C664" s="22" t="s">
        <v>23</v>
      </c>
      <c r="D664" s="22" t="s">
        <v>24</v>
      </c>
      <c r="E664" s="22" t="s">
        <v>14</v>
      </c>
      <c r="F664" s="22" t="s">
        <v>25</v>
      </c>
      <c r="G664" s="22" t="s">
        <v>21</v>
      </c>
      <c r="H664" s="22">
        <v>29</v>
      </c>
      <c r="I664" s="24">
        <v>44046</v>
      </c>
      <c r="J664" s="27">
        <v>556</v>
      </c>
      <c r="K664" s="25">
        <v>0</v>
      </c>
      <c r="L664" s="22" t="s">
        <v>17</v>
      </c>
      <c r="M664" s="23" t="s">
        <v>54</v>
      </c>
    </row>
    <row r="665" spans="1:13" x14ac:dyDescent="0.35">
      <c r="A665" s="22" t="s">
        <v>225</v>
      </c>
      <c r="B665" s="22" t="s">
        <v>1749</v>
      </c>
      <c r="C665" s="22" t="s">
        <v>36</v>
      </c>
      <c r="D665" s="22" t="s">
        <v>56</v>
      </c>
      <c r="E665" s="22" t="s">
        <v>1102</v>
      </c>
      <c r="F665" s="22" t="s">
        <v>15</v>
      </c>
      <c r="G665" s="22" t="s">
        <v>21</v>
      </c>
      <c r="H665" s="22">
        <v>50</v>
      </c>
      <c r="I665" s="24">
        <v>35664</v>
      </c>
      <c r="J665" s="27">
        <v>871</v>
      </c>
      <c r="K665" s="25">
        <v>0.15</v>
      </c>
      <c r="L665" s="22" t="s">
        <v>17</v>
      </c>
      <c r="M665" s="23" t="s">
        <v>22</v>
      </c>
    </row>
    <row r="666" spans="1:13" x14ac:dyDescent="0.35">
      <c r="A666" s="22" t="s">
        <v>836</v>
      </c>
      <c r="B666" s="22" t="s">
        <v>1750</v>
      </c>
      <c r="C666" s="22" t="s">
        <v>55</v>
      </c>
      <c r="D666" s="22" t="s">
        <v>56</v>
      </c>
      <c r="E666" s="22" t="s">
        <v>14</v>
      </c>
      <c r="F666" s="22" t="s">
        <v>15</v>
      </c>
      <c r="G666" s="22" t="s">
        <v>16</v>
      </c>
      <c r="H666" s="22">
        <v>49</v>
      </c>
      <c r="I666" s="24">
        <v>38144</v>
      </c>
      <c r="J666" s="27">
        <v>871</v>
      </c>
      <c r="K666" s="25">
        <v>0</v>
      </c>
      <c r="L666" s="22" t="s">
        <v>17</v>
      </c>
      <c r="M666" s="23" t="s">
        <v>40</v>
      </c>
    </row>
    <row r="667" spans="1:13" x14ac:dyDescent="0.35">
      <c r="A667" s="22" t="s">
        <v>837</v>
      </c>
      <c r="B667" s="22" t="s">
        <v>1751</v>
      </c>
      <c r="C667" s="22" t="s">
        <v>71</v>
      </c>
      <c r="D667" s="22" t="s">
        <v>24</v>
      </c>
      <c r="E667" s="22" t="s">
        <v>14</v>
      </c>
      <c r="F667" s="22" t="s">
        <v>25</v>
      </c>
      <c r="G667" s="22" t="s">
        <v>16</v>
      </c>
      <c r="H667" s="22">
        <v>64</v>
      </c>
      <c r="I667" s="24">
        <v>43238</v>
      </c>
      <c r="J667" s="27">
        <v>575</v>
      </c>
      <c r="K667" s="25">
        <v>0</v>
      </c>
      <c r="L667" s="22" t="s">
        <v>17</v>
      </c>
      <c r="M667" s="23" t="s">
        <v>54</v>
      </c>
    </row>
    <row r="668" spans="1:13" x14ac:dyDescent="0.35">
      <c r="A668" s="22" t="s">
        <v>838</v>
      </c>
      <c r="B668" s="22" t="s">
        <v>1752</v>
      </c>
      <c r="C668" s="22" t="s">
        <v>36</v>
      </c>
      <c r="D668" s="22" t="s">
        <v>39</v>
      </c>
      <c r="E668" s="22" t="s">
        <v>14</v>
      </c>
      <c r="F668" s="22" t="s">
        <v>25</v>
      </c>
      <c r="G668" s="22" t="s">
        <v>44</v>
      </c>
      <c r="H668" s="22">
        <v>36</v>
      </c>
      <c r="I668" s="24">
        <v>42264</v>
      </c>
      <c r="J668" s="27">
        <v>755</v>
      </c>
      <c r="K668" s="25">
        <v>0.17</v>
      </c>
      <c r="L668" s="22" t="s">
        <v>45</v>
      </c>
      <c r="M668" s="23" t="s">
        <v>66</v>
      </c>
    </row>
    <row r="669" spans="1:13" x14ac:dyDescent="0.35">
      <c r="A669" s="22" t="s">
        <v>839</v>
      </c>
      <c r="B669" s="22" t="s">
        <v>1753</v>
      </c>
      <c r="C669" s="22" t="s">
        <v>69</v>
      </c>
      <c r="D669" s="22" t="s">
        <v>28</v>
      </c>
      <c r="E669" s="22" t="s">
        <v>29</v>
      </c>
      <c r="F669" s="22" t="s">
        <v>15</v>
      </c>
      <c r="G669" s="22" t="s">
        <v>21</v>
      </c>
      <c r="H669" s="22">
        <v>55</v>
      </c>
      <c r="I669" s="24">
        <v>36248</v>
      </c>
      <c r="J669" s="27">
        <v>787</v>
      </c>
      <c r="K669" s="25">
        <v>0</v>
      </c>
      <c r="L669" s="22" t="s">
        <v>30</v>
      </c>
      <c r="M669" s="23" t="s">
        <v>65</v>
      </c>
    </row>
    <row r="670" spans="1:13" x14ac:dyDescent="0.35">
      <c r="A670" s="22" t="s">
        <v>840</v>
      </c>
      <c r="B670" s="22" t="s">
        <v>1754</v>
      </c>
      <c r="C670" s="22" t="s">
        <v>36</v>
      </c>
      <c r="D670" s="22" t="s">
        <v>28</v>
      </c>
      <c r="E670" s="22" t="s">
        <v>29</v>
      </c>
      <c r="F670" s="22" t="s">
        <v>25</v>
      </c>
      <c r="G670" s="22" t="s">
        <v>21</v>
      </c>
      <c r="H670" s="22">
        <v>53</v>
      </c>
      <c r="I670" s="24">
        <v>42174</v>
      </c>
      <c r="J670" s="27">
        <v>673</v>
      </c>
      <c r="K670" s="25">
        <v>0.27</v>
      </c>
      <c r="L670" s="22" t="s">
        <v>30</v>
      </c>
      <c r="M670" s="23" t="s">
        <v>52</v>
      </c>
    </row>
    <row r="671" spans="1:13" x14ac:dyDescent="0.35">
      <c r="A671" s="22" t="s">
        <v>841</v>
      </c>
      <c r="B671" s="22" t="s">
        <v>1755</v>
      </c>
      <c r="C671" s="22" t="s">
        <v>36</v>
      </c>
      <c r="D671" s="22" t="s">
        <v>13</v>
      </c>
      <c r="E671" s="22" t="s">
        <v>29</v>
      </c>
      <c r="F671" s="22" t="s">
        <v>15</v>
      </c>
      <c r="G671" s="22" t="s">
        <v>44</v>
      </c>
      <c r="H671" s="22">
        <v>54</v>
      </c>
      <c r="I671" s="24">
        <v>34799</v>
      </c>
      <c r="J671" s="27">
        <v>714</v>
      </c>
      <c r="K671" s="25">
        <v>0.15</v>
      </c>
      <c r="L671" s="22" t="s">
        <v>17</v>
      </c>
      <c r="M671" s="23" t="s">
        <v>26</v>
      </c>
    </row>
    <row r="672" spans="1:13" x14ac:dyDescent="0.35">
      <c r="A672" s="22" t="s">
        <v>842</v>
      </c>
      <c r="B672" s="22" t="s">
        <v>1756</v>
      </c>
      <c r="C672" s="22" t="s">
        <v>62</v>
      </c>
      <c r="D672" s="22" t="s">
        <v>24</v>
      </c>
      <c r="E672" s="22" t="s">
        <v>33</v>
      </c>
      <c r="F672" s="22" t="s">
        <v>25</v>
      </c>
      <c r="G672" s="22" t="s">
        <v>16</v>
      </c>
      <c r="H672" s="22">
        <v>41</v>
      </c>
      <c r="I672" s="24">
        <v>41260</v>
      </c>
      <c r="J672" s="27">
        <v>666</v>
      </c>
      <c r="K672" s="25">
        <v>0</v>
      </c>
      <c r="L672" s="22" t="s">
        <v>17</v>
      </c>
      <c r="M672" s="23" t="s">
        <v>40</v>
      </c>
    </row>
    <row r="673" spans="1:13" x14ac:dyDescent="0.35">
      <c r="A673" s="22" t="s">
        <v>843</v>
      </c>
      <c r="B673" s="22" t="s">
        <v>1757</v>
      </c>
      <c r="C673" s="22" t="s">
        <v>12</v>
      </c>
      <c r="D673" s="22" t="s">
        <v>56</v>
      </c>
      <c r="E673" s="22" t="s">
        <v>29</v>
      </c>
      <c r="F673" s="22" t="s">
        <v>25</v>
      </c>
      <c r="G673" s="22" t="s">
        <v>44</v>
      </c>
      <c r="H673" s="22">
        <v>27</v>
      </c>
      <c r="I673" s="24">
        <v>44064</v>
      </c>
      <c r="J673" s="27">
        <v>545</v>
      </c>
      <c r="K673" s="25">
        <v>0.38</v>
      </c>
      <c r="L673" s="22" t="s">
        <v>45</v>
      </c>
      <c r="M673" s="23" t="s">
        <v>66</v>
      </c>
    </row>
    <row r="674" spans="1:13" x14ac:dyDescent="0.35">
      <c r="A674" s="22" t="s">
        <v>844</v>
      </c>
      <c r="B674" s="22" t="s">
        <v>1758</v>
      </c>
      <c r="C674" s="22" t="s">
        <v>12</v>
      </c>
      <c r="D674" s="22" t="s">
        <v>20</v>
      </c>
      <c r="E674" s="22" t="s">
        <v>1102</v>
      </c>
      <c r="F674" s="22" t="s">
        <v>15</v>
      </c>
      <c r="G674" s="22" t="s">
        <v>21</v>
      </c>
      <c r="H674" s="22">
        <v>51</v>
      </c>
      <c r="I674" s="24">
        <v>36733</v>
      </c>
      <c r="J674" s="27">
        <v>937</v>
      </c>
      <c r="K674" s="25">
        <v>0.35</v>
      </c>
      <c r="L674" s="22" t="s">
        <v>17</v>
      </c>
      <c r="M674" s="23" t="s">
        <v>22</v>
      </c>
    </row>
    <row r="675" spans="1:13" x14ac:dyDescent="0.35">
      <c r="A675" s="22" t="s">
        <v>845</v>
      </c>
      <c r="B675" s="22" t="s">
        <v>1759</v>
      </c>
      <c r="C675" s="22" t="s">
        <v>12</v>
      </c>
      <c r="D675" s="22" t="s">
        <v>56</v>
      </c>
      <c r="E675" s="22" t="s">
        <v>29</v>
      </c>
      <c r="F675" s="22" t="s">
        <v>25</v>
      </c>
      <c r="G675" s="22" t="s">
        <v>21</v>
      </c>
      <c r="H675" s="22">
        <v>45</v>
      </c>
      <c r="I675" s="24">
        <v>41646</v>
      </c>
      <c r="J675" s="27">
        <v>837</v>
      </c>
      <c r="K675" s="25">
        <v>0.34</v>
      </c>
      <c r="L675" s="22" t="s">
        <v>30</v>
      </c>
      <c r="M675" s="23" t="s">
        <v>61</v>
      </c>
    </row>
    <row r="676" spans="1:13" x14ac:dyDescent="0.35">
      <c r="A676" s="22" t="s">
        <v>846</v>
      </c>
      <c r="B676" s="22" t="s">
        <v>1760</v>
      </c>
      <c r="C676" s="22" t="s">
        <v>42</v>
      </c>
      <c r="D676" s="22" t="s">
        <v>43</v>
      </c>
      <c r="E676" s="22" t="s">
        <v>29</v>
      </c>
      <c r="F676" s="22" t="s">
        <v>25</v>
      </c>
      <c r="G676" s="22" t="s">
        <v>44</v>
      </c>
      <c r="H676" s="22">
        <v>34</v>
      </c>
      <c r="I676" s="24">
        <v>44607</v>
      </c>
      <c r="J676" s="27">
        <v>752</v>
      </c>
      <c r="K676" s="25">
        <v>0</v>
      </c>
      <c r="L676" s="22" t="s">
        <v>45</v>
      </c>
      <c r="M676" s="23" t="s">
        <v>46</v>
      </c>
    </row>
    <row r="677" spans="1:13" x14ac:dyDescent="0.35">
      <c r="A677" s="22" t="s">
        <v>847</v>
      </c>
      <c r="B677" s="22" t="s">
        <v>1761</v>
      </c>
      <c r="C677" s="22" t="s">
        <v>55</v>
      </c>
      <c r="D677" s="22" t="s">
        <v>13</v>
      </c>
      <c r="E677" s="22" t="s">
        <v>14</v>
      </c>
      <c r="F677" s="22" t="s">
        <v>15</v>
      </c>
      <c r="G677" s="22" t="s">
        <v>21</v>
      </c>
      <c r="H677" s="22">
        <v>33</v>
      </c>
      <c r="I677" s="24">
        <v>44157</v>
      </c>
      <c r="J677" s="27">
        <v>754</v>
      </c>
      <c r="K677" s="25">
        <v>0</v>
      </c>
      <c r="L677" s="22" t="s">
        <v>30</v>
      </c>
      <c r="M677" s="23" t="s">
        <v>65</v>
      </c>
    </row>
    <row r="678" spans="1:13" x14ac:dyDescent="0.35">
      <c r="A678" s="22" t="s">
        <v>204</v>
      </c>
      <c r="B678" s="22" t="s">
        <v>1762</v>
      </c>
      <c r="C678" s="22" t="s">
        <v>55</v>
      </c>
      <c r="D678" s="22" t="s">
        <v>56</v>
      </c>
      <c r="E678" s="22" t="s">
        <v>14</v>
      </c>
      <c r="F678" s="22" t="s">
        <v>15</v>
      </c>
      <c r="G678" s="22" t="s">
        <v>16</v>
      </c>
      <c r="H678" s="22">
        <v>37</v>
      </c>
      <c r="I678" s="24">
        <v>43412</v>
      </c>
      <c r="J678" s="27">
        <v>690</v>
      </c>
      <c r="K678" s="25">
        <v>0</v>
      </c>
      <c r="L678" s="22" t="s">
        <v>17</v>
      </c>
      <c r="M678" s="23" t="s">
        <v>22</v>
      </c>
    </row>
    <row r="679" spans="1:13" x14ac:dyDescent="0.35">
      <c r="A679" s="22" t="s">
        <v>848</v>
      </c>
      <c r="B679" s="22" t="s">
        <v>1763</v>
      </c>
      <c r="C679" s="22" t="s">
        <v>27</v>
      </c>
      <c r="D679" s="22" t="s">
        <v>28</v>
      </c>
      <c r="E679" s="22" t="s">
        <v>1102</v>
      </c>
      <c r="F679" s="22" t="s">
        <v>15</v>
      </c>
      <c r="G679" s="22" t="s">
        <v>21</v>
      </c>
      <c r="H679" s="22">
        <v>56</v>
      </c>
      <c r="I679" s="24">
        <v>41024</v>
      </c>
      <c r="J679" s="27">
        <v>675</v>
      </c>
      <c r="K679" s="25">
        <v>0</v>
      </c>
      <c r="L679" s="22" t="s">
        <v>17</v>
      </c>
      <c r="M679" s="23" t="s">
        <v>54</v>
      </c>
    </row>
    <row r="680" spans="1:13" x14ac:dyDescent="0.35">
      <c r="A680" s="22" t="s">
        <v>849</v>
      </c>
      <c r="B680" s="22" t="s">
        <v>1764</v>
      </c>
      <c r="C680" s="22" t="s">
        <v>42</v>
      </c>
      <c r="D680" s="22" t="s">
        <v>43</v>
      </c>
      <c r="E680" s="22" t="s">
        <v>14</v>
      </c>
      <c r="F680" s="22" t="s">
        <v>25</v>
      </c>
      <c r="G680" s="22" t="s">
        <v>16</v>
      </c>
      <c r="H680" s="22">
        <v>46</v>
      </c>
      <c r="I680" s="24">
        <v>37676</v>
      </c>
      <c r="J680" s="27">
        <v>752</v>
      </c>
      <c r="K680" s="25">
        <v>0</v>
      </c>
      <c r="L680" s="22" t="s">
        <v>17</v>
      </c>
      <c r="M680" s="23" t="s">
        <v>35</v>
      </c>
    </row>
    <row r="681" spans="1:13" x14ac:dyDescent="0.35">
      <c r="A681" s="22" t="s">
        <v>122</v>
      </c>
      <c r="B681" s="22" t="s">
        <v>1765</v>
      </c>
      <c r="C681" s="22" t="s">
        <v>68</v>
      </c>
      <c r="D681" s="22" t="s">
        <v>20</v>
      </c>
      <c r="E681" s="22" t="s">
        <v>1102</v>
      </c>
      <c r="F681" s="22" t="s">
        <v>25</v>
      </c>
      <c r="G681" s="22" t="s">
        <v>16</v>
      </c>
      <c r="H681" s="22">
        <v>45</v>
      </c>
      <c r="I681" s="24">
        <v>36969</v>
      </c>
      <c r="J681" s="27">
        <v>955</v>
      </c>
      <c r="K681" s="25">
        <v>0</v>
      </c>
      <c r="L681" s="22" t="s">
        <v>17</v>
      </c>
      <c r="M681" s="23" t="s">
        <v>40</v>
      </c>
    </row>
    <row r="682" spans="1:13" x14ac:dyDescent="0.35">
      <c r="A682" s="22" t="s">
        <v>850</v>
      </c>
      <c r="B682" s="22" t="s">
        <v>1766</v>
      </c>
      <c r="C682" s="22" t="s">
        <v>23</v>
      </c>
      <c r="D682" s="22" t="s">
        <v>24</v>
      </c>
      <c r="E682" s="22" t="s">
        <v>33</v>
      </c>
      <c r="F682" s="22" t="s">
        <v>25</v>
      </c>
      <c r="G682" s="22" t="s">
        <v>44</v>
      </c>
      <c r="H682" s="22">
        <v>32</v>
      </c>
      <c r="I682" s="24">
        <v>44330</v>
      </c>
      <c r="J682" s="27">
        <v>915</v>
      </c>
      <c r="K682" s="25">
        <v>0</v>
      </c>
      <c r="L682" s="22" t="s">
        <v>17</v>
      </c>
      <c r="M682" s="23" t="s">
        <v>26</v>
      </c>
    </row>
    <row r="683" spans="1:13" x14ac:dyDescent="0.35">
      <c r="A683" s="22" t="s">
        <v>851</v>
      </c>
      <c r="B683" s="22" t="s">
        <v>1767</v>
      </c>
      <c r="C683" s="22" t="s">
        <v>1111</v>
      </c>
      <c r="D683" s="22" t="s">
        <v>56</v>
      </c>
      <c r="E683" s="22" t="s">
        <v>29</v>
      </c>
      <c r="F683" s="22" t="s">
        <v>15</v>
      </c>
      <c r="G683" s="22" t="s">
        <v>41</v>
      </c>
      <c r="H683" s="22">
        <v>51</v>
      </c>
      <c r="I683" s="24">
        <v>36214</v>
      </c>
      <c r="J683" s="27">
        <v>705</v>
      </c>
      <c r="K683" s="25">
        <v>0.13</v>
      </c>
      <c r="L683" s="22" t="s">
        <v>17</v>
      </c>
      <c r="M683" s="23" t="s">
        <v>26</v>
      </c>
    </row>
    <row r="684" spans="1:13" x14ac:dyDescent="0.35">
      <c r="A684" s="22" t="s">
        <v>273</v>
      </c>
      <c r="B684" s="22" t="s">
        <v>1768</v>
      </c>
      <c r="C684" s="22" t="s">
        <v>67</v>
      </c>
      <c r="D684" s="22" t="s">
        <v>24</v>
      </c>
      <c r="E684" s="22" t="s">
        <v>14</v>
      </c>
      <c r="F684" s="22" t="s">
        <v>25</v>
      </c>
      <c r="G684" s="22" t="s">
        <v>16</v>
      </c>
      <c r="H684" s="22">
        <v>29</v>
      </c>
      <c r="I684" s="24">
        <v>43199</v>
      </c>
      <c r="J684" s="27">
        <v>1000</v>
      </c>
      <c r="K684" s="25">
        <v>0</v>
      </c>
      <c r="L684" s="22" t="s">
        <v>17</v>
      </c>
      <c r="M684" s="23" t="s">
        <v>40</v>
      </c>
    </row>
    <row r="685" spans="1:13" x14ac:dyDescent="0.35">
      <c r="A685" s="22" t="s">
        <v>852</v>
      </c>
      <c r="B685" s="22" t="s">
        <v>1769</v>
      </c>
      <c r="C685" s="22" t="s">
        <v>67</v>
      </c>
      <c r="D685" s="22" t="s">
        <v>24</v>
      </c>
      <c r="E685" s="22" t="s">
        <v>33</v>
      </c>
      <c r="F685" s="22" t="s">
        <v>25</v>
      </c>
      <c r="G685" s="22" t="s">
        <v>16</v>
      </c>
      <c r="H685" s="22">
        <v>38</v>
      </c>
      <c r="I685" s="24">
        <v>42358</v>
      </c>
      <c r="J685" s="27">
        <v>947</v>
      </c>
      <c r="K685" s="25">
        <v>0</v>
      </c>
      <c r="L685" s="22" t="s">
        <v>17</v>
      </c>
      <c r="M685" s="23" t="s">
        <v>40</v>
      </c>
    </row>
    <row r="686" spans="1:13" x14ac:dyDescent="0.35">
      <c r="A686" s="22" t="s">
        <v>853</v>
      </c>
      <c r="B686" s="22" t="s">
        <v>1770</v>
      </c>
      <c r="C686" s="22" t="s">
        <v>57</v>
      </c>
      <c r="D686" s="22" t="s">
        <v>56</v>
      </c>
      <c r="E686" s="22" t="s">
        <v>29</v>
      </c>
      <c r="F686" s="22" t="s">
        <v>15</v>
      </c>
      <c r="G686" s="22" t="s">
        <v>16</v>
      </c>
      <c r="H686" s="22">
        <v>58</v>
      </c>
      <c r="I686" s="24">
        <v>37216</v>
      </c>
      <c r="J686" s="27">
        <v>991</v>
      </c>
      <c r="K686" s="25">
        <v>0</v>
      </c>
      <c r="L686" s="22" t="s">
        <v>17</v>
      </c>
      <c r="M686" s="23" t="s">
        <v>40</v>
      </c>
    </row>
    <row r="687" spans="1:13" x14ac:dyDescent="0.35">
      <c r="A687" s="22" t="s">
        <v>216</v>
      </c>
      <c r="B687" s="22" t="s">
        <v>1771</v>
      </c>
      <c r="C687" s="22" t="s">
        <v>70</v>
      </c>
      <c r="D687" s="22" t="s">
        <v>28</v>
      </c>
      <c r="E687" s="22" t="s">
        <v>29</v>
      </c>
      <c r="F687" s="22" t="s">
        <v>15</v>
      </c>
      <c r="G687" s="22" t="s">
        <v>21</v>
      </c>
      <c r="H687" s="22">
        <v>45</v>
      </c>
      <c r="I687" s="24">
        <v>40795</v>
      </c>
      <c r="J687" s="27">
        <v>759</v>
      </c>
      <c r="K687" s="25">
        <v>0</v>
      </c>
      <c r="L687" s="22" t="s">
        <v>17</v>
      </c>
      <c r="M687" s="23" t="s">
        <v>22</v>
      </c>
    </row>
    <row r="688" spans="1:13" x14ac:dyDescent="0.35">
      <c r="A688" s="22" t="s">
        <v>854</v>
      </c>
      <c r="B688" s="22" t="s">
        <v>1772</v>
      </c>
      <c r="C688" s="22" t="s">
        <v>38</v>
      </c>
      <c r="D688" s="22" t="s">
        <v>43</v>
      </c>
      <c r="E688" s="22" t="s">
        <v>1102</v>
      </c>
      <c r="F688" s="22" t="s">
        <v>25</v>
      </c>
      <c r="G688" s="22" t="s">
        <v>21</v>
      </c>
      <c r="H688" s="22">
        <v>49</v>
      </c>
      <c r="I688" s="24">
        <v>42260</v>
      </c>
      <c r="J688" s="27">
        <v>620</v>
      </c>
      <c r="K688" s="25">
        <v>0</v>
      </c>
      <c r="L688" s="22" t="s">
        <v>17</v>
      </c>
      <c r="M688" s="23" t="s">
        <v>54</v>
      </c>
    </row>
    <row r="689" spans="1:13" x14ac:dyDescent="0.35">
      <c r="A689" s="22" t="s">
        <v>855</v>
      </c>
      <c r="B689" s="22" t="s">
        <v>1773</v>
      </c>
      <c r="C689" s="22" t="s">
        <v>36</v>
      </c>
      <c r="D689" s="22" t="s">
        <v>20</v>
      </c>
      <c r="E689" s="22" t="s">
        <v>29</v>
      </c>
      <c r="F689" s="22" t="s">
        <v>15</v>
      </c>
      <c r="G689" s="22" t="s">
        <v>21</v>
      </c>
      <c r="H689" s="22">
        <v>50</v>
      </c>
      <c r="I689" s="24">
        <v>40785</v>
      </c>
      <c r="J689" s="27">
        <v>808</v>
      </c>
      <c r="K689" s="25">
        <v>0.24</v>
      </c>
      <c r="L689" s="22" t="s">
        <v>17</v>
      </c>
      <c r="M689" s="23" t="s">
        <v>40</v>
      </c>
    </row>
    <row r="690" spans="1:13" x14ac:dyDescent="0.35">
      <c r="A690" s="22" t="s">
        <v>856</v>
      </c>
      <c r="B690" s="22" t="s">
        <v>1774</v>
      </c>
      <c r="C690" s="22" t="s">
        <v>59</v>
      </c>
      <c r="D690" s="22" t="s">
        <v>24</v>
      </c>
      <c r="E690" s="22" t="s">
        <v>33</v>
      </c>
      <c r="F690" s="22" t="s">
        <v>25</v>
      </c>
      <c r="G690" s="22" t="s">
        <v>16</v>
      </c>
      <c r="H690" s="22">
        <v>32</v>
      </c>
      <c r="I690" s="24">
        <v>44260</v>
      </c>
      <c r="J690" s="27">
        <v>695</v>
      </c>
      <c r="K690" s="25">
        <v>0</v>
      </c>
      <c r="L690" s="22" t="s">
        <v>17</v>
      </c>
      <c r="M690" s="23" t="s">
        <v>18</v>
      </c>
    </row>
    <row r="691" spans="1:13" x14ac:dyDescent="0.35">
      <c r="A691" s="22" t="s">
        <v>857</v>
      </c>
      <c r="B691" s="22" t="s">
        <v>1775</v>
      </c>
      <c r="C691" s="22" t="s">
        <v>51</v>
      </c>
      <c r="D691" s="22" t="s">
        <v>28</v>
      </c>
      <c r="E691" s="22" t="s">
        <v>33</v>
      </c>
      <c r="F691" s="22" t="s">
        <v>25</v>
      </c>
      <c r="G691" s="22" t="s">
        <v>21</v>
      </c>
      <c r="H691" s="22">
        <v>29</v>
      </c>
      <c r="I691" s="24">
        <v>42738</v>
      </c>
      <c r="J691" s="27">
        <v>785</v>
      </c>
      <c r="K691" s="25">
        <v>0</v>
      </c>
      <c r="L691" s="22" t="s">
        <v>17</v>
      </c>
      <c r="M691" s="23" t="s">
        <v>35</v>
      </c>
    </row>
    <row r="692" spans="1:13" x14ac:dyDescent="0.35">
      <c r="A692" s="22" t="s">
        <v>858</v>
      </c>
      <c r="B692" s="22" t="s">
        <v>235</v>
      </c>
      <c r="C692" s="22" t="s">
        <v>23</v>
      </c>
      <c r="D692" s="22" t="s">
        <v>24</v>
      </c>
      <c r="E692" s="22" t="s">
        <v>29</v>
      </c>
      <c r="F692" s="22" t="s">
        <v>25</v>
      </c>
      <c r="G692" s="22" t="s">
        <v>21</v>
      </c>
      <c r="H692" s="22">
        <v>34</v>
      </c>
      <c r="I692" s="24">
        <v>43414</v>
      </c>
      <c r="J692" s="27">
        <v>505</v>
      </c>
      <c r="K692" s="25">
        <v>0</v>
      </c>
      <c r="L692" s="22" t="s">
        <v>30</v>
      </c>
      <c r="M692" s="23" t="s">
        <v>31</v>
      </c>
    </row>
    <row r="693" spans="1:13" x14ac:dyDescent="0.35">
      <c r="A693" s="22" t="s">
        <v>186</v>
      </c>
      <c r="B693" s="22" t="s">
        <v>1776</v>
      </c>
      <c r="C693" s="22" t="s">
        <v>1111</v>
      </c>
      <c r="D693" s="22" t="s">
        <v>20</v>
      </c>
      <c r="E693" s="22" t="s">
        <v>33</v>
      </c>
      <c r="F693" s="22" t="s">
        <v>25</v>
      </c>
      <c r="G693" s="22" t="s">
        <v>21</v>
      </c>
      <c r="H693" s="22">
        <v>50</v>
      </c>
      <c r="I693" s="24">
        <v>43611</v>
      </c>
      <c r="J693" s="27">
        <v>523</v>
      </c>
      <c r="K693" s="25">
        <v>0.15</v>
      </c>
      <c r="L693" s="22" t="s">
        <v>30</v>
      </c>
      <c r="M693" s="23" t="s">
        <v>52</v>
      </c>
    </row>
    <row r="694" spans="1:13" x14ac:dyDescent="0.35">
      <c r="A694" s="22" t="s">
        <v>859</v>
      </c>
      <c r="B694" s="22" t="s">
        <v>1777</v>
      </c>
      <c r="C694" s="22" t="s">
        <v>62</v>
      </c>
      <c r="D694" s="22" t="s">
        <v>24</v>
      </c>
      <c r="E694" s="22" t="s">
        <v>33</v>
      </c>
      <c r="F694" s="22" t="s">
        <v>15</v>
      </c>
      <c r="G694" s="22" t="s">
        <v>21</v>
      </c>
      <c r="H694" s="22">
        <v>27</v>
      </c>
      <c r="I694" s="24">
        <v>44265</v>
      </c>
      <c r="J694" s="27">
        <v>697</v>
      </c>
      <c r="K694" s="25">
        <v>0</v>
      </c>
      <c r="L694" s="22" t="s">
        <v>17</v>
      </c>
      <c r="M694" s="23" t="s">
        <v>18</v>
      </c>
    </row>
    <row r="695" spans="1:13" x14ac:dyDescent="0.35">
      <c r="A695" s="22" t="s">
        <v>860</v>
      </c>
      <c r="B695" s="22" t="s">
        <v>1778</v>
      </c>
      <c r="C695" s="22" t="s">
        <v>27</v>
      </c>
      <c r="D695" s="22" t="s">
        <v>28</v>
      </c>
      <c r="E695" s="22" t="s">
        <v>1102</v>
      </c>
      <c r="F695" s="22" t="s">
        <v>25</v>
      </c>
      <c r="G695" s="22" t="s">
        <v>44</v>
      </c>
      <c r="H695" s="22">
        <v>60</v>
      </c>
      <c r="I695" s="24">
        <v>39624</v>
      </c>
      <c r="J695" s="27">
        <v>802</v>
      </c>
      <c r="K695" s="25">
        <v>0</v>
      </c>
      <c r="L695" s="22" t="s">
        <v>45</v>
      </c>
      <c r="M695" s="23" t="s">
        <v>1134</v>
      </c>
    </row>
    <row r="696" spans="1:13" x14ac:dyDescent="0.35">
      <c r="A696" s="22" t="s">
        <v>270</v>
      </c>
      <c r="B696" s="22" t="s">
        <v>1779</v>
      </c>
      <c r="C696" s="22" t="s">
        <v>53</v>
      </c>
      <c r="D696" s="22" t="s">
        <v>24</v>
      </c>
      <c r="E696" s="22" t="s">
        <v>33</v>
      </c>
      <c r="F696" s="22" t="s">
        <v>15</v>
      </c>
      <c r="G696" s="22" t="s">
        <v>21</v>
      </c>
      <c r="H696" s="22">
        <v>65</v>
      </c>
      <c r="I696" s="24">
        <v>34520</v>
      </c>
      <c r="J696" s="27">
        <v>740</v>
      </c>
      <c r="K696" s="25">
        <v>7.0000000000000007E-2</v>
      </c>
      <c r="L696" s="22" t="s">
        <v>17</v>
      </c>
      <c r="M696" s="23" t="s">
        <v>54</v>
      </c>
    </row>
    <row r="697" spans="1:13" x14ac:dyDescent="0.35">
      <c r="A697" s="22" t="s">
        <v>861</v>
      </c>
      <c r="B697" s="22" t="s">
        <v>1780</v>
      </c>
      <c r="C697" s="22" t="s">
        <v>53</v>
      </c>
      <c r="D697" s="22" t="s">
        <v>43</v>
      </c>
      <c r="E697" s="22" t="s">
        <v>33</v>
      </c>
      <c r="F697" s="22" t="s">
        <v>25</v>
      </c>
      <c r="G697" s="22" t="s">
        <v>21</v>
      </c>
      <c r="H697" s="22">
        <v>43</v>
      </c>
      <c r="I697" s="24">
        <v>39717</v>
      </c>
      <c r="J697" s="27">
        <v>610</v>
      </c>
      <c r="K697" s="25">
        <v>7.0000000000000007E-2</v>
      </c>
      <c r="L697" s="22" t="s">
        <v>30</v>
      </c>
      <c r="M697" s="23" t="s">
        <v>61</v>
      </c>
    </row>
    <row r="698" spans="1:13" x14ac:dyDescent="0.35">
      <c r="A698" s="22" t="s">
        <v>862</v>
      </c>
      <c r="B698" s="22" t="s">
        <v>1781</v>
      </c>
      <c r="C698" s="22" t="s">
        <v>1111</v>
      </c>
      <c r="D698" s="22" t="s">
        <v>39</v>
      </c>
      <c r="E698" s="22" t="s">
        <v>14</v>
      </c>
      <c r="F698" s="22" t="s">
        <v>15</v>
      </c>
      <c r="G698" s="22" t="s">
        <v>16</v>
      </c>
      <c r="H698" s="22">
        <v>45</v>
      </c>
      <c r="I698" s="24">
        <v>41534</v>
      </c>
      <c r="J698" s="27">
        <v>842</v>
      </c>
      <c r="K698" s="25">
        <v>0.14000000000000001</v>
      </c>
      <c r="L698" s="22" t="s">
        <v>17</v>
      </c>
      <c r="M698" s="23" t="s">
        <v>26</v>
      </c>
    </row>
    <row r="699" spans="1:13" x14ac:dyDescent="0.35">
      <c r="A699" s="22" t="s">
        <v>863</v>
      </c>
      <c r="B699" s="22" t="s">
        <v>1782</v>
      </c>
      <c r="C699" s="22" t="s">
        <v>32</v>
      </c>
      <c r="D699" s="22" t="s">
        <v>24</v>
      </c>
      <c r="E699" s="22" t="s">
        <v>29</v>
      </c>
      <c r="F699" s="22" t="s">
        <v>25</v>
      </c>
      <c r="G699" s="22" t="s">
        <v>21</v>
      </c>
      <c r="H699" s="22">
        <v>28</v>
      </c>
      <c r="I699" s="24">
        <v>44381</v>
      </c>
      <c r="J699" s="27">
        <v>717</v>
      </c>
      <c r="K699" s="25">
        <v>0</v>
      </c>
      <c r="L699" s="22" t="s">
        <v>17</v>
      </c>
      <c r="M699" s="23" t="s">
        <v>22</v>
      </c>
    </row>
    <row r="700" spans="1:13" x14ac:dyDescent="0.35">
      <c r="A700" s="22" t="s">
        <v>864</v>
      </c>
      <c r="B700" s="22" t="s">
        <v>1783</v>
      </c>
      <c r="C700" s="22" t="s">
        <v>48</v>
      </c>
      <c r="D700" s="22" t="s">
        <v>24</v>
      </c>
      <c r="E700" s="22" t="s">
        <v>33</v>
      </c>
      <c r="F700" s="22" t="s">
        <v>25</v>
      </c>
      <c r="G700" s="22" t="s">
        <v>16</v>
      </c>
      <c r="H700" s="22">
        <v>34</v>
      </c>
      <c r="I700" s="24">
        <v>42002</v>
      </c>
      <c r="J700" s="27">
        <v>874</v>
      </c>
      <c r="K700" s="25">
        <v>0.09</v>
      </c>
      <c r="L700" s="22" t="s">
        <v>17</v>
      </c>
      <c r="M700" s="23" t="s">
        <v>35</v>
      </c>
    </row>
    <row r="701" spans="1:13" x14ac:dyDescent="0.35">
      <c r="A701" s="22" t="s">
        <v>865</v>
      </c>
      <c r="B701" s="22" t="s">
        <v>1784</v>
      </c>
      <c r="C701" s="22" t="s">
        <v>60</v>
      </c>
      <c r="D701" s="22" t="s">
        <v>24</v>
      </c>
      <c r="E701" s="22" t="s">
        <v>1102</v>
      </c>
      <c r="F701" s="22" t="s">
        <v>25</v>
      </c>
      <c r="G701" s="22" t="s">
        <v>41</v>
      </c>
      <c r="H701" s="22">
        <v>31</v>
      </c>
      <c r="I701" s="24">
        <v>42843</v>
      </c>
      <c r="J701" s="27">
        <v>681</v>
      </c>
      <c r="K701" s="25">
        <v>0</v>
      </c>
      <c r="L701" s="22" t="s">
        <v>17</v>
      </c>
      <c r="M701" s="23" t="s">
        <v>40</v>
      </c>
    </row>
    <row r="702" spans="1:13" x14ac:dyDescent="0.35">
      <c r="A702" s="22" t="s">
        <v>866</v>
      </c>
      <c r="B702" s="22" t="s">
        <v>1785</v>
      </c>
      <c r="C702" s="22" t="s">
        <v>12</v>
      </c>
      <c r="D702" s="22" t="s">
        <v>43</v>
      </c>
      <c r="E702" s="22" t="s">
        <v>1102</v>
      </c>
      <c r="F702" s="22" t="s">
        <v>25</v>
      </c>
      <c r="G702" s="22" t="s">
        <v>44</v>
      </c>
      <c r="H702" s="22">
        <v>29</v>
      </c>
      <c r="I702" s="24">
        <v>42741</v>
      </c>
      <c r="J702" s="27">
        <v>955</v>
      </c>
      <c r="K702" s="25">
        <v>0.38</v>
      </c>
      <c r="L702" s="22" t="s">
        <v>17</v>
      </c>
      <c r="M702" s="23" t="s">
        <v>18</v>
      </c>
    </row>
    <row r="703" spans="1:13" x14ac:dyDescent="0.35">
      <c r="A703" s="22" t="s">
        <v>280</v>
      </c>
      <c r="B703" s="22" t="s">
        <v>1786</v>
      </c>
      <c r="C703" s="22" t="s">
        <v>42</v>
      </c>
      <c r="D703" s="22" t="s">
        <v>43</v>
      </c>
      <c r="E703" s="22" t="s">
        <v>14</v>
      </c>
      <c r="F703" s="22" t="s">
        <v>25</v>
      </c>
      <c r="G703" s="22" t="s">
        <v>44</v>
      </c>
      <c r="H703" s="22">
        <v>49</v>
      </c>
      <c r="I703" s="24">
        <v>38708</v>
      </c>
      <c r="J703" s="27">
        <v>735</v>
      </c>
      <c r="K703" s="25">
        <v>0</v>
      </c>
      <c r="L703" s="22" t="s">
        <v>17</v>
      </c>
      <c r="M703" s="23" t="s">
        <v>18</v>
      </c>
    </row>
    <row r="704" spans="1:13" x14ac:dyDescent="0.35">
      <c r="A704" s="22" t="s">
        <v>867</v>
      </c>
      <c r="B704" s="22" t="s">
        <v>1787</v>
      </c>
      <c r="C704" s="22" t="s">
        <v>36</v>
      </c>
      <c r="D704" s="22" t="s">
        <v>43</v>
      </c>
      <c r="E704" s="22" t="s">
        <v>33</v>
      </c>
      <c r="F704" s="22" t="s">
        <v>25</v>
      </c>
      <c r="G704" s="22" t="s">
        <v>21</v>
      </c>
      <c r="H704" s="22">
        <v>47</v>
      </c>
      <c r="I704" s="24">
        <v>43661</v>
      </c>
      <c r="J704" s="27">
        <v>555</v>
      </c>
      <c r="K704" s="25">
        <v>0.23</v>
      </c>
      <c r="L704" s="22" t="s">
        <v>17</v>
      </c>
      <c r="M704" s="23" t="s">
        <v>26</v>
      </c>
    </row>
    <row r="705" spans="1:13" x14ac:dyDescent="0.35">
      <c r="A705" s="22" t="s">
        <v>868</v>
      </c>
      <c r="B705" s="22" t="s">
        <v>1788</v>
      </c>
      <c r="C705" s="22" t="s">
        <v>1111</v>
      </c>
      <c r="D705" s="22" t="s">
        <v>24</v>
      </c>
      <c r="E705" s="22" t="s">
        <v>29</v>
      </c>
      <c r="F705" s="22" t="s">
        <v>15</v>
      </c>
      <c r="G705" s="22" t="s">
        <v>16</v>
      </c>
      <c r="H705" s="22">
        <v>56</v>
      </c>
      <c r="I705" s="24">
        <v>37382</v>
      </c>
      <c r="J705" s="27">
        <v>589</v>
      </c>
      <c r="K705" s="25">
        <v>0.1</v>
      </c>
      <c r="L705" s="22" t="s">
        <v>17</v>
      </c>
      <c r="M705" s="23" t="s">
        <v>18</v>
      </c>
    </row>
    <row r="706" spans="1:13" x14ac:dyDescent="0.35">
      <c r="A706" s="22" t="s">
        <v>153</v>
      </c>
      <c r="B706" s="22" t="s">
        <v>1789</v>
      </c>
      <c r="C706" s="22" t="s">
        <v>74</v>
      </c>
      <c r="D706" s="22" t="s">
        <v>43</v>
      </c>
      <c r="E706" s="22" t="s">
        <v>1102</v>
      </c>
      <c r="F706" s="22" t="s">
        <v>25</v>
      </c>
      <c r="G706" s="22" t="s">
        <v>21</v>
      </c>
      <c r="H706" s="22">
        <v>52</v>
      </c>
      <c r="I706" s="24">
        <v>39071</v>
      </c>
      <c r="J706" s="27">
        <v>831</v>
      </c>
      <c r="K706" s="25">
        <v>0</v>
      </c>
      <c r="L706" s="22" t="s">
        <v>30</v>
      </c>
      <c r="M706" s="23" t="s">
        <v>52</v>
      </c>
    </row>
    <row r="707" spans="1:13" x14ac:dyDescent="0.35">
      <c r="A707" s="22" t="s">
        <v>869</v>
      </c>
      <c r="B707" s="22" t="s">
        <v>1790</v>
      </c>
      <c r="C707" s="22" t="s">
        <v>77</v>
      </c>
      <c r="D707" s="22" t="s">
        <v>24</v>
      </c>
      <c r="E707" s="22" t="s">
        <v>33</v>
      </c>
      <c r="F707" s="22" t="s">
        <v>15</v>
      </c>
      <c r="G707" s="22" t="s">
        <v>44</v>
      </c>
      <c r="H707" s="22">
        <v>37</v>
      </c>
      <c r="I707" s="24">
        <v>43896</v>
      </c>
      <c r="J707" s="27">
        <v>965</v>
      </c>
      <c r="K707" s="25">
        <v>0</v>
      </c>
      <c r="L707" s="22" t="s">
        <v>17</v>
      </c>
      <c r="M707" s="23" t="s">
        <v>26</v>
      </c>
    </row>
    <row r="708" spans="1:13" x14ac:dyDescent="0.35">
      <c r="A708" s="22" t="s">
        <v>870</v>
      </c>
      <c r="B708" s="22" t="s">
        <v>1791</v>
      </c>
      <c r="C708" s="22" t="s">
        <v>50</v>
      </c>
      <c r="D708" s="22" t="s">
        <v>28</v>
      </c>
      <c r="E708" s="22" t="s">
        <v>33</v>
      </c>
      <c r="F708" s="22" t="s">
        <v>25</v>
      </c>
      <c r="G708" s="22" t="s">
        <v>16</v>
      </c>
      <c r="H708" s="22">
        <v>55</v>
      </c>
      <c r="I708" s="24">
        <v>35860</v>
      </c>
      <c r="J708" s="27">
        <v>936</v>
      </c>
      <c r="K708" s="25">
        <v>0</v>
      </c>
      <c r="L708" s="22" t="s">
        <v>17</v>
      </c>
      <c r="M708" s="23" t="s">
        <v>40</v>
      </c>
    </row>
    <row r="709" spans="1:13" x14ac:dyDescent="0.35">
      <c r="A709" s="22" t="s">
        <v>871</v>
      </c>
      <c r="B709" s="22" t="s">
        <v>1792</v>
      </c>
      <c r="C709" s="22" t="s">
        <v>1111</v>
      </c>
      <c r="D709" s="22" t="s">
        <v>39</v>
      </c>
      <c r="E709" s="22" t="s">
        <v>29</v>
      </c>
      <c r="F709" s="22" t="s">
        <v>25</v>
      </c>
      <c r="G709" s="22" t="s">
        <v>16</v>
      </c>
      <c r="H709" s="22">
        <v>27</v>
      </c>
      <c r="I709" s="24">
        <v>44364</v>
      </c>
      <c r="J709" s="27">
        <v>717</v>
      </c>
      <c r="K709" s="25">
        <v>0.12</v>
      </c>
      <c r="L709" s="22" t="s">
        <v>17</v>
      </c>
      <c r="M709" s="23" t="s">
        <v>35</v>
      </c>
    </row>
    <row r="710" spans="1:13" x14ac:dyDescent="0.35">
      <c r="A710" s="22" t="s">
        <v>100</v>
      </c>
      <c r="B710" s="22" t="s">
        <v>1793</v>
      </c>
      <c r="C710" s="22" t="s">
        <v>32</v>
      </c>
      <c r="D710" s="22" t="s">
        <v>24</v>
      </c>
      <c r="E710" s="22" t="s">
        <v>33</v>
      </c>
      <c r="F710" s="22" t="s">
        <v>15</v>
      </c>
      <c r="G710" s="22" t="s">
        <v>21</v>
      </c>
      <c r="H710" s="22">
        <v>28</v>
      </c>
      <c r="I710" s="24">
        <v>43637</v>
      </c>
      <c r="J710" s="27">
        <v>616</v>
      </c>
      <c r="K710" s="25">
        <v>0</v>
      </c>
      <c r="L710" s="22" t="s">
        <v>17</v>
      </c>
      <c r="M710" s="23" t="s">
        <v>18</v>
      </c>
    </row>
    <row r="711" spans="1:13" x14ac:dyDescent="0.35">
      <c r="A711" s="22" t="s">
        <v>872</v>
      </c>
      <c r="B711" s="22" t="s">
        <v>1794</v>
      </c>
      <c r="C711" s="22" t="s">
        <v>57</v>
      </c>
      <c r="D711" s="22" t="s">
        <v>43</v>
      </c>
      <c r="E711" s="22" t="s">
        <v>33</v>
      </c>
      <c r="F711" s="22" t="s">
        <v>25</v>
      </c>
      <c r="G711" s="22" t="s">
        <v>21</v>
      </c>
      <c r="H711" s="22">
        <v>55</v>
      </c>
      <c r="I711" s="24">
        <v>42130</v>
      </c>
      <c r="J711" s="27">
        <v>701</v>
      </c>
      <c r="K711" s="25">
        <v>0</v>
      </c>
      <c r="L711" s="22" t="s">
        <v>17</v>
      </c>
      <c r="M711" s="23" t="s">
        <v>54</v>
      </c>
    </row>
    <row r="712" spans="1:13" x14ac:dyDescent="0.35">
      <c r="A712" s="22" t="s">
        <v>873</v>
      </c>
      <c r="B712" s="22" t="s">
        <v>1795</v>
      </c>
      <c r="C712" s="22" t="s">
        <v>53</v>
      </c>
      <c r="D712" s="22" t="s">
        <v>20</v>
      </c>
      <c r="E712" s="22" t="s">
        <v>14</v>
      </c>
      <c r="F712" s="22" t="s">
        <v>15</v>
      </c>
      <c r="G712" s="22" t="s">
        <v>21</v>
      </c>
      <c r="H712" s="22">
        <v>44</v>
      </c>
      <c r="I712" s="24">
        <v>40802</v>
      </c>
      <c r="J712" s="27">
        <v>730</v>
      </c>
      <c r="K712" s="25">
        <v>0.06</v>
      </c>
      <c r="L712" s="22" t="s">
        <v>30</v>
      </c>
      <c r="M712" s="23" t="s">
        <v>52</v>
      </c>
    </row>
    <row r="713" spans="1:13" x14ac:dyDescent="0.35">
      <c r="A713" s="22" t="s">
        <v>874</v>
      </c>
      <c r="B713" s="22" t="s">
        <v>1796</v>
      </c>
      <c r="C713" s="22" t="s">
        <v>36</v>
      </c>
      <c r="D713" s="22" t="s">
        <v>20</v>
      </c>
      <c r="E713" s="22" t="s">
        <v>1102</v>
      </c>
      <c r="F713" s="22" t="s">
        <v>15</v>
      </c>
      <c r="G713" s="22" t="s">
        <v>16</v>
      </c>
      <c r="H713" s="22">
        <v>28</v>
      </c>
      <c r="I713" s="24">
        <v>43852</v>
      </c>
      <c r="J713" s="27">
        <v>955</v>
      </c>
      <c r="K713" s="25">
        <v>0.21</v>
      </c>
      <c r="L713" s="22" t="s">
        <v>17</v>
      </c>
      <c r="M713" s="23" t="s">
        <v>22</v>
      </c>
    </row>
    <row r="714" spans="1:13" x14ac:dyDescent="0.35">
      <c r="A714" s="22" t="s">
        <v>875</v>
      </c>
      <c r="B714" s="22" t="s">
        <v>1797</v>
      </c>
      <c r="C714" s="22" t="s">
        <v>83</v>
      </c>
      <c r="D714" s="22" t="s">
        <v>28</v>
      </c>
      <c r="E714" s="22" t="s">
        <v>29</v>
      </c>
      <c r="F714" s="22" t="s">
        <v>15</v>
      </c>
      <c r="G714" s="22" t="s">
        <v>21</v>
      </c>
      <c r="H714" s="22">
        <v>55</v>
      </c>
      <c r="I714" s="24">
        <v>34835</v>
      </c>
      <c r="J714" s="27">
        <v>800</v>
      </c>
      <c r="K714" s="25">
        <v>0</v>
      </c>
      <c r="L714" s="22" t="s">
        <v>17</v>
      </c>
      <c r="M714" s="23" t="s">
        <v>22</v>
      </c>
    </row>
    <row r="715" spans="1:13" x14ac:dyDescent="0.35">
      <c r="A715" s="22" t="s">
        <v>876</v>
      </c>
      <c r="B715" s="22" t="s">
        <v>1798</v>
      </c>
      <c r="C715" s="22" t="s">
        <v>27</v>
      </c>
      <c r="D715" s="22" t="s">
        <v>28</v>
      </c>
      <c r="E715" s="22" t="s">
        <v>14</v>
      </c>
      <c r="F715" s="22" t="s">
        <v>25</v>
      </c>
      <c r="G715" s="22" t="s">
        <v>41</v>
      </c>
      <c r="H715" s="22">
        <v>44</v>
      </c>
      <c r="I715" s="24">
        <v>43753</v>
      </c>
      <c r="J715" s="27">
        <v>551</v>
      </c>
      <c r="K715" s="25">
        <v>0</v>
      </c>
      <c r="L715" s="22" t="s">
        <v>17</v>
      </c>
      <c r="M715" s="23" t="s">
        <v>40</v>
      </c>
    </row>
    <row r="716" spans="1:13" x14ac:dyDescent="0.35">
      <c r="A716" s="22" t="s">
        <v>238</v>
      </c>
      <c r="B716" s="22" t="s">
        <v>1799</v>
      </c>
      <c r="C716" s="22" t="s">
        <v>12</v>
      </c>
      <c r="D716" s="22" t="s">
        <v>43</v>
      </c>
      <c r="E716" s="22" t="s">
        <v>29</v>
      </c>
      <c r="F716" s="22" t="s">
        <v>15</v>
      </c>
      <c r="G716" s="22" t="s">
        <v>21</v>
      </c>
      <c r="H716" s="22">
        <v>30</v>
      </c>
      <c r="I716" s="24">
        <v>43747</v>
      </c>
      <c r="J716" s="27">
        <v>745</v>
      </c>
      <c r="K716" s="25">
        <v>0.4</v>
      </c>
      <c r="L716" s="22" t="s">
        <v>17</v>
      </c>
      <c r="M716" s="23" t="s">
        <v>40</v>
      </c>
    </row>
    <row r="717" spans="1:13" x14ac:dyDescent="0.35">
      <c r="A717" s="22" t="s">
        <v>877</v>
      </c>
      <c r="B717" s="22" t="s">
        <v>1800</v>
      </c>
      <c r="C717" s="22" t="s">
        <v>53</v>
      </c>
      <c r="D717" s="22" t="s">
        <v>39</v>
      </c>
      <c r="E717" s="22" t="s">
        <v>14</v>
      </c>
      <c r="F717" s="22" t="s">
        <v>15</v>
      </c>
      <c r="G717" s="22" t="s">
        <v>21</v>
      </c>
      <c r="H717" s="22">
        <v>63</v>
      </c>
      <c r="I717" s="24">
        <v>38439</v>
      </c>
      <c r="J717" s="27">
        <v>809</v>
      </c>
      <c r="K717" s="25">
        <v>0.08</v>
      </c>
      <c r="L717" s="22" t="s">
        <v>17</v>
      </c>
      <c r="M717" s="23" t="s">
        <v>22</v>
      </c>
    </row>
    <row r="718" spans="1:13" x14ac:dyDescent="0.35">
      <c r="A718" s="22" t="s">
        <v>878</v>
      </c>
      <c r="B718" s="22" t="s">
        <v>1801</v>
      </c>
      <c r="C718" s="22" t="s">
        <v>73</v>
      </c>
      <c r="D718" s="22" t="s">
        <v>24</v>
      </c>
      <c r="E718" s="22" t="s">
        <v>33</v>
      </c>
      <c r="F718" s="22" t="s">
        <v>15</v>
      </c>
      <c r="G718" s="22" t="s">
        <v>21</v>
      </c>
      <c r="H718" s="22">
        <v>36</v>
      </c>
      <c r="I718" s="24">
        <v>43340</v>
      </c>
      <c r="J718" s="27">
        <v>880</v>
      </c>
      <c r="K718" s="25">
        <v>0</v>
      </c>
      <c r="L718" s="22" t="s">
        <v>30</v>
      </c>
      <c r="M718" s="23" t="s">
        <v>52</v>
      </c>
    </row>
    <row r="719" spans="1:13" x14ac:dyDescent="0.35">
      <c r="A719" s="22" t="s">
        <v>879</v>
      </c>
      <c r="B719" s="22" t="s">
        <v>1802</v>
      </c>
      <c r="C719" s="22" t="s">
        <v>1111</v>
      </c>
      <c r="D719" s="22" t="s">
        <v>56</v>
      </c>
      <c r="E719" s="22" t="s">
        <v>14</v>
      </c>
      <c r="F719" s="22" t="s">
        <v>25</v>
      </c>
      <c r="G719" s="22" t="s">
        <v>44</v>
      </c>
      <c r="H719" s="22">
        <v>28</v>
      </c>
      <c r="I719" s="24">
        <v>43581</v>
      </c>
      <c r="J719" s="27">
        <v>526</v>
      </c>
      <c r="K719" s="25">
        <v>0.12</v>
      </c>
      <c r="L719" s="22" t="s">
        <v>45</v>
      </c>
      <c r="M719" s="23" t="s">
        <v>1134</v>
      </c>
    </row>
    <row r="720" spans="1:13" x14ac:dyDescent="0.35">
      <c r="A720" s="22" t="s">
        <v>254</v>
      </c>
      <c r="B720" s="22" t="s">
        <v>1803</v>
      </c>
      <c r="C720" s="22" t="s">
        <v>55</v>
      </c>
      <c r="D720" s="22" t="s">
        <v>56</v>
      </c>
      <c r="E720" s="22" t="s">
        <v>14</v>
      </c>
      <c r="F720" s="22" t="s">
        <v>25</v>
      </c>
      <c r="G720" s="22" t="s">
        <v>21</v>
      </c>
      <c r="H720" s="22">
        <v>28</v>
      </c>
      <c r="I720" s="24">
        <v>43274</v>
      </c>
      <c r="J720" s="27">
        <v>760</v>
      </c>
      <c r="K720" s="25">
        <v>0</v>
      </c>
      <c r="L720" s="22" t="s">
        <v>17</v>
      </c>
      <c r="M720" s="23" t="s">
        <v>54</v>
      </c>
    </row>
    <row r="721" spans="1:13" x14ac:dyDescent="0.35">
      <c r="A721" s="22" t="s">
        <v>880</v>
      </c>
      <c r="B721" s="22" t="s">
        <v>1804</v>
      </c>
      <c r="C721" s="22" t="s">
        <v>53</v>
      </c>
      <c r="D721" s="22" t="s">
        <v>13</v>
      </c>
      <c r="E721" s="22" t="s">
        <v>1102</v>
      </c>
      <c r="F721" s="22" t="s">
        <v>15</v>
      </c>
      <c r="G721" s="22" t="s">
        <v>44</v>
      </c>
      <c r="H721" s="22">
        <v>27</v>
      </c>
      <c r="I721" s="24">
        <v>44441</v>
      </c>
      <c r="J721" s="27">
        <v>681</v>
      </c>
      <c r="K721" s="25">
        <v>0.1</v>
      </c>
      <c r="L721" s="22" t="s">
        <v>45</v>
      </c>
      <c r="M721" s="23" t="s">
        <v>1134</v>
      </c>
    </row>
    <row r="722" spans="1:13" x14ac:dyDescent="0.35">
      <c r="A722" s="22" t="s">
        <v>881</v>
      </c>
      <c r="B722" s="22" t="s">
        <v>1805</v>
      </c>
      <c r="C722" s="22" t="s">
        <v>68</v>
      </c>
      <c r="D722" s="22" t="s">
        <v>20</v>
      </c>
      <c r="E722" s="22" t="s">
        <v>1102</v>
      </c>
      <c r="F722" s="22" t="s">
        <v>15</v>
      </c>
      <c r="G722" s="22" t="s">
        <v>41</v>
      </c>
      <c r="H722" s="22">
        <v>34</v>
      </c>
      <c r="I722" s="24">
        <v>44816</v>
      </c>
      <c r="J722" s="27">
        <v>740</v>
      </c>
      <c r="K722" s="25">
        <v>0</v>
      </c>
      <c r="L722" s="22" t="s">
        <v>17</v>
      </c>
      <c r="M722" s="23" t="s">
        <v>54</v>
      </c>
    </row>
    <row r="723" spans="1:13" x14ac:dyDescent="0.35">
      <c r="A723" s="22" t="s">
        <v>882</v>
      </c>
      <c r="B723" s="22" t="s">
        <v>1806</v>
      </c>
      <c r="C723" s="22" t="s">
        <v>59</v>
      </c>
      <c r="D723" s="22" t="s">
        <v>24</v>
      </c>
      <c r="E723" s="22" t="s">
        <v>1102</v>
      </c>
      <c r="F723" s="22" t="s">
        <v>25</v>
      </c>
      <c r="G723" s="22" t="s">
        <v>44</v>
      </c>
      <c r="H723" s="22">
        <v>53</v>
      </c>
      <c r="I723" s="24">
        <v>34444</v>
      </c>
      <c r="J723" s="27">
        <v>678</v>
      </c>
      <c r="K723" s="25">
        <v>0</v>
      </c>
      <c r="L723" s="22" t="s">
        <v>45</v>
      </c>
      <c r="M723" s="23" t="s">
        <v>1134</v>
      </c>
    </row>
    <row r="724" spans="1:13" x14ac:dyDescent="0.35">
      <c r="A724" s="22" t="s">
        <v>883</v>
      </c>
      <c r="B724" s="22" t="s">
        <v>1807</v>
      </c>
      <c r="C724" s="22" t="s">
        <v>69</v>
      </c>
      <c r="D724" s="22" t="s">
        <v>28</v>
      </c>
      <c r="E724" s="22" t="s">
        <v>29</v>
      </c>
      <c r="F724" s="22" t="s">
        <v>25</v>
      </c>
      <c r="G724" s="22" t="s">
        <v>16</v>
      </c>
      <c r="H724" s="22">
        <v>50</v>
      </c>
      <c r="I724" s="24">
        <v>40923</v>
      </c>
      <c r="J724" s="27">
        <v>657</v>
      </c>
      <c r="K724" s="25">
        <v>0</v>
      </c>
      <c r="L724" s="22" t="s">
        <v>17</v>
      </c>
      <c r="M724" s="23" t="s">
        <v>40</v>
      </c>
    </row>
    <row r="725" spans="1:13" x14ac:dyDescent="0.35">
      <c r="A725" s="22" t="s">
        <v>884</v>
      </c>
      <c r="B725" s="22" t="s">
        <v>1808</v>
      </c>
      <c r="C725" s="22" t="s">
        <v>71</v>
      </c>
      <c r="D725" s="22" t="s">
        <v>24</v>
      </c>
      <c r="E725" s="22" t="s">
        <v>33</v>
      </c>
      <c r="F725" s="22" t="s">
        <v>25</v>
      </c>
      <c r="G725" s="22" t="s">
        <v>44</v>
      </c>
      <c r="H725" s="22">
        <v>51</v>
      </c>
      <c r="I725" s="24">
        <v>43272</v>
      </c>
      <c r="J725" s="27">
        <v>516</v>
      </c>
      <c r="K725" s="25">
        <v>0</v>
      </c>
      <c r="L725" s="22" t="s">
        <v>17</v>
      </c>
      <c r="M725" s="23" t="s">
        <v>35</v>
      </c>
    </row>
    <row r="726" spans="1:13" x14ac:dyDescent="0.35">
      <c r="A726" s="22" t="s">
        <v>885</v>
      </c>
      <c r="B726" s="22" t="s">
        <v>1809</v>
      </c>
      <c r="C726" s="22" t="s">
        <v>73</v>
      </c>
      <c r="D726" s="22" t="s">
        <v>24</v>
      </c>
      <c r="E726" s="22" t="s">
        <v>14</v>
      </c>
      <c r="F726" s="22" t="s">
        <v>15</v>
      </c>
      <c r="G726" s="22" t="s">
        <v>21</v>
      </c>
      <c r="H726" s="22">
        <v>27</v>
      </c>
      <c r="I726" s="24">
        <v>44519</v>
      </c>
      <c r="J726" s="27">
        <v>873</v>
      </c>
      <c r="K726" s="25">
        <v>0</v>
      </c>
      <c r="L726" s="22" t="s">
        <v>30</v>
      </c>
      <c r="M726" s="23" t="s">
        <v>61</v>
      </c>
    </row>
    <row r="727" spans="1:13" x14ac:dyDescent="0.35">
      <c r="A727" s="22" t="s">
        <v>886</v>
      </c>
      <c r="B727" s="22" t="s">
        <v>1810</v>
      </c>
      <c r="C727" s="22" t="s">
        <v>57</v>
      </c>
      <c r="D727" s="22" t="s">
        <v>56</v>
      </c>
      <c r="E727" s="22" t="s">
        <v>14</v>
      </c>
      <c r="F727" s="22" t="s">
        <v>15</v>
      </c>
      <c r="G727" s="22" t="s">
        <v>44</v>
      </c>
      <c r="H727" s="22">
        <v>33</v>
      </c>
      <c r="I727" s="24">
        <v>43551</v>
      </c>
      <c r="J727" s="27">
        <v>522</v>
      </c>
      <c r="K727" s="25">
        <v>0</v>
      </c>
      <c r="L727" s="22" t="s">
        <v>45</v>
      </c>
      <c r="M727" s="23" t="s">
        <v>46</v>
      </c>
    </row>
    <row r="728" spans="1:13" x14ac:dyDescent="0.35">
      <c r="A728" s="22" t="s">
        <v>79</v>
      </c>
      <c r="B728" s="22" t="s">
        <v>206</v>
      </c>
      <c r="C728" s="22" t="s">
        <v>63</v>
      </c>
      <c r="D728" s="22" t="s">
        <v>20</v>
      </c>
      <c r="E728" s="22" t="s">
        <v>29</v>
      </c>
      <c r="F728" s="22" t="s">
        <v>25</v>
      </c>
      <c r="G728" s="22" t="s">
        <v>16</v>
      </c>
      <c r="H728" s="22">
        <v>46</v>
      </c>
      <c r="I728" s="24">
        <v>40928</v>
      </c>
      <c r="J728" s="27">
        <v>603</v>
      </c>
      <c r="K728" s="25">
        <v>0</v>
      </c>
      <c r="L728" s="22" t="s">
        <v>17</v>
      </c>
      <c r="M728" s="23" t="s">
        <v>40</v>
      </c>
    </row>
    <row r="729" spans="1:13" x14ac:dyDescent="0.35">
      <c r="A729" s="22" t="s">
        <v>887</v>
      </c>
      <c r="B729" s="22" t="s">
        <v>1811</v>
      </c>
      <c r="C729" s="22" t="s">
        <v>12</v>
      </c>
      <c r="D729" s="22" t="s">
        <v>20</v>
      </c>
      <c r="E729" s="22" t="s">
        <v>29</v>
      </c>
      <c r="F729" s="22" t="s">
        <v>15</v>
      </c>
      <c r="G729" s="22" t="s">
        <v>21</v>
      </c>
      <c r="H729" s="22">
        <v>51</v>
      </c>
      <c r="I729" s="24">
        <v>38642</v>
      </c>
      <c r="J729" s="27">
        <v>583</v>
      </c>
      <c r="K729" s="25">
        <v>0.36</v>
      </c>
      <c r="L729" s="22" t="s">
        <v>17</v>
      </c>
      <c r="M729" s="23" t="s">
        <v>26</v>
      </c>
    </row>
    <row r="730" spans="1:13" x14ac:dyDescent="0.35">
      <c r="A730" s="22" t="s">
        <v>198</v>
      </c>
      <c r="B730" s="22" t="s">
        <v>1812</v>
      </c>
      <c r="C730" s="22" t="s">
        <v>62</v>
      </c>
      <c r="D730" s="22" t="s">
        <v>24</v>
      </c>
      <c r="E730" s="22" t="s">
        <v>33</v>
      </c>
      <c r="F730" s="22" t="s">
        <v>25</v>
      </c>
      <c r="G730" s="22" t="s">
        <v>21</v>
      </c>
      <c r="H730" s="22">
        <v>31</v>
      </c>
      <c r="I730" s="24">
        <v>43379</v>
      </c>
      <c r="J730" s="27">
        <v>703</v>
      </c>
      <c r="K730" s="25">
        <v>0</v>
      </c>
      <c r="L730" s="22" t="s">
        <v>30</v>
      </c>
      <c r="M730" s="23" t="s">
        <v>61</v>
      </c>
    </row>
    <row r="731" spans="1:13" x14ac:dyDescent="0.35">
      <c r="A731" s="22" t="s">
        <v>888</v>
      </c>
      <c r="B731" s="22" t="s">
        <v>1813</v>
      </c>
      <c r="C731" s="22" t="s">
        <v>12</v>
      </c>
      <c r="D731" s="22" t="s">
        <v>43</v>
      </c>
      <c r="E731" s="22" t="s">
        <v>33</v>
      </c>
      <c r="F731" s="22" t="s">
        <v>25</v>
      </c>
      <c r="G731" s="22" t="s">
        <v>16</v>
      </c>
      <c r="H731" s="22">
        <v>45</v>
      </c>
      <c r="I731" s="24">
        <v>41966</v>
      </c>
      <c r="J731" s="27">
        <v>672</v>
      </c>
      <c r="K731" s="25">
        <v>0.31</v>
      </c>
      <c r="L731" s="22" t="s">
        <v>17</v>
      </c>
      <c r="M731" s="23" t="s">
        <v>22</v>
      </c>
    </row>
    <row r="732" spans="1:13" x14ac:dyDescent="0.35">
      <c r="A732" s="22" t="s">
        <v>253</v>
      </c>
      <c r="B732" s="22" t="s">
        <v>1814</v>
      </c>
      <c r="C732" s="22" t="s">
        <v>53</v>
      </c>
      <c r="D732" s="22" t="s">
        <v>13</v>
      </c>
      <c r="E732" s="22" t="s">
        <v>29</v>
      </c>
      <c r="F732" s="22" t="s">
        <v>25</v>
      </c>
      <c r="G732" s="22" t="s">
        <v>21</v>
      </c>
      <c r="H732" s="22">
        <v>38</v>
      </c>
      <c r="I732" s="24">
        <v>40737</v>
      </c>
      <c r="J732" s="27">
        <v>673</v>
      </c>
      <c r="K732" s="25">
        <v>0.1</v>
      </c>
      <c r="L732" s="22" t="s">
        <v>30</v>
      </c>
      <c r="M732" s="23" t="s">
        <v>61</v>
      </c>
    </row>
    <row r="733" spans="1:13" x14ac:dyDescent="0.35">
      <c r="A733" s="22" t="s">
        <v>889</v>
      </c>
      <c r="B733" s="22" t="s">
        <v>1815</v>
      </c>
      <c r="C733" s="22" t="s">
        <v>53</v>
      </c>
      <c r="D733" s="22" t="s">
        <v>56</v>
      </c>
      <c r="E733" s="22" t="s">
        <v>1102</v>
      </c>
      <c r="F733" s="22" t="s">
        <v>15</v>
      </c>
      <c r="G733" s="22" t="s">
        <v>44</v>
      </c>
      <c r="H733" s="22">
        <v>42</v>
      </c>
      <c r="I733" s="24">
        <v>40229</v>
      </c>
      <c r="J733" s="27">
        <v>752</v>
      </c>
      <c r="K733" s="25">
        <v>7.0000000000000007E-2</v>
      </c>
      <c r="L733" s="22" t="s">
        <v>45</v>
      </c>
      <c r="M733" s="23" t="s">
        <v>46</v>
      </c>
    </row>
    <row r="734" spans="1:13" x14ac:dyDescent="0.35">
      <c r="A734" s="22" t="s">
        <v>890</v>
      </c>
      <c r="B734" s="22" t="s">
        <v>1816</v>
      </c>
      <c r="C734" s="22" t="s">
        <v>70</v>
      </c>
      <c r="D734" s="22" t="s">
        <v>28</v>
      </c>
      <c r="E734" s="22" t="s">
        <v>33</v>
      </c>
      <c r="F734" s="22" t="s">
        <v>25</v>
      </c>
      <c r="G734" s="22" t="s">
        <v>44</v>
      </c>
      <c r="H734" s="22">
        <v>43</v>
      </c>
      <c r="I734" s="24">
        <v>43356</v>
      </c>
      <c r="J734" s="27">
        <v>989</v>
      </c>
      <c r="K734" s="25">
        <v>0</v>
      </c>
      <c r="L734" s="22" t="s">
        <v>17</v>
      </c>
      <c r="M734" s="23" t="s">
        <v>18</v>
      </c>
    </row>
    <row r="735" spans="1:13" x14ac:dyDescent="0.35">
      <c r="A735" s="22" t="s">
        <v>891</v>
      </c>
      <c r="B735" s="22" t="s">
        <v>1817</v>
      </c>
      <c r="C735" s="22" t="s">
        <v>36</v>
      </c>
      <c r="D735" s="22" t="s">
        <v>24</v>
      </c>
      <c r="E735" s="22" t="s">
        <v>29</v>
      </c>
      <c r="F735" s="22" t="s">
        <v>25</v>
      </c>
      <c r="G735" s="22" t="s">
        <v>16</v>
      </c>
      <c r="H735" s="22">
        <v>28</v>
      </c>
      <c r="I735" s="24">
        <v>43958</v>
      </c>
      <c r="J735" s="27">
        <v>898</v>
      </c>
      <c r="K735" s="25">
        <v>0.24</v>
      </c>
      <c r="L735" s="22" t="s">
        <v>17</v>
      </c>
      <c r="M735" s="23" t="s">
        <v>22</v>
      </c>
    </row>
    <row r="736" spans="1:13" x14ac:dyDescent="0.35">
      <c r="A736" s="22" t="s">
        <v>892</v>
      </c>
      <c r="B736" s="22" t="s">
        <v>1818</v>
      </c>
      <c r="C736" s="22" t="s">
        <v>55</v>
      </c>
      <c r="D736" s="22" t="s">
        <v>13</v>
      </c>
      <c r="E736" s="22" t="s">
        <v>14</v>
      </c>
      <c r="F736" s="22" t="s">
        <v>15</v>
      </c>
      <c r="G736" s="22" t="s">
        <v>21</v>
      </c>
      <c r="H736" s="22">
        <v>57</v>
      </c>
      <c r="I736" s="24">
        <v>43241</v>
      </c>
      <c r="J736" s="27">
        <v>588</v>
      </c>
      <c r="K736" s="25">
        <v>0</v>
      </c>
      <c r="L736" s="22" t="s">
        <v>30</v>
      </c>
      <c r="M736" s="23" t="s">
        <v>31</v>
      </c>
    </row>
    <row r="737" spans="1:13" x14ac:dyDescent="0.35">
      <c r="A737" s="22" t="s">
        <v>893</v>
      </c>
      <c r="B737" s="22" t="s">
        <v>1819</v>
      </c>
      <c r="C737" s="22" t="s">
        <v>36</v>
      </c>
      <c r="D737" s="22" t="s">
        <v>28</v>
      </c>
      <c r="E737" s="22" t="s">
        <v>14</v>
      </c>
      <c r="F737" s="22" t="s">
        <v>25</v>
      </c>
      <c r="G737" s="22" t="s">
        <v>21</v>
      </c>
      <c r="H737" s="22">
        <v>33</v>
      </c>
      <c r="I737" s="24">
        <v>42588</v>
      </c>
      <c r="J737" s="27">
        <v>872</v>
      </c>
      <c r="K737" s="25">
        <v>0.19</v>
      </c>
      <c r="L737" s="22" t="s">
        <v>30</v>
      </c>
      <c r="M737" s="23" t="s">
        <v>65</v>
      </c>
    </row>
    <row r="738" spans="1:13" x14ac:dyDescent="0.35">
      <c r="A738" s="22" t="s">
        <v>894</v>
      </c>
      <c r="B738" s="22" t="s">
        <v>1820</v>
      </c>
      <c r="C738" s="22" t="s">
        <v>1111</v>
      </c>
      <c r="D738" s="22" t="s">
        <v>13</v>
      </c>
      <c r="E738" s="22" t="s">
        <v>29</v>
      </c>
      <c r="F738" s="22" t="s">
        <v>25</v>
      </c>
      <c r="G738" s="22" t="s">
        <v>21</v>
      </c>
      <c r="H738" s="22">
        <v>32</v>
      </c>
      <c r="I738" s="24">
        <v>44113</v>
      </c>
      <c r="J738" s="27">
        <v>616</v>
      </c>
      <c r="K738" s="25">
        <v>0.1</v>
      </c>
      <c r="L738" s="22" t="s">
        <v>30</v>
      </c>
      <c r="M738" s="23" t="s">
        <v>61</v>
      </c>
    </row>
    <row r="739" spans="1:13" x14ac:dyDescent="0.35">
      <c r="A739" s="22" t="s">
        <v>895</v>
      </c>
      <c r="B739" s="22" t="s">
        <v>1821</v>
      </c>
      <c r="C739" s="22" t="s">
        <v>27</v>
      </c>
      <c r="D739" s="22" t="s">
        <v>28</v>
      </c>
      <c r="E739" s="22" t="s">
        <v>29</v>
      </c>
      <c r="F739" s="22" t="s">
        <v>25</v>
      </c>
      <c r="G739" s="22" t="s">
        <v>21</v>
      </c>
      <c r="H739" s="22">
        <v>45</v>
      </c>
      <c r="I739" s="24">
        <v>39801</v>
      </c>
      <c r="J739" s="27">
        <v>610</v>
      </c>
      <c r="K739" s="25">
        <v>0</v>
      </c>
      <c r="L739" s="22" t="s">
        <v>30</v>
      </c>
      <c r="M739" s="23" t="s">
        <v>52</v>
      </c>
    </row>
    <row r="740" spans="1:13" x14ac:dyDescent="0.35">
      <c r="A740" s="22" t="s">
        <v>896</v>
      </c>
      <c r="B740" s="22" t="s">
        <v>1822</v>
      </c>
      <c r="C740" s="22" t="s">
        <v>1111</v>
      </c>
      <c r="D740" s="22" t="s">
        <v>24</v>
      </c>
      <c r="E740" s="22" t="s">
        <v>29</v>
      </c>
      <c r="F740" s="22" t="s">
        <v>15</v>
      </c>
      <c r="G740" s="22" t="s">
        <v>21</v>
      </c>
      <c r="H740" s="22">
        <v>33</v>
      </c>
      <c r="I740" s="24">
        <v>43364</v>
      </c>
      <c r="J740" s="27">
        <v>664</v>
      </c>
      <c r="K740" s="25">
        <v>0.12</v>
      </c>
      <c r="L740" s="22" t="s">
        <v>30</v>
      </c>
      <c r="M740" s="23" t="s">
        <v>65</v>
      </c>
    </row>
    <row r="741" spans="1:13" x14ac:dyDescent="0.35">
      <c r="A741" s="22" t="s">
        <v>897</v>
      </c>
      <c r="B741" s="22" t="s">
        <v>1823</v>
      </c>
      <c r="C741" s="22" t="s">
        <v>1111</v>
      </c>
      <c r="D741" s="22" t="s">
        <v>24</v>
      </c>
      <c r="E741" s="22" t="s">
        <v>1102</v>
      </c>
      <c r="F741" s="22" t="s">
        <v>25</v>
      </c>
      <c r="G741" s="22" t="s">
        <v>21</v>
      </c>
      <c r="H741" s="22">
        <v>43</v>
      </c>
      <c r="I741" s="24">
        <v>40998</v>
      </c>
      <c r="J741" s="27">
        <v>941</v>
      </c>
      <c r="K741" s="25">
        <v>0.12</v>
      </c>
      <c r="L741" s="22" t="s">
        <v>30</v>
      </c>
      <c r="M741" s="23" t="s">
        <v>65</v>
      </c>
    </row>
    <row r="742" spans="1:13" x14ac:dyDescent="0.35">
      <c r="A742" s="22" t="s">
        <v>898</v>
      </c>
      <c r="B742" s="22" t="s">
        <v>1824</v>
      </c>
      <c r="C742" s="22" t="s">
        <v>55</v>
      </c>
      <c r="D742" s="22" t="s">
        <v>43</v>
      </c>
      <c r="E742" s="22" t="s">
        <v>33</v>
      </c>
      <c r="F742" s="22" t="s">
        <v>15</v>
      </c>
      <c r="G742" s="22" t="s">
        <v>16</v>
      </c>
      <c r="H742" s="22">
        <v>62</v>
      </c>
      <c r="I742" s="24">
        <v>42316</v>
      </c>
      <c r="J742" s="27">
        <v>816</v>
      </c>
      <c r="K742" s="25">
        <v>0</v>
      </c>
      <c r="L742" s="22" t="s">
        <v>17</v>
      </c>
      <c r="M742" s="23" t="s">
        <v>18</v>
      </c>
    </row>
    <row r="743" spans="1:13" x14ac:dyDescent="0.35">
      <c r="A743" s="22" t="s">
        <v>899</v>
      </c>
      <c r="B743" s="22" t="s">
        <v>1825</v>
      </c>
      <c r="C743" s="22" t="s">
        <v>1111</v>
      </c>
      <c r="D743" s="22" t="s">
        <v>39</v>
      </c>
      <c r="E743" s="22" t="s">
        <v>1102</v>
      </c>
      <c r="F743" s="22" t="s">
        <v>15</v>
      </c>
      <c r="G743" s="22" t="s">
        <v>44</v>
      </c>
      <c r="H743" s="22">
        <v>36</v>
      </c>
      <c r="I743" s="24">
        <v>43473</v>
      </c>
      <c r="J743" s="27">
        <v>515</v>
      </c>
      <c r="K743" s="25">
        <v>0.1</v>
      </c>
      <c r="L743" s="22" t="s">
        <v>45</v>
      </c>
      <c r="M743" s="23" t="s">
        <v>1134</v>
      </c>
    </row>
    <row r="744" spans="1:13" x14ac:dyDescent="0.35">
      <c r="A744" s="22" t="s">
        <v>64</v>
      </c>
      <c r="B744" s="22" t="s">
        <v>1826</v>
      </c>
      <c r="C744" s="22" t="s">
        <v>57</v>
      </c>
      <c r="D744" s="22" t="s">
        <v>43</v>
      </c>
      <c r="E744" s="22" t="s">
        <v>29</v>
      </c>
      <c r="F744" s="22" t="s">
        <v>15</v>
      </c>
      <c r="G744" s="22" t="s">
        <v>44</v>
      </c>
      <c r="H744" s="22">
        <v>36</v>
      </c>
      <c r="I744" s="24">
        <v>44010</v>
      </c>
      <c r="J744" s="27">
        <v>766</v>
      </c>
      <c r="K744" s="25">
        <v>0</v>
      </c>
      <c r="L744" s="22" t="s">
        <v>17</v>
      </c>
      <c r="M744" s="23" t="s">
        <v>35</v>
      </c>
    </row>
    <row r="745" spans="1:13" x14ac:dyDescent="0.35">
      <c r="A745" s="22" t="s">
        <v>900</v>
      </c>
      <c r="B745" s="22" t="s">
        <v>1827</v>
      </c>
      <c r="C745" s="22" t="s">
        <v>83</v>
      </c>
      <c r="D745" s="22" t="s">
        <v>28</v>
      </c>
      <c r="E745" s="22" t="s">
        <v>33</v>
      </c>
      <c r="F745" s="22" t="s">
        <v>15</v>
      </c>
      <c r="G745" s="22" t="s">
        <v>21</v>
      </c>
      <c r="H745" s="22">
        <v>31</v>
      </c>
      <c r="I745" s="24">
        <v>44751</v>
      </c>
      <c r="J745" s="27">
        <v>802</v>
      </c>
      <c r="K745" s="25">
        <v>0</v>
      </c>
      <c r="L745" s="22" t="s">
        <v>17</v>
      </c>
      <c r="M745" s="23" t="s">
        <v>35</v>
      </c>
    </row>
    <row r="746" spans="1:13" x14ac:dyDescent="0.35">
      <c r="A746" s="22" t="s">
        <v>901</v>
      </c>
      <c r="B746" s="22" t="s">
        <v>1828</v>
      </c>
      <c r="C746" s="22" t="s">
        <v>76</v>
      </c>
      <c r="D746" s="22" t="s">
        <v>28</v>
      </c>
      <c r="E746" s="22" t="s">
        <v>33</v>
      </c>
      <c r="F746" s="22" t="s">
        <v>25</v>
      </c>
      <c r="G746" s="22" t="s">
        <v>21</v>
      </c>
      <c r="H746" s="22">
        <v>62</v>
      </c>
      <c r="I746" s="24">
        <v>37968</v>
      </c>
      <c r="J746" s="27">
        <v>898</v>
      </c>
      <c r="K746" s="25">
        <v>0.14000000000000001</v>
      </c>
      <c r="L746" s="22" t="s">
        <v>30</v>
      </c>
      <c r="M746" s="23" t="s">
        <v>65</v>
      </c>
    </row>
    <row r="747" spans="1:13" x14ac:dyDescent="0.35">
      <c r="A747" s="22" t="s">
        <v>171</v>
      </c>
      <c r="B747" s="22" t="s">
        <v>1829</v>
      </c>
      <c r="C747" s="22" t="s">
        <v>57</v>
      </c>
      <c r="D747" s="22" t="s">
        <v>56</v>
      </c>
      <c r="E747" s="22" t="s">
        <v>14</v>
      </c>
      <c r="F747" s="22" t="s">
        <v>25</v>
      </c>
      <c r="G747" s="22" t="s">
        <v>21</v>
      </c>
      <c r="H747" s="22">
        <v>30</v>
      </c>
      <c r="I747" s="24">
        <v>43386</v>
      </c>
      <c r="J747" s="27">
        <v>512</v>
      </c>
      <c r="K747" s="25">
        <v>0</v>
      </c>
      <c r="L747" s="22" t="s">
        <v>30</v>
      </c>
      <c r="M747" s="23" t="s">
        <v>31</v>
      </c>
    </row>
    <row r="748" spans="1:13" x14ac:dyDescent="0.35">
      <c r="A748" s="22" t="s">
        <v>217</v>
      </c>
      <c r="B748" s="22" t="s">
        <v>1830</v>
      </c>
      <c r="C748" s="22" t="s">
        <v>34</v>
      </c>
      <c r="D748" s="22" t="s">
        <v>24</v>
      </c>
      <c r="E748" s="22" t="s">
        <v>1102</v>
      </c>
      <c r="F748" s="22" t="s">
        <v>15</v>
      </c>
      <c r="G748" s="22" t="s">
        <v>16</v>
      </c>
      <c r="H748" s="22">
        <v>46</v>
      </c>
      <c r="I748" s="24">
        <v>44569</v>
      </c>
      <c r="J748" s="27">
        <v>854</v>
      </c>
      <c r="K748" s="25">
        <v>0</v>
      </c>
      <c r="L748" s="22" t="s">
        <v>17</v>
      </c>
      <c r="M748" s="23" t="s">
        <v>54</v>
      </c>
    </row>
    <row r="749" spans="1:13" x14ac:dyDescent="0.35">
      <c r="A749" s="22" t="s">
        <v>902</v>
      </c>
      <c r="B749" s="22" t="s">
        <v>1831</v>
      </c>
      <c r="C749" s="22" t="s">
        <v>47</v>
      </c>
      <c r="D749" s="22" t="s">
        <v>24</v>
      </c>
      <c r="E749" s="22" t="s">
        <v>33</v>
      </c>
      <c r="F749" s="22" t="s">
        <v>15</v>
      </c>
      <c r="G749" s="22" t="s">
        <v>44</v>
      </c>
      <c r="H749" s="22">
        <v>38</v>
      </c>
      <c r="I749" s="24">
        <v>41329</v>
      </c>
      <c r="J749" s="27">
        <v>746</v>
      </c>
      <c r="K749" s="25">
        <v>0</v>
      </c>
      <c r="L749" s="22" t="s">
        <v>45</v>
      </c>
      <c r="M749" s="23" t="s">
        <v>46</v>
      </c>
    </row>
    <row r="750" spans="1:13" x14ac:dyDescent="0.35">
      <c r="A750" s="22" t="s">
        <v>903</v>
      </c>
      <c r="B750" s="22" t="s">
        <v>1832</v>
      </c>
      <c r="C750" s="22" t="s">
        <v>50</v>
      </c>
      <c r="D750" s="22" t="s">
        <v>28</v>
      </c>
      <c r="E750" s="22" t="s">
        <v>33</v>
      </c>
      <c r="F750" s="22" t="s">
        <v>15</v>
      </c>
      <c r="G750" s="22" t="s">
        <v>16</v>
      </c>
      <c r="H750" s="22">
        <v>58</v>
      </c>
      <c r="I750" s="24">
        <v>37613</v>
      </c>
      <c r="J750" s="27">
        <v>621</v>
      </c>
      <c r="K750" s="25">
        <v>0</v>
      </c>
      <c r="L750" s="22" t="s">
        <v>17</v>
      </c>
      <c r="M750" s="23" t="s">
        <v>26</v>
      </c>
    </row>
    <row r="751" spans="1:13" x14ac:dyDescent="0.35">
      <c r="A751" s="22" t="s">
        <v>904</v>
      </c>
      <c r="B751" s="22" t="s">
        <v>196</v>
      </c>
      <c r="C751" s="22" t="s">
        <v>23</v>
      </c>
      <c r="D751" s="22" t="s">
        <v>24</v>
      </c>
      <c r="E751" s="22" t="s">
        <v>1102</v>
      </c>
      <c r="F751" s="22" t="s">
        <v>15</v>
      </c>
      <c r="G751" s="22" t="s">
        <v>16</v>
      </c>
      <c r="H751" s="22">
        <v>27</v>
      </c>
      <c r="I751" s="24">
        <v>44687</v>
      </c>
      <c r="J751" s="27">
        <v>852</v>
      </c>
      <c r="K751" s="25">
        <v>0</v>
      </c>
      <c r="L751" s="22" t="s">
        <v>17</v>
      </c>
      <c r="M751" s="23" t="s">
        <v>40</v>
      </c>
    </row>
    <row r="752" spans="1:13" x14ac:dyDescent="0.35">
      <c r="A752" s="22" t="s">
        <v>905</v>
      </c>
      <c r="B752" s="22" t="s">
        <v>1833</v>
      </c>
      <c r="C752" s="22" t="s">
        <v>1111</v>
      </c>
      <c r="D752" s="22" t="s">
        <v>20</v>
      </c>
      <c r="E752" s="22" t="s">
        <v>1102</v>
      </c>
      <c r="F752" s="22" t="s">
        <v>25</v>
      </c>
      <c r="G752" s="22" t="s">
        <v>44</v>
      </c>
      <c r="H752" s="22">
        <v>61</v>
      </c>
      <c r="I752" s="24">
        <v>34089</v>
      </c>
      <c r="J752" s="27">
        <v>966</v>
      </c>
      <c r="K752" s="25">
        <v>0.11</v>
      </c>
      <c r="L752" s="22" t="s">
        <v>17</v>
      </c>
      <c r="M752" s="23" t="s">
        <v>40</v>
      </c>
    </row>
    <row r="753" spans="1:13" x14ac:dyDescent="0.35">
      <c r="A753" s="22" t="s">
        <v>906</v>
      </c>
      <c r="B753" s="22" t="s">
        <v>1834</v>
      </c>
      <c r="C753" s="22" t="s">
        <v>57</v>
      </c>
      <c r="D753" s="22" t="s">
        <v>13</v>
      </c>
      <c r="E753" s="22" t="s">
        <v>1102</v>
      </c>
      <c r="F753" s="22" t="s">
        <v>25</v>
      </c>
      <c r="G753" s="22" t="s">
        <v>21</v>
      </c>
      <c r="H753" s="22">
        <v>64</v>
      </c>
      <c r="I753" s="24">
        <v>42703</v>
      </c>
      <c r="J753" s="27">
        <v>929</v>
      </c>
      <c r="K753" s="25">
        <v>0</v>
      </c>
      <c r="L753" s="22" t="s">
        <v>30</v>
      </c>
      <c r="M753" s="23" t="s">
        <v>65</v>
      </c>
    </row>
    <row r="754" spans="1:13" x14ac:dyDescent="0.35">
      <c r="A754" s="22" t="s">
        <v>907</v>
      </c>
      <c r="B754" s="22" t="s">
        <v>1835</v>
      </c>
      <c r="C754" s="22" t="s">
        <v>77</v>
      </c>
      <c r="D754" s="22" t="s">
        <v>24</v>
      </c>
      <c r="E754" s="22" t="s">
        <v>29</v>
      </c>
      <c r="F754" s="22" t="s">
        <v>25</v>
      </c>
      <c r="G754" s="22" t="s">
        <v>16</v>
      </c>
      <c r="H754" s="22">
        <v>65</v>
      </c>
      <c r="I754" s="24">
        <v>42170</v>
      </c>
      <c r="J754" s="27">
        <v>787</v>
      </c>
      <c r="K754" s="25">
        <v>0</v>
      </c>
      <c r="L754" s="22" t="s">
        <v>17</v>
      </c>
      <c r="M754" s="23" t="s">
        <v>54</v>
      </c>
    </row>
    <row r="755" spans="1:13" x14ac:dyDescent="0.35">
      <c r="A755" s="22" t="s">
        <v>908</v>
      </c>
      <c r="B755" s="22" t="s">
        <v>1836</v>
      </c>
      <c r="C755" s="22" t="s">
        <v>1111</v>
      </c>
      <c r="D755" s="22" t="s">
        <v>24</v>
      </c>
      <c r="E755" s="22" t="s">
        <v>33</v>
      </c>
      <c r="F755" s="22" t="s">
        <v>15</v>
      </c>
      <c r="G755" s="22" t="s">
        <v>16</v>
      </c>
      <c r="H755" s="22">
        <v>37</v>
      </c>
      <c r="I755" s="24">
        <v>44518</v>
      </c>
      <c r="J755" s="27">
        <v>639</v>
      </c>
      <c r="K755" s="25">
        <v>0.13</v>
      </c>
      <c r="L755" s="22" t="s">
        <v>17</v>
      </c>
      <c r="M755" s="23" t="s">
        <v>54</v>
      </c>
    </row>
    <row r="756" spans="1:13" x14ac:dyDescent="0.35">
      <c r="A756" s="22" t="s">
        <v>909</v>
      </c>
      <c r="B756" s="22" t="s">
        <v>1837</v>
      </c>
      <c r="C756" s="22" t="s">
        <v>12</v>
      </c>
      <c r="D756" s="22" t="s">
        <v>56</v>
      </c>
      <c r="E756" s="22" t="s">
        <v>1102</v>
      </c>
      <c r="F756" s="22" t="s">
        <v>25</v>
      </c>
      <c r="G756" s="22" t="s">
        <v>44</v>
      </c>
      <c r="H756" s="22">
        <v>54</v>
      </c>
      <c r="I756" s="24">
        <v>34581</v>
      </c>
      <c r="J756" s="27">
        <v>503</v>
      </c>
      <c r="K756" s="25">
        <v>0.34</v>
      </c>
      <c r="L756" s="22" t="s">
        <v>45</v>
      </c>
      <c r="M756" s="23" t="s">
        <v>1134</v>
      </c>
    </row>
    <row r="757" spans="1:13" x14ac:dyDescent="0.35">
      <c r="A757" s="22" t="s">
        <v>910</v>
      </c>
      <c r="B757" s="22" t="s">
        <v>1737</v>
      </c>
      <c r="C757" s="22" t="s">
        <v>77</v>
      </c>
      <c r="D757" s="22" t="s">
        <v>24</v>
      </c>
      <c r="E757" s="22" t="s">
        <v>1102</v>
      </c>
      <c r="F757" s="22" t="s">
        <v>25</v>
      </c>
      <c r="G757" s="22" t="s">
        <v>21</v>
      </c>
      <c r="H757" s="22">
        <v>54</v>
      </c>
      <c r="I757" s="24">
        <v>39843</v>
      </c>
      <c r="J757" s="27">
        <v>846</v>
      </c>
      <c r="K757" s="25">
        <v>0</v>
      </c>
      <c r="L757" s="22" t="s">
        <v>17</v>
      </c>
      <c r="M757" s="23" t="s">
        <v>54</v>
      </c>
    </row>
    <row r="758" spans="1:13" x14ac:dyDescent="0.35">
      <c r="A758" s="22" t="s">
        <v>911</v>
      </c>
      <c r="B758" s="22" t="s">
        <v>1838</v>
      </c>
      <c r="C758" s="22" t="s">
        <v>55</v>
      </c>
      <c r="D758" s="22" t="s">
        <v>13</v>
      </c>
      <c r="E758" s="22" t="s">
        <v>1102</v>
      </c>
      <c r="F758" s="22" t="s">
        <v>15</v>
      </c>
      <c r="G758" s="22" t="s">
        <v>21</v>
      </c>
      <c r="H758" s="22">
        <v>26</v>
      </c>
      <c r="I758" s="24">
        <v>44920</v>
      </c>
      <c r="J758" s="27">
        <v>855</v>
      </c>
      <c r="K758" s="25">
        <v>0</v>
      </c>
      <c r="L758" s="22" t="s">
        <v>30</v>
      </c>
      <c r="M758" s="23" t="s">
        <v>31</v>
      </c>
    </row>
    <row r="759" spans="1:13" x14ac:dyDescent="0.35">
      <c r="A759" s="22" t="s">
        <v>912</v>
      </c>
      <c r="B759" s="22" t="s">
        <v>1839</v>
      </c>
      <c r="C759" s="22" t="s">
        <v>12</v>
      </c>
      <c r="D759" s="22" t="s">
        <v>39</v>
      </c>
      <c r="E759" s="22" t="s">
        <v>29</v>
      </c>
      <c r="F759" s="22" t="s">
        <v>15</v>
      </c>
      <c r="G759" s="22" t="s">
        <v>44</v>
      </c>
      <c r="H759" s="22">
        <v>29</v>
      </c>
      <c r="I759" s="24">
        <v>44237</v>
      </c>
      <c r="J759" s="27">
        <v>839</v>
      </c>
      <c r="K759" s="25">
        <v>0.36</v>
      </c>
      <c r="L759" s="22" t="s">
        <v>17</v>
      </c>
      <c r="M759" s="23" t="s">
        <v>35</v>
      </c>
    </row>
    <row r="760" spans="1:13" x14ac:dyDescent="0.35">
      <c r="A760" s="22" t="s">
        <v>913</v>
      </c>
      <c r="B760" s="22" t="s">
        <v>1840</v>
      </c>
      <c r="C760" s="22" t="s">
        <v>12</v>
      </c>
      <c r="D760" s="22" t="s">
        <v>20</v>
      </c>
      <c r="E760" s="22" t="s">
        <v>29</v>
      </c>
      <c r="F760" s="22" t="s">
        <v>25</v>
      </c>
      <c r="G760" s="22" t="s">
        <v>16</v>
      </c>
      <c r="H760" s="22">
        <v>37</v>
      </c>
      <c r="I760" s="24">
        <v>42045</v>
      </c>
      <c r="J760" s="27">
        <v>834</v>
      </c>
      <c r="K760" s="25">
        <v>0.32</v>
      </c>
      <c r="L760" s="22" t="s">
        <v>17</v>
      </c>
      <c r="M760" s="23" t="s">
        <v>18</v>
      </c>
    </row>
    <row r="761" spans="1:13" x14ac:dyDescent="0.35">
      <c r="A761" s="22" t="s">
        <v>163</v>
      </c>
      <c r="B761" s="22" t="s">
        <v>1841</v>
      </c>
      <c r="C761" s="22" t="s">
        <v>36</v>
      </c>
      <c r="D761" s="22" t="s">
        <v>56</v>
      </c>
      <c r="E761" s="22" t="s">
        <v>14</v>
      </c>
      <c r="F761" s="22" t="s">
        <v>15</v>
      </c>
      <c r="G761" s="22" t="s">
        <v>41</v>
      </c>
      <c r="H761" s="22">
        <v>37</v>
      </c>
      <c r="I761" s="24">
        <v>40664</v>
      </c>
      <c r="J761" s="27">
        <v>625</v>
      </c>
      <c r="K761" s="25">
        <v>0.27</v>
      </c>
      <c r="L761" s="22" t="s">
        <v>17</v>
      </c>
      <c r="M761" s="23" t="s">
        <v>18</v>
      </c>
    </row>
    <row r="762" spans="1:13" x14ac:dyDescent="0.35">
      <c r="A762" s="22" t="s">
        <v>914</v>
      </c>
      <c r="B762" s="22" t="s">
        <v>1842</v>
      </c>
      <c r="C762" s="22" t="s">
        <v>1111</v>
      </c>
      <c r="D762" s="22" t="s">
        <v>39</v>
      </c>
      <c r="E762" s="22" t="s">
        <v>14</v>
      </c>
      <c r="F762" s="22" t="s">
        <v>25</v>
      </c>
      <c r="G762" s="22" t="s">
        <v>44</v>
      </c>
      <c r="H762" s="22">
        <v>62</v>
      </c>
      <c r="I762" s="24">
        <v>36700</v>
      </c>
      <c r="J762" s="27">
        <v>903</v>
      </c>
      <c r="K762" s="25">
        <v>0.14000000000000001</v>
      </c>
      <c r="L762" s="22" t="s">
        <v>45</v>
      </c>
      <c r="M762" s="23" t="s">
        <v>1134</v>
      </c>
    </row>
    <row r="763" spans="1:13" x14ac:dyDescent="0.35">
      <c r="A763" s="22" t="s">
        <v>915</v>
      </c>
      <c r="B763" s="22" t="s">
        <v>1843</v>
      </c>
      <c r="C763" s="22" t="s">
        <v>27</v>
      </c>
      <c r="D763" s="22" t="s">
        <v>28</v>
      </c>
      <c r="E763" s="22" t="s">
        <v>29</v>
      </c>
      <c r="F763" s="22" t="s">
        <v>25</v>
      </c>
      <c r="G763" s="22" t="s">
        <v>21</v>
      </c>
      <c r="H763" s="22">
        <v>53</v>
      </c>
      <c r="I763" s="24">
        <v>36129</v>
      </c>
      <c r="J763" s="27">
        <v>846</v>
      </c>
      <c r="K763" s="25">
        <v>0</v>
      </c>
      <c r="L763" s="22" t="s">
        <v>17</v>
      </c>
      <c r="M763" s="23" t="s">
        <v>18</v>
      </c>
    </row>
    <row r="764" spans="1:13" x14ac:dyDescent="0.35">
      <c r="A764" s="22" t="s">
        <v>916</v>
      </c>
      <c r="B764" s="22" t="s">
        <v>1844</v>
      </c>
      <c r="C764" s="22" t="s">
        <v>38</v>
      </c>
      <c r="D764" s="22" t="s">
        <v>39</v>
      </c>
      <c r="E764" s="22" t="s">
        <v>33</v>
      </c>
      <c r="F764" s="22" t="s">
        <v>25</v>
      </c>
      <c r="G764" s="22" t="s">
        <v>44</v>
      </c>
      <c r="H764" s="22">
        <v>65</v>
      </c>
      <c r="I764" s="24">
        <v>38329</v>
      </c>
      <c r="J764" s="27">
        <v>770</v>
      </c>
      <c r="K764" s="25">
        <v>0</v>
      </c>
      <c r="L764" s="22" t="s">
        <v>17</v>
      </c>
      <c r="M764" s="23" t="s">
        <v>35</v>
      </c>
    </row>
    <row r="765" spans="1:13" x14ac:dyDescent="0.35">
      <c r="A765" s="22" t="s">
        <v>917</v>
      </c>
      <c r="B765" s="22" t="s">
        <v>1845</v>
      </c>
      <c r="C765" s="22" t="s">
        <v>12</v>
      </c>
      <c r="D765" s="22" t="s">
        <v>24</v>
      </c>
      <c r="E765" s="22" t="s">
        <v>33</v>
      </c>
      <c r="F765" s="22" t="s">
        <v>25</v>
      </c>
      <c r="G765" s="22" t="s">
        <v>44</v>
      </c>
      <c r="H765" s="22">
        <v>36</v>
      </c>
      <c r="I765" s="24">
        <v>44266</v>
      </c>
      <c r="J765" s="27">
        <v>682</v>
      </c>
      <c r="K765" s="25">
        <v>0.34</v>
      </c>
      <c r="L765" s="22" t="s">
        <v>45</v>
      </c>
      <c r="M765" s="23" t="s">
        <v>1134</v>
      </c>
    </row>
    <row r="766" spans="1:13" x14ac:dyDescent="0.35">
      <c r="A766" s="22" t="s">
        <v>918</v>
      </c>
      <c r="B766" s="22" t="s">
        <v>1846</v>
      </c>
      <c r="C766" s="22" t="s">
        <v>38</v>
      </c>
      <c r="D766" s="22" t="s">
        <v>39</v>
      </c>
      <c r="E766" s="22" t="s">
        <v>1102</v>
      </c>
      <c r="F766" s="22" t="s">
        <v>15</v>
      </c>
      <c r="G766" s="22" t="s">
        <v>44</v>
      </c>
      <c r="H766" s="22">
        <v>46</v>
      </c>
      <c r="I766" s="24">
        <v>40499</v>
      </c>
      <c r="J766" s="27">
        <v>818</v>
      </c>
      <c r="K766" s="25">
        <v>0</v>
      </c>
      <c r="L766" s="22" t="s">
        <v>45</v>
      </c>
      <c r="M766" s="23" t="s">
        <v>1134</v>
      </c>
    </row>
    <row r="767" spans="1:13" x14ac:dyDescent="0.35">
      <c r="A767" s="22" t="s">
        <v>919</v>
      </c>
      <c r="B767" s="22" t="s">
        <v>1847</v>
      </c>
      <c r="C767" s="22" t="s">
        <v>67</v>
      </c>
      <c r="D767" s="22" t="s">
        <v>24</v>
      </c>
      <c r="E767" s="22" t="s">
        <v>1102</v>
      </c>
      <c r="F767" s="22" t="s">
        <v>15</v>
      </c>
      <c r="G767" s="22" t="s">
        <v>44</v>
      </c>
      <c r="H767" s="22">
        <v>55</v>
      </c>
      <c r="I767" s="24">
        <v>43449</v>
      </c>
      <c r="J767" s="27">
        <v>566</v>
      </c>
      <c r="K767" s="25">
        <v>0</v>
      </c>
      <c r="L767" s="22" t="s">
        <v>45</v>
      </c>
      <c r="M767" s="23" t="s">
        <v>66</v>
      </c>
    </row>
    <row r="768" spans="1:13" x14ac:dyDescent="0.35">
      <c r="A768" s="22" t="s">
        <v>920</v>
      </c>
      <c r="B768" s="22" t="s">
        <v>1848</v>
      </c>
      <c r="C768" s="22" t="s">
        <v>27</v>
      </c>
      <c r="D768" s="22" t="s">
        <v>28</v>
      </c>
      <c r="E768" s="22" t="s">
        <v>1102</v>
      </c>
      <c r="F768" s="22" t="s">
        <v>15</v>
      </c>
      <c r="G768" s="22" t="s">
        <v>41</v>
      </c>
      <c r="H768" s="22">
        <v>63</v>
      </c>
      <c r="I768" s="24">
        <v>41551</v>
      </c>
      <c r="J768" s="27">
        <v>946</v>
      </c>
      <c r="K768" s="25">
        <v>0</v>
      </c>
      <c r="L768" s="22" t="s">
        <v>17</v>
      </c>
      <c r="M768" s="23" t="s">
        <v>40</v>
      </c>
    </row>
    <row r="769" spans="1:13" x14ac:dyDescent="0.35">
      <c r="A769" s="22" t="s">
        <v>193</v>
      </c>
      <c r="B769" s="22" t="s">
        <v>1849</v>
      </c>
      <c r="C769" s="22" t="s">
        <v>83</v>
      </c>
      <c r="D769" s="22" t="s">
        <v>28</v>
      </c>
      <c r="E769" s="22" t="s">
        <v>14</v>
      </c>
      <c r="F769" s="22" t="s">
        <v>15</v>
      </c>
      <c r="G769" s="22" t="s">
        <v>21</v>
      </c>
      <c r="H769" s="22">
        <v>54</v>
      </c>
      <c r="I769" s="24">
        <v>37677</v>
      </c>
      <c r="J769" s="27">
        <v>861</v>
      </c>
      <c r="K769" s="25">
        <v>0</v>
      </c>
      <c r="L769" s="22" t="s">
        <v>30</v>
      </c>
      <c r="M769" s="23" t="s">
        <v>61</v>
      </c>
    </row>
    <row r="770" spans="1:13" x14ac:dyDescent="0.35">
      <c r="A770" s="22" t="s">
        <v>92</v>
      </c>
      <c r="B770" s="22" t="s">
        <v>1850</v>
      </c>
      <c r="C770" s="22" t="s">
        <v>60</v>
      </c>
      <c r="D770" s="22" t="s">
        <v>24</v>
      </c>
      <c r="E770" s="22" t="s">
        <v>14</v>
      </c>
      <c r="F770" s="22" t="s">
        <v>15</v>
      </c>
      <c r="G770" s="22" t="s">
        <v>16</v>
      </c>
      <c r="H770" s="22">
        <v>26</v>
      </c>
      <c r="I770" s="24">
        <v>43879</v>
      </c>
      <c r="J770" s="27">
        <v>547</v>
      </c>
      <c r="K770" s="25">
        <v>0</v>
      </c>
      <c r="L770" s="22" t="s">
        <v>17</v>
      </c>
      <c r="M770" s="23" t="s">
        <v>40</v>
      </c>
    </row>
    <row r="771" spans="1:13" x14ac:dyDescent="0.35">
      <c r="A771" s="22" t="s">
        <v>921</v>
      </c>
      <c r="B771" s="22" t="s">
        <v>1851</v>
      </c>
      <c r="C771" s="22" t="s">
        <v>38</v>
      </c>
      <c r="D771" s="22" t="s">
        <v>56</v>
      </c>
      <c r="E771" s="22" t="s">
        <v>29</v>
      </c>
      <c r="F771" s="22" t="s">
        <v>25</v>
      </c>
      <c r="G771" s="22" t="s">
        <v>16</v>
      </c>
      <c r="H771" s="22">
        <v>26</v>
      </c>
      <c r="I771" s="24">
        <v>44688</v>
      </c>
      <c r="J771" s="27">
        <v>755</v>
      </c>
      <c r="K771" s="25">
        <v>0</v>
      </c>
      <c r="L771" s="22" t="s">
        <v>17</v>
      </c>
      <c r="M771" s="23" t="s">
        <v>26</v>
      </c>
    </row>
    <row r="772" spans="1:13" x14ac:dyDescent="0.35">
      <c r="A772" s="22" t="s">
        <v>922</v>
      </c>
      <c r="B772" s="22" t="s">
        <v>1852</v>
      </c>
      <c r="C772" s="22" t="s">
        <v>55</v>
      </c>
      <c r="D772" s="22" t="s">
        <v>43</v>
      </c>
      <c r="E772" s="22" t="s">
        <v>29</v>
      </c>
      <c r="F772" s="22" t="s">
        <v>15</v>
      </c>
      <c r="G772" s="22" t="s">
        <v>44</v>
      </c>
      <c r="H772" s="22">
        <v>34</v>
      </c>
      <c r="I772" s="24">
        <v>41007</v>
      </c>
      <c r="J772" s="27">
        <v>581</v>
      </c>
      <c r="K772" s="25">
        <v>0</v>
      </c>
      <c r="L772" s="22" t="s">
        <v>45</v>
      </c>
      <c r="M772" s="23" t="s">
        <v>66</v>
      </c>
    </row>
    <row r="773" spans="1:13" x14ac:dyDescent="0.35">
      <c r="A773" s="22" t="s">
        <v>923</v>
      </c>
      <c r="B773" s="22" t="s">
        <v>1853</v>
      </c>
      <c r="C773" s="22" t="s">
        <v>12</v>
      </c>
      <c r="D773" s="22" t="s">
        <v>28</v>
      </c>
      <c r="E773" s="22" t="s">
        <v>33</v>
      </c>
      <c r="F773" s="22" t="s">
        <v>15</v>
      </c>
      <c r="G773" s="22" t="s">
        <v>21</v>
      </c>
      <c r="H773" s="22">
        <v>48</v>
      </c>
      <c r="I773" s="24">
        <v>39912</v>
      </c>
      <c r="J773" s="27">
        <v>615</v>
      </c>
      <c r="K773" s="25">
        <v>0.33</v>
      </c>
      <c r="L773" s="22" t="s">
        <v>30</v>
      </c>
      <c r="M773" s="23" t="s">
        <v>61</v>
      </c>
    </row>
    <row r="774" spans="1:13" x14ac:dyDescent="0.35">
      <c r="A774" s="22" t="s">
        <v>924</v>
      </c>
      <c r="B774" s="22" t="s">
        <v>1854</v>
      </c>
      <c r="C774" s="22" t="s">
        <v>23</v>
      </c>
      <c r="D774" s="22" t="s">
        <v>24</v>
      </c>
      <c r="E774" s="22" t="s">
        <v>33</v>
      </c>
      <c r="F774" s="22" t="s">
        <v>25</v>
      </c>
      <c r="G774" s="22" t="s">
        <v>16</v>
      </c>
      <c r="H774" s="22">
        <v>52</v>
      </c>
      <c r="I774" s="24">
        <v>43363</v>
      </c>
      <c r="J774" s="27">
        <v>501</v>
      </c>
      <c r="K774" s="25">
        <v>0</v>
      </c>
      <c r="L774" s="22" t="s">
        <v>17</v>
      </c>
      <c r="M774" s="23" t="s">
        <v>22</v>
      </c>
    </row>
    <row r="775" spans="1:13" x14ac:dyDescent="0.35">
      <c r="A775" s="22" t="s">
        <v>925</v>
      </c>
      <c r="B775" s="22" t="s">
        <v>1855</v>
      </c>
      <c r="C775" s="22" t="s">
        <v>57</v>
      </c>
      <c r="D775" s="22" t="s">
        <v>56</v>
      </c>
      <c r="E775" s="22" t="s">
        <v>1102</v>
      </c>
      <c r="F775" s="22" t="s">
        <v>15</v>
      </c>
      <c r="G775" s="22" t="s">
        <v>44</v>
      </c>
      <c r="H775" s="22">
        <v>45</v>
      </c>
      <c r="I775" s="24">
        <v>38084</v>
      </c>
      <c r="J775" s="27">
        <v>591</v>
      </c>
      <c r="K775" s="25">
        <v>0</v>
      </c>
      <c r="L775" s="22" t="s">
        <v>45</v>
      </c>
      <c r="M775" s="23" t="s">
        <v>1134</v>
      </c>
    </row>
    <row r="776" spans="1:13" x14ac:dyDescent="0.35">
      <c r="A776" s="22" t="s">
        <v>926</v>
      </c>
      <c r="B776" s="22" t="s">
        <v>1205</v>
      </c>
      <c r="C776" s="22" t="s">
        <v>53</v>
      </c>
      <c r="D776" s="22" t="s">
        <v>13</v>
      </c>
      <c r="E776" s="22" t="s">
        <v>1102</v>
      </c>
      <c r="F776" s="22" t="s">
        <v>15</v>
      </c>
      <c r="G776" s="22" t="s">
        <v>44</v>
      </c>
      <c r="H776" s="22">
        <v>51</v>
      </c>
      <c r="I776" s="24">
        <v>41162</v>
      </c>
      <c r="J776" s="27">
        <v>533</v>
      </c>
      <c r="K776" s="25">
        <v>0.08</v>
      </c>
      <c r="L776" s="22" t="s">
        <v>17</v>
      </c>
      <c r="M776" s="23" t="s">
        <v>35</v>
      </c>
    </row>
    <row r="777" spans="1:13" x14ac:dyDescent="0.35">
      <c r="A777" s="22" t="s">
        <v>927</v>
      </c>
      <c r="B777" s="22" t="s">
        <v>1856</v>
      </c>
      <c r="C777" s="22" t="s">
        <v>74</v>
      </c>
      <c r="D777" s="22" t="s">
        <v>43</v>
      </c>
      <c r="E777" s="22" t="s">
        <v>1102</v>
      </c>
      <c r="F777" s="22" t="s">
        <v>15</v>
      </c>
      <c r="G777" s="22" t="s">
        <v>21</v>
      </c>
      <c r="H777" s="22">
        <v>43</v>
      </c>
      <c r="I777" s="24">
        <v>38990</v>
      </c>
      <c r="J777" s="27">
        <v>616</v>
      </c>
      <c r="K777" s="25">
        <v>0</v>
      </c>
      <c r="L777" s="22" t="s">
        <v>17</v>
      </c>
      <c r="M777" s="23" t="s">
        <v>40</v>
      </c>
    </row>
    <row r="778" spans="1:13" x14ac:dyDescent="0.35">
      <c r="A778" s="22" t="s">
        <v>928</v>
      </c>
      <c r="B778" s="22" t="s">
        <v>1857</v>
      </c>
      <c r="C778" s="22" t="s">
        <v>36</v>
      </c>
      <c r="D778" s="22" t="s">
        <v>56</v>
      </c>
      <c r="E778" s="22" t="s">
        <v>29</v>
      </c>
      <c r="F778" s="22" t="s">
        <v>25</v>
      </c>
      <c r="G778" s="22" t="s">
        <v>16</v>
      </c>
      <c r="H778" s="22">
        <v>54</v>
      </c>
      <c r="I778" s="24">
        <v>38029</v>
      </c>
      <c r="J778" s="27">
        <v>911</v>
      </c>
      <c r="K778" s="25">
        <v>0.16</v>
      </c>
      <c r="L778" s="22" t="s">
        <v>17</v>
      </c>
      <c r="M778" s="23" t="s">
        <v>22</v>
      </c>
    </row>
    <row r="779" spans="1:13" x14ac:dyDescent="0.35">
      <c r="A779" s="22" t="s">
        <v>929</v>
      </c>
      <c r="B779" s="22" t="s">
        <v>1858</v>
      </c>
      <c r="C779" s="22" t="s">
        <v>38</v>
      </c>
      <c r="D779" s="22" t="s">
        <v>43</v>
      </c>
      <c r="E779" s="22" t="s">
        <v>14</v>
      </c>
      <c r="F779" s="22" t="s">
        <v>15</v>
      </c>
      <c r="G779" s="22" t="s">
        <v>16</v>
      </c>
      <c r="H779" s="22">
        <v>54</v>
      </c>
      <c r="I779" s="24">
        <v>43446</v>
      </c>
      <c r="J779" s="27">
        <v>577</v>
      </c>
      <c r="K779" s="25">
        <v>0</v>
      </c>
      <c r="L779" s="22" t="s">
        <v>17</v>
      </c>
      <c r="M779" s="23" t="s">
        <v>26</v>
      </c>
    </row>
    <row r="780" spans="1:13" x14ac:dyDescent="0.35">
      <c r="A780" s="22" t="s">
        <v>930</v>
      </c>
      <c r="B780" s="22" t="s">
        <v>1859</v>
      </c>
      <c r="C780" s="22" t="s">
        <v>12</v>
      </c>
      <c r="D780" s="22" t="s">
        <v>56</v>
      </c>
      <c r="E780" s="22" t="s">
        <v>1102</v>
      </c>
      <c r="F780" s="22" t="s">
        <v>25</v>
      </c>
      <c r="G780" s="22" t="s">
        <v>16</v>
      </c>
      <c r="H780" s="22">
        <v>25</v>
      </c>
      <c r="I780" s="24">
        <v>44841</v>
      </c>
      <c r="J780" s="27">
        <v>720</v>
      </c>
      <c r="K780" s="25">
        <v>0.33</v>
      </c>
      <c r="L780" s="22" t="s">
        <v>17</v>
      </c>
      <c r="M780" s="23" t="s">
        <v>54</v>
      </c>
    </row>
    <row r="781" spans="1:13" x14ac:dyDescent="0.35">
      <c r="A781" s="22" t="s">
        <v>223</v>
      </c>
      <c r="B781" s="22" t="s">
        <v>1860</v>
      </c>
      <c r="C781" s="22" t="s">
        <v>55</v>
      </c>
      <c r="D781" s="22" t="s">
        <v>56</v>
      </c>
      <c r="E781" s="22" t="s">
        <v>33</v>
      </c>
      <c r="F781" s="22" t="s">
        <v>25</v>
      </c>
      <c r="G781" s="22" t="s">
        <v>44</v>
      </c>
      <c r="H781" s="22">
        <v>65</v>
      </c>
      <c r="I781" s="24">
        <v>35842</v>
      </c>
      <c r="J781" s="27">
        <v>864</v>
      </c>
      <c r="K781" s="25">
        <v>0</v>
      </c>
      <c r="L781" s="22" t="s">
        <v>45</v>
      </c>
      <c r="M781" s="23" t="s">
        <v>1134</v>
      </c>
    </row>
    <row r="782" spans="1:13" x14ac:dyDescent="0.35">
      <c r="A782" s="22" t="s">
        <v>931</v>
      </c>
      <c r="B782" s="22" t="s">
        <v>1861</v>
      </c>
      <c r="C782" s="22" t="s">
        <v>69</v>
      </c>
      <c r="D782" s="22" t="s">
        <v>28</v>
      </c>
      <c r="E782" s="22" t="s">
        <v>33</v>
      </c>
      <c r="F782" s="22" t="s">
        <v>25</v>
      </c>
      <c r="G782" s="22" t="s">
        <v>44</v>
      </c>
      <c r="H782" s="22">
        <v>40</v>
      </c>
      <c r="I782" s="24">
        <v>41831</v>
      </c>
      <c r="J782" s="27">
        <v>942</v>
      </c>
      <c r="K782" s="25">
        <v>0</v>
      </c>
      <c r="L782" s="22" t="s">
        <v>17</v>
      </c>
      <c r="M782" s="23" t="s">
        <v>40</v>
      </c>
    </row>
    <row r="783" spans="1:13" x14ac:dyDescent="0.35">
      <c r="A783" s="22" t="s">
        <v>131</v>
      </c>
      <c r="B783" s="22" t="s">
        <v>1862</v>
      </c>
      <c r="C783" s="22" t="s">
        <v>58</v>
      </c>
      <c r="D783" s="22" t="s">
        <v>28</v>
      </c>
      <c r="E783" s="22" t="s">
        <v>29</v>
      </c>
      <c r="F783" s="22" t="s">
        <v>25</v>
      </c>
      <c r="G783" s="22" t="s">
        <v>21</v>
      </c>
      <c r="H783" s="22">
        <v>31</v>
      </c>
      <c r="I783" s="24">
        <v>42106</v>
      </c>
      <c r="J783" s="27">
        <v>535</v>
      </c>
      <c r="K783" s="25">
        <v>0</v>
      </c>
      <c r="L783" s="22" t="s">
        <v>30</v>
      </c>
      <c r="M783" s="23" t="s">
        <v>52</v>
      </c>
    </row>
    <row r="784" spans="1:13" x14ac:dyDescent="0.35">
      <c r="A784" s="22" t="s">
        <v>932</v>
      </c>
      <c r="B784" s="22" t="s">
        <v>1863</v>
      </c>
      <c r="C784" s="22" t="s">
        <v>71</v>
      </c>
      <c r="D784" s="22" t="s">
        <v>24</v>
      </c>
      <c r="E784" s="22" t="s">
        <v>14</v>
      </c>
      <c r="F784" s="22" t="s">
        <v>25</v>
      </c>
      <c r="G784" s="22" t="s">
        <v>41</v>
      </c>
      <c r="H784" s="22">
        <v>45</v>
      </c>
      <c r="I784" s="24">
        <v>38550</v>
      </c>
      <c r="J784" s="27">
        <v>965</v>
      </c>
      <c r="K784" s="25">
        <v>0</v>
      </c>
      <c r="L784" s="22" t="s">
        <v>17</v>
      </c>
      <c r="M784" s="23" t="s">
        <v>22</v>
      </c>
    </row>
    <row r="785" spans="1:13" x14ac:dyDescent="0.35">
      <c r="A785" s="22" t="s">
        <v>933</v>
      </c>
      <c r="B785" s="22" t="s">
        <v>1864</v>
      </c>
      <c r="C785" s="22" t="s">
        <v>57</v>
      </c>
      <c r="D785" s="22" t="s">
        <v>43</v>
      </c>
      <c r="E785" s="22" t="s">
        <v>14</v>
      </c>
      <c r="F785" s="22" t="s">
        <v>25</v>
      </c>
      <c r="G785" s="22" t="s">
        <v>16</v>
      </c>
      <c r="H785" s="22">
        <v>40</v>
      </c>
      <c r="I785" s="24">
        <v>44454</v>
      </c>
      <c r="J785" s="27">
        <v>755</v>
      </c>
      <c r="K785" s="25">
        <v>0</v>
      </c>
      <c r="L785" s="22" t="s">
        <v>17</v>
      </c>
      <c r="M785" s="23" t="s">
        <v>22</v>
      </c>
    </row>
    <row r="786" spans="1:13" x14ac:dyDescent="0.35">
      <c r="A786" s="22" t="s">
        <v>934</v>
      </c>
      <c r="B786" s="22" t="s">
        <v>1865</v>
      </c>
      <c r="C786" s="22" t="s">
        <v>53</v>
      </c>
      <c r="D786" s="22" t="s">
        <v>39</v>
      </c>
      <c r="E786" s="22" t="s">
        <v>33</v>
      </c>
      <c r="F786" s="22" t="s">
        <v>25</v>
      </c>
      <c r="G786" s="22" t="s">
        <v>21</v>
      </c>
      <c r="H786" s="22">
        <v>25</v>
      </c>
      <c r="I786" s="24">
        <v>44538</v>
      </c>
      <c r="J786" s="27">
        <v>534</v>
      </c>
      <c r="K786" s="25">
        <v>0.06</v>
      </c>
      <c r="L786" s="22" t="s">
        <v>30</v>
      </c>
      <c r="M786" s="23" t="s">
        <v>31</v>
      </c>
    </row>
    <row r="787" spans="1:13" x14ac:dyDescent="0.35">
      <c r="A787" s="22" t="s">
        <v>935</v>
      </c>
      <c r="B787" s="22" t="s">
        <v>1866</v>
      </c>
      <c r="C787" s="22" t="s">
        <v>1111</v>
      </c>
      <c r="D787" s="22" t="s">
        <v>24</v>
      </c>
      <c r="E787" s="22" t="s">
        <v>14</v>
      </c>
      <c r="F787" s="22" t="s">
        <v>25</v>
      </c>
      <c r="G787" s="22" t="s">
        <v>44</v>
      </c>
      <c r="H787" s="22">
        <v>53</v>
      </c>
      <c r="I787" s="24">
        <v>36304</v>
      </c>
      <c r="J787" s="27">
        <v>905</v>
      </c>
      <c r="K787" s="25">
        <v>0.13</v>
      </c>
      <c r="L787" s="22" t="s">
        <v>17</v>
      </c>
      <c r="M787" s="23" t="s">
        <v>18</v>
      </c>
    </row>
    <row r="788" spans="1:13" x14ac:dyDescent="0.35">
      <c r="A788" s="22" t="s">
        <v>936</v>
      </c>
      <c r="B788" s="22" t="s">
        <v>1867</v>
      </c>
      <c r="C788" s="22" t="s">
        <v>36</v>
      </c>
      <c r="D788" s="22" t="s">
        <v>39</v>
      </c>
      <c r="E788" s="22" t="s">
        <v>29</v>
      </c>
      <c r="F788" s="22" t="s">
        <v>15</v>
      </c>
      <c r="G788" s="22" t="s">
        <v>44</v>
      </c>
      <c r="H788" s="22">
        <v>49</v>
      </c>
      <c r="I788" s="24">
        <v>41313</v>
      </c>
      <c r="J788" s="27">
        <v>724</v>
      </c>
      <c r="K788" s="25">
        <v>0.22</v>
      </c>
      <c r="L788" s="22" t="s">
        <v>17</v>
      </c>
      <c r="M788" s="23" t="s">
        <v>22</v>
      </c>
    </row>
    <row r="789" spans="1:13" x14ac:dyDescent="0.35">
      <c r="A789" s="22" t="s">
        <v>937</v>
      </c>
      <c r="B789" s="22" t="s">
        <v>1868</v>
      </c>
      <c r="C789" s="22" t="s">
        <v>12</v>
      </c>
      <c r="D789" s="22" t="s">
        <v>56</v>
      </c>
      <c r="E789" s="22" t="s">
        <v>14</v>
      </c>
      <c r="F789" s="22" t="s">
        <v>15</v>
      </c>
      <c r="G789" s="22" t="s">
        <v>21</v>
      </c>
      <c r="H789" s="22">
        <v>31</v>
      </c>
      <c r="I789" s="24">
        <v>44861</v>
      </c>
      <c r="J789" s="27">
        <v>826</v>
      </c>
      <c r="K789" s="25">
        <v>0.4</v>
      </c>
      <c r="L789" s="22" t="s">
        <v>17</v>
      </c>
      <c r="M789" s="23" t="s">
        <v>40</v>
      </c>
    </row>
    <row r="790" spans="1:13" x14ac:dyDescent="0.35">
      <c r="A790" s="22" t="s">
        <v>938</v>
      </c>
      <c r="B790" s="22" t="s">
        <v>1869</v>
      </c>
      <c r="C790" s="22" t="s">
        <v>32</v>
      </c>
      <c r="D790" s="22" t="s">
        <v>24</v>
      </c>
      <c r="E790" s="22" t="s">
        <v>1102</v>
      </c>
      <c r="F790" s="22" t="s">
        <v>15</v>
      </c>
      <c r="G790" s="22" t="s">
        <v>16</v>
      </c>
      <c r="H790" s="22">
        <v>33</v>
      </c>
      <c r="I790" s="24">
        <v>44139</v>
      </c>
      <c r="J790" s="27">
        <v>755</v>
      </c>
      <c r="K790" s="25">
        <v>0</v>
      </c>
      <c r="L790" s="22" t="s">
        <v>17</v>
      </c>
      <c r="M790" s="23" t="s">
        <v>40</v>
      </c>
    </row>
    <row r="791" spans="1:13" x14ac:dyDescent="0.35">
      <c r="A791" s="22" t="s">
        <v>95</v>
      </c>
      <c r="B791" s="22" t="s">
        <v>1870</v>
      </c>
      <c r="C791" s="22" t="s">
        <v>36</v>
      </c>
      <c r="D791" s="22" t="s">
        <v>56</v>
      </c>
      <c r="E791" s="22" t="s">
        <v>29</v>
      </c>
      <c r="F791" s="22" t="s">
        <v>25</v>
      </c>
      <c r="G791" s="22" t="s">
        <v>44</v>
      </c>
      <c r="H791" s="22">
        <v>40</v>
      </c>
      <c r="I791" s="24">
        <v>44531</v>
      </c>
      <c r="J791" s="27">
        <v>545</v>
      </c>
      <c r="K791" s="25">
        <v>0.25</v>
      </c>
      <c r="L791" s="22" t="s">
        <v>17</v>
      </c>
      <c r="M791" s="23" t="s">
        <v>22</v>
      </c>
    </row>
    <row r="792" spans="1:13" x14ac:dyDescent="0.35">
      <c r="A792" s="22" t="s">
        <v>939</v>
      </c>
      <c r="B792" s="22" t="s">
        <v>1871</v>
      </c>
      <c r="C792" s="22" t="s">
        <v>67</v>
      </c>
      <c r="D792" s="22" t="s">
        <v>24</v>
      </c>
      <c r="E792" s="22" t="s">
        <v>33</v>
      </c>
      <c r="F792" s="22" t="s">
        <v>15</v>
      </c>
      <c r="G792" s="22" t="s">
        <v>21</v>
      </c>
      <c r="H792" s="22">
        <v>29</v>
      </c>
      <c r="I792" s="24">
        <v>44069</v>
      </c>
      <c r="J792" s="27">
        <v>962</v>
      </c>
      <c r="K792" s="25">
        <v>0</v>
      </c>
      <c r="L792" s="22" t="s">
        <v>17</v>
      </c>
      <c r="M792" s="23" t="s">
        <v>26</v>
      </c>
    </row>
    <row r="793" spans="1:13" x14ac:dyDescent="0.35">
      <c r="A793" s="22" t="s">
        <v>940</v>
      </c>
      <c r="B793" s="22" t="s">
        <v>1872</v>
      </c>
      <c r="C793" s="22" t="s">
        <v>51</v>
      </c>
      <c r="D793" s="22" t="s">
        <v>28</v>
      </c>
      <c r="E793" s="22" t="s">
        <v>1102</v>
      </c>
      <c r="F793" s="22" t="s">
        <v>25</v>
      </c>
      <c r="G793" s="22" t="s">
        <v>21</v>
      </c>
      <c r="H793" s="22">
        <v>51</v>
      </c>
      <c r="I793" s="24">
        <v>38188</v>
      </c>
      <c r="J793" s="27">
        <v>713</v>
      </c>
      <c r="K793" s="25">
        <v>0</v>
      </c>
      <c r="L793" s="22" t="s">
        <v>30</v>
      </c>
      <c r="M793" s="23" t="s">
        <v>65</v>
      </c>
    </row>
    <row r="794" spans="1:13" x14ac:dyDescent="0.35">
      <c r="A794" s="22" t="s">
        <v>941</v>
      </c>
      <c r="B794" s="22" t="s">
        <v>1873</v>
      </c>
      <c r="C794" s="22" t="s">
        <v>57</v>
      </c>
      <c r="D794" s="22" t="s">
        <v>43</v>
      </c>
      <c r="E794" s="22" t="s">
        <v>33</v>
      </c>
      <c r="F794" s="22" t="s">
        <v>15</v>
      </c>
      <c r="G794" s="22" t="s">
        <v>21</v>
      </c>
      <c r="H794" s="22">
        <v>31</v>
      </c>
      <c r="I794" s="24">
        <v>44519</v>
      </c>
      <c r="J794" s="27">
        <v>947</v>
      </c>
      <c r="K794" s="25">
        <v>0</v>
      </c>
      <c r="L794" s="22" t="s">
        <v>17</v>
      </c>
      <c r="M794" s="23" t="s">
        <v>18</v>
      </c>
    </row>
    <row r="795" spans="1:13" x14ac:dyDescent="0.35">
      <c r="A795" s="22" t="s">
        <v>942</v>
      </c>
      <c r="B795" s="22" t="s">
        <v>1874</v>
      </c>
      <c r="C795" s="22" t="s">
        <v>38</v>
      </c>
      <c r="D795" s="22" t="s">
        <v>56</v>
      </c>
      <c r="E795" s="22" t="s">
        <v>1102</v>
      </c>
      <c r="F795" s="22" t="s">
        <v>15</v>
      </c>
      <c r="G795" s="22" t="s">
        <v>21</v>
      </c>
      <c r="H795" s="22">
        <v>44</v>
      </c>
      <c r="I795" s="24">
        <v>39897</v>
      </c>
      <c r="J795" s="27">
        <v>904</v>
      </c>
      <c r="K795" s="25">
        <v>0</v>
      </c>
      <c r="L795" s="22" t="s">
        <v>17</v>
      </c>
      <c r="M795" s="23" t="s">
        <v>18</v>
      </c>
    </row>
    <row r="796" spans="1:13" x14ac:dyDescent="0.35">
      <c r="A796" s="22" t="s">
        <v>943</v>
      </c>
      <c r="B796" s="22" t="s">
        <v>154</v>
      </c>
      <c r="C796" s="22" t="s">
        <v>74</v>
      </c>
      <c r="D796" s="22" t="s">
        <v>43</v>
      </c>
      <c r="E796" s="22" t="s">
        <v>33</v>
      </c>
      <c r="F796" s="22" t="s">
        <v>15</v>
      </c>
      <c r="G796" s="22" t="s">
        <v>16</v>
      </c>
      <c r="H796" s="22">
        <v>38</v>
      </c>
      <c r="I796" s="24">
        <v>44705</v>
      </c>
      <c r="J796" s="27">
        <v>627</v>
      </c>
      <c r="K796" s="25">
        <v>0</v>
      </c>
      <c r="L796" s="22" t="s">
        <v>17</v>
      </c>
      <c r="M796" s="23" t="s">
        <v>54</v>
      </c>
    </row>
    <row r="797" spans="1:13" x14ac:dyDescent="0.35">
      <c r="A797" s="22" t="s">
        <v>944</v>
      </c>
      <c r="B797" s="22" t="s">
        <v>1875</v>
      </c>
      <c r="C797" s="22" t="s">
        <v>53</v>
      </c>
      <c r="D797" s="22" t="s">
        <v>56</v>
      </c>
      <c r="E797" s="22" t="s">
        <v>29</v>
      </c>
      <c r="F797" s="22" t="s">
        <v>15</v>
      </c>
      <c r="G797" s="22" t="s">
        <v>21</v>
      </c>
      <c r="H797" s="22">
        <v>29</v>
      </c>
      <c r="I797" s="24">
        <v>44593</v>
      </c>
      <c r="J797" s="27">
        <v>584</v>
      </c>
      <c r="K797" s="25">
        <v>0.08</v>
      </c>
      <c r="L797" s="22" t="s">
        <v>30</v>
      </c>
      <c r="M797" s="23" t="s">
        <v>52</v>
      </c>
    </row>
    <row r="798" spans="1:13" x14ac:dyDescent="0.35">
      <c r="A798" s="22" t="s">
        <v>243</v>
      </c>
      <c r="B798" s="22" t="s">
        <v>1876</v>
      </c>
      <c r="C798" s="22" t="s">
        <v>57</v>
      </c>
      <c r="D798" s="22" t="s">
        <v>56</v>
      </c>
      <c r="E798" s="22" t="s">
        <v>29</v>
      </c>
      <c r="F798" s="22" t="s">
        <v>15</v>
      </c>
      <c r="G798" s="22" t="s">
        <v>21</v>
      </c>
      <c r="H798" s="22">
        <v>49</v>
      </c>
      <c r="I798" s="24">
        <v>44238</v>
      </c>
      <c r="J798" s="27">
        <v>611</v>
      </c>
      <c r="K798" s="25">
        <v>0</v>
      </c>
      <c r="L798" s="22" t="s">
        <v>17</v>
      </c>
      <c r="M798" s="23" t="s">
        <v>54</v>
      </c>
    </row>
    <row r="799" spans="1:13" x14ac:dyDescent="0.35">
      <c r="A799" s="22" t="s">
        <v>945</v>
      </c>
      <c r="B799" s="22" t="s">
        <v>1877</v>
      </c>
      <c r="C799" s="22" t="s">
        <v>1111</v>
      </c>
      <c r="D799" s="22" t="s">
        <v>43</v>
      </c>
      <c r="E799" s="22" t="s">
        <v>14</v>
      </c>
      <c r="F799" s="22" t="s">
        <v>15</v>
      </c>
      <c r="G799" s="22" t="s">
        <v>21</v>
      </c>
      <c r="H799" s="22">
        <v>44</v>
      </c>
      <c r="I799" s="24">
        <v>43229</v>
      </c>
      <c r="J799" s="27">
        <v>534</v>
      </c>
      <c r="K799" s="25">
        <v>0.15</v>
      </c>
      <c r="L799" s="22" t="s">
        <v>17</v>
      </c>
      <c r="M799" s="23" t="s">
        <v>26</v>
      </c>
    </row>
    <row r="800" spans="1:13" x14ac:dyDescent="0.35">
      <c r="A800" s="22" t="s">
        <v>247</v>
      </c>
      <c r="B800" s="22" t="s">
        <v>1878</v>
      </c>
      <c r="C800" s="22" t="s">
        <v>69</v>
      </c>
      <c r="D800" s="22" t="s">
        <v>28</v>
      </c>
      <c r="E800" s="22" t="s">
        <v>1102</v>
      </c>
      <c r="F800" s="22" t="s">
        <v>25</v>
      </c>
      <c r="G800" s="22" t="s">
        <v>44</v>
      </c>
      <c r="H800" s="22">
        <v>45</v>
      </c>
      <c r="I800" s="24">
        <v>37692</v>
      </c>
      <c r="J800" s="27">
        <v>918</v>
      </c>
      <c r="K800" s="25">
        <v>0</v>
      </c>
      <c r="L800" s="22" t="s">
        <v>17</v>
      </c>
      <c r="M800" s="23" t="s">
        <v>35</v>
      </c>
    </row>
    <row r="801" spans="1:13" x14ac:dyDescent="0.35">
      <c r="A801" s="22" t="s">
        <v>205</v>
      </c>
      <c r="B801" s="22" t="s">
        <v>1550</v>
      </c>
      <c r="C801" s="22" t="s">
        <v>57</v>
      </c>
      <c r="D801" s="22" t="s">
        <v>43</v>
      </c>
      <c r="E801" s="22" t="s">
        <v>1102</v>
      </c>
      <c r="F801" s="22" t="s">
        <v>25</v>
      </c>
      <c r="G801" s="22" t="s">
        <v>44</v>
      </c>
      <c r="H801" s="22">
        <v>58</v>
      </c>
      <c r="I801" s="24">
        <v>39223</v>
      </c>
      <c r="J801" s="27">
        <v>708</v>
      </c>
      <c r="K801" s="25">
        <v>0</v>
      </c>
      <c r="L801" s="22" t="s">
        <v>17</v>
      </c>
      <c r="M801" s="23" t="s">
        <v>40</v>
      </c>
    </row>
    <row r="802" spans="1:13" x14ac:dyDescent="0.35">
      <c r="A802" s="22" t="s">
        <v>146</v>
      </c>
      <c r="B802" s="22" t="s">
        <v>1879</v>
      </c>
      <c r="C802" s="22" t="s">
        <v>38</v>
      </c>
      <c r="D802" s="22" t="s">
        <v>56</v>
      </c>
      <c r="E802" s="22" t="s">
        <v>1102</v>
      </c>
      <c r="F802" s="22" t="s">
        <v>25</v>
      </c>
      <c r="G802" s="22" t="s">
        <v>21</v>
      </c>
      <c r="H802" s="22">
        <v>29</v>
      </c>
      <c r="I802" s="24">
        <v>43798</v>
      </c>
      <c r="J802" s="27">
        <v>519</v>
      </c>
      <c r="K802" s="25">
        <v>0</v>
      </c>
      <c r="L802" s="22" t="s">
        <v>30</v>
      </c>
      <c r="M802" s="23" t="s">
        <v>65</v>
      </c>
    </row>
    <row r="803" spans="1:13" x14ac:dyDescent="0.35">
      <c r="A803" s="22" t="s">
        <v>158</v>
      </c>
      <c r="B803" s="22" t="s">
        <v>1880</v>
      </c>
      <c r="C803" s="22" t="s">
        <v>55</v>
      </c>
      <c r="D803" s="22" t="s">
        <v>39</v>
      </c>
      <c r="E803" s="22" t="s">
        <v>29</v>
      </c>
      <c r="F803" s="22" t="s">
        <v>15</v>
      </c>
      <c r="G803" s="22" t="s">
        <v>44</v>
      </c>
      <c r="H803" s="22">
        <v>25</v>
      </c>
      <c r="I803" s="24">
        <v>44432</v>
      </c>
      <c r="J803" s="27">
        <v>683</v>
      </c>
      <c r="K803" s="25">
        <v>0</v>
      </c>
      <c r="L803" s="22" t="s">
        <v>45</v>
      </c>
      <c r="M803" s="23" t="s">
        <v>66</v>
      </c>
    </row>
    <row r="804" spans="1:13" x14ac:dyDescent="0.35">
      <c r="A804" s="22" t="s">
        <v>946</v>
      </c>
      <c r="B804" s="22" t="s">
        <v>1881</v>
      </c>
      <c r="C804" s="22" t="s">
        <v>36</v>
      </c>
      <c r="D804" s="22" t="s">
        <v>28</v>
      </c>
      <c r="E804" s="22" t="s">
        <v>33</v>
      </c>
      <c r="F804" s="22" t="s">
        <v>15</v>
      </c>
      <c r="G804" s="22" t="s">
        <v>16</v>
      </c>
      <c r="H804" s="22">
        <v>62</v>
      </c>
      <c r="I804" s="24">
        <v>34694</v>
      </c>
      <c r="J804" s="27">
        <v>604</v>
      </c>
      <c r="K804" s="25">
        <v>0.2</v>
      </c>
      <c r="L804" s="22" t="s">
        <v>17</v>
      </c>
      <c r="M804" s="23" t="s">
        <v>22</v>
      </c>
    </row>
    <row r="805" spans="1:13" x14ac:dyDescent="0.35">
      <c r="A805" s="22" t="s">
        <v>947</v>
      </c>
      <c r="B805" s="22" t="s">
        <v>1882</v>
      </c>
      <c r="C805" s="22" t="s">
        <v>53</v>
      </c>
      <c r="D805" s="22" t="s">
        <v>13</v>
      </c>
      <c r="E805" s="22" t="s">
        <v>33</v>
      </c>
      <c r="F805" s="22" t="s">
        <v>25</v>
      </c>
      <c r="G805" s="22" t="s">
        <v>44</v>
      </c>
      <c r="H805" s="22">
        <v>33</v>
      </c>
      <c r="I805" s="24">
        <v>42695</v>
      </c>
      <c r="J805" s="27">
        <v>952</v>
      </c>
      <c r="K805" s="25">
        <v>0.06</v>
      </c>
      <c r="L805" s="22" t="s">
        <v>17</v>
      </c>
      <c r="M805" s="23" t="s">
        <v>26</v>
      </c>
    </row>
    <row r="806" spans="1:13" x14ac:dyDescent="0.35">
      <c r="A806" s="22" t="s">
        <v>948</v>
      </c>
      <c r="B806" s="22" t="s">
        <v>1883</v>
      </c>
      <c r="C806" s="22" t="s">
        <v>53</v>
      </c>
      <c r="D806" s="22" t="s">
        <v>56</v>
      </c>
      <c r="E806" s="22" t="s">
        <v>33</v>
      </c>
      <c r="F806" s="22" t="s">
        <v>25</v>
      </c>
      <c r="G806" s="22" t="s">
        <v>44</v>
      </c>
      <c r="H806" s="22">
        <v>56</v>
      </c>
      <c r="I806" s="24">
        <v>42364</v>
      </c>
      <c r="J806" s="27">
        <v>806</v>
      </c>
      <c r="K806" s="25">
        <v>0.08</v>
      </c>
      <c r="L806" s="22" t="s">
        <v>17</v>
      </c>
      <c r="M806" s="23" t="s">
        <v>26</v>
      </c>
    </row>
    <row r="807" spans="1:13" x14ac:dyDescent="0.35">
      <c r="A807" s="22" t="s">
        <v>949</v>
      </c>
      <c r="B807" s="22" t="s">
        <v>184</v>
      </c>
      <c r="C807" s="22" t="s">
        <v>53</v>
      </c>
      <c r="D807" s="22" t="s">
        <v>13</v>
      </c>
      <c r="E807" s="22" t="s">
        <v>29</v>
      </c>
      <c r="F807" s="22" t="s">
        <v>15</v>
      </c>
      <c r="G807" s="22" t="s">
        <v>44</v>
      </c>
      <c r="H807" s="22">
        <v>45</v>
      </c>
      <c r="I807" s="24">
        <v>40450</v>
      </c>
      <c r="J807" s="27">
        <v>933</v>
      </c>
      <c r="K807" s="25">
        <v>0.05</v>
      </c>
      <c r="L807" s="22" t="s">
        <v>17</v>
      </c>
      <c r="M807" s="23" t="s">
        <v>18</v>
      </c>
    </row>
    <row r="808" spans="1:13" x14ac:dyDescent="0.35">
      <c r="A808" s="22" t="s">
        <v>950</v>
      </c>
      <c r="B808" s="22" t="s">
        <v>1884</v>
      </c>
      <c r="C808" s="22" t="s">
        <v>53</v>
      </c>
      <c r="D808" s="22" t="s">
        <v>20</v>
      </c>
      <c r="E808" s="22" t="s">
        <v>14</v>
      </c>
      <c r="F808" s="22" t="s">
        <v>15</v>
      </c>
      <c r="G808" s="22" t="s">
        <v>44</v>
      </c>
      <c r="H808" s="22">
        <v>28</v>
      </c>
      <c r="I808" s="24">
        <v>44266</v>
      </c>
      <c r="J808" s="27">
        <v>956</v>
      </c>
      <c r="K808" s="25">
        <v>0.05</v>
      </c>
      <c r="L808" s="22" t="s">
        <v>45</v>
      </c>
      <c r="M808" s="23" t="s">
        <v>1134</v>
      </c>
    </row>
    <row r="809" spans="1:13" x14ac:dyDescent="0.35">
      <c r="A809" s="22" t="s">
        <v>951</v>
      </c>
      <c r="B809" s="22" t="s">
        <v>1885</v>
      </c>
      <c r="C809" s="22" t="s">
        <v>1111</v>
      </c>
      <c r="D809" s="22" t="s">
        <v>20</v>
      </c>
      <c r="E809" s="22" t="s">
        <v>33</v>
      </c>
      <c r="F809" s="22" t="s">
        <v>15</v>
      </c>
      <c r="G809" s="22" t="s">
        <v>21</v>
      </c>
      <c r="H809" s="22">
        <v>30</v>
      </c>
      <c r="I809" s="24">
        <v>43542</v>
      </c>
      <c r="J809" s="27">
        <v>585</v>
      </c>
      <c r="K809" s="25">
        <v>0.11</v>
      </c>
      <c r="L809" s="22" t="s">
        <v>17</v>
      </c>
      <c r="M809" s="23" t="s">
        <v>54</v>
      </c>
    </row>
    <row r="810" spans="1:13" x14ac:dyDescent="0.35">
      <c r="A810" s="22" t="s">
        <v>169</v>
      </c>
      <c r="B810" s="22" t="s">
        <v>1101</v>
      </c>
      <c r="C810" s="22" t="s">
        <v>57</v>
      </c>
      <c r="D810" s="22" t="s">
        <v>39</v>
      </c>
      <c r="E810" s="22" t="s">
        <v>14</v>
      </c>
      <c r="F810" s="22" t="s">
        <v>15</v>
      </c>
      <c r="G810" s="22" t="s">
        <v>21</v>
      </c>
      <c r="H810" s="22">
        <v>45</v>
      </c>
      <c r="I810" s="24">
        <v>37240</v>
      </c>
      <c r="J810" s="27">
        <v>680</v>
      </c>
      <c r="K810" s="25">
        <v>0</v>
      </c>
      <c r="L810" s="22" t="s">
        <v>17</v>
      </c>
      <c r="M810" s="23" t="s">
        <v>54</v>
      </c>
    </row>
    <row r="811" spans="1:13" x14ac:dyDescent="0.35">
      <c r="A811" s="22" t="s">
        <v>952</v>
      </c>
      <c r="B811" s="22" t="s">
        <v>1886</v>
      </c>
      <c r="C811" s="22" t="s">
        <v>73</v>
      </c>
      <c r="D811" s="22" t="s">
        <v>24</v>
      </c>
      <c r="E811" s="22" t="s">
        <v>1102</v>
      </c>
      <c r="F811" s="22" t="s">
        <v>25</v>
      </c>
      <c r="G811" s="22" t="s">
        <v>44</v>
      </c>
      <c r="H811" s="22">
        <v>33</v>
      </c>
      <c r="I811" s="24">
        <v>42707</v>
      </c>
      <c r="J811" s="27">
        <v>737</v>
      </c>
      <c r="K811" s="25">
        <v>0</v>
      </c>
      <c r="L811" s="22" t="s">
        <v>17</v>
      </c>
      <c r="M811" s="23" t="s">
        <v>26</v>
      </c>
    </row>
    <row r="812" spans="1:13" x14ac:dyDescent="0.35">
      <c r="A812" s="22" t="s">
        <v>953</v>
      </c>
      <c r="B812" s="22" t="s">
        <v>1887</v>
      </c>
      <c r="C812" s="22" t="s">
        <v>12</v>
      </c>
      <c r="D812" s="22" t="s">
        <v>56</v>
      </c>
      <c r="E812" s="22" t="s">
        <v>33</v>
      </c>
      <c r="F812" s="22" t="s">
        <v>25</v>
      </c>
      <c r="G812" s="22" t="s">
        <v>16</v>
      </c>
      <c r="H812" s="22">
        <v>41</v>
      </c>
      <c r="I812" s="24">
        <v>40627</v>
      </c>
      <c r="J812" s="27">
        <v>952</v>
      </c>
      <c r="K812" s="25">
        <v>0.39</v>
      </c>
      <c r="L812" s="22" t="s">
        <v>17</v>
      </c>
      <c r="M812" s="23" t="s">
        <v>18</v>
      </c>
    </row>
    <row r="813" spans="1:13" x14ac:dyDescent="0.35">
      <c r="A813" s="22" t="s">
        <v>111</v>
      </c>
      <c r="B813" s="22" t="s">
        <v>1888</v>
      </c>
      <c r="C813" s="22" t="s">
        <v>1111</v>
      </c>
      <c r="D813" s="22" t="s">
        <v>43</v>
      </c>
      <c r="E813" s="22" t="s">
        <v>1102</v>
      </c>
      <c r="F813" s="22" t="s">
        <v>25</v>
      </c>
      <c r="G813" s="22" t="s">
        <v>21</v>
      </c>
      <c r="H813" s="22">
        <v>33</v>
      </c>
      <c r="I813" s="24">
        <v>42042</v>
      </c>
      <c r="J813" s="27">
        <v>938</v>
      </c>
      <c r="K813" s="25">
        <v>0.15</v>
      </c>
      <c r="L813" s="22" t="s">
        <v>17</v>
      </c>
      <c r="M813" s="23" t="s">
        <v>18</v>
      </c>
    </row>
    <row r="814" spans="1:13" x14ac:dyDescent="0.35">
      <c r="A814" s="22" t="s">
        <v>954</v>
      </c>
      <c r="B814" s="22" t="s">
        <v>1889</v>
      </c>
      <c r="C814" s="22" t="s">
        <v>53</v>
      </c>
      <c r="D814" s="22" t="s">
        <v>39</v>
      </c>
      <c r="E814" s="22" t="s">
        <v>33</v>
      </c>
      <c r="F814" s="22" t="s">
        <v>15</v>
      </c>
      <c r="G814" s="22" t="s">
        <v>21</v>
      </c>
      <c r="H814" s="22">
        <v>48</v>
      </c>
      <c r="I814" s="24">
        <v>41355</v>
      </c>
      <c r="J814" s="27">
        <v>893</v>
      </c>
      <c r="K814" s="25">
        <v>7.0000000000000007E-2</v>
      </c>
      <c r="L814" s="22" t="s">
        <v>17</v>
      </c>
      <c r="M814" s="23" t="s">
        <v>40</v>
      </c>
    </row>
    <row r="815" spans="1:13" x14ac:dyDescent="0.35">
      <c r="A815" s="22" t="s">
        <v>955</v>
      </c>
      <c r="B815" s="22" t="s">
        <v>181</v>
      </c>
      <c r="C815" s="22" t="s">
        <v>12</v>
      </c>
      <c r="D815" s="22" t="s">
        <v>20</v>
      </c>
      <c r="E815" s="22" t="s">
        <v>29</v>
      </c>
      <c r="F815" s="22" t="s">
        <v>15</v>
      </c>
      <c r="G815" s="22" t="s">
        <v>44</v>
      </c>
      <c r="H815" s="22">
        <v>48</v>
      </c>
      <c r="I815" s="24">
        <v>41481</v>
      </c>
      <c r="J815" s="27">
        <v>534</v>
      </c>
      <c r="K815" s="25">
        <v>0.37</v>
      </c>
      <c r="L815" s="22" t="s">
        <v>17</v>
      </c>
      <c r="M815" s="23" t="s">
        <v>35</v>
      </c>
    </row>
    <row r="816" spans="1:13" x14ac:dyDescent="0.35">
      <c r="A816" s="22" t="s">
        <v>956</v>
      </c>
      <c r="B816" s="22" t="s">
        <v>1890</v>
      </c>
      <c r="C816" s="22" t="s">
        <v>12</v>
      </c>
      <c r="D816" s="22" t="s">
        <v>20</v>
      </c>
      <c r="E816" s="22" t="s">
        <v>1102</v>
      </c>
      <c r="F816" s="22" t="s">
        <v>15</v>
      </c>
      <c r="G816" s="22" t="s">
        <v>16</v>
      </c>
      <c r="H816" s="22">
        <v>41</v>
      </c>
      <c r="I816" s="24">
        <v>39212</v>
      </c>
      <c r="J816" s="27">
        <v>809</v>
      </c>
      <c r="K816" s="25">
        <v>0.33</v>
      </c>
      <c r="L816" s="22" t="s">
        <v>17</v>
      </c>
      <c r="M816" s="23" t="s">
        <v>54</v>
      </c>
    </row>
    <row r="817" spans="1:13" x14ac:dyDescent="0.35">
      <c r="A817" s="22" t="s">
        <v>957</v>
      </c>
      <c r="B817" s="22" t="s">
        <v>1891</v>
      </c>
      <c r="C817" s="22" t="s">
        <v>58</v>
      </c>
      <c r="D817" s="22" t="s">
        <v>28</v>
      </c>
      <c r="E817" s="22" t="s">
        <v>1102</v>
      </c>
      <c r="F817" s="22" t="s">
        <v>15</v>
      </c>
      <c r="G817" s="22" t="s">
        <v>16</v>
      </c>
      <c r="H817" s="22">
        <v>37</v>
      </c>
      <c r="I817" s="24">
        <v>44815</v>
      </c>
      <c r="J817" s="27">
        <v>991</v>
      </c>
      <c r="K817" s="25">
        <v>0</v>
      </c>
      <c r="L817" s="22" t="s">
        <v>17</v>
      </c>
      <c r="M817" s="23" t="s">
        <v>54</v>
      </c>
    </row>
    <row r="818" spans="1:13" x14ac:dyDescent="0.35">
      <c r="A818" s="22" t="s">
        <v>244</v>
      </c>
      <c r="B818" s="22" t="s">
        <v>1892</v>
      </c>
      <c r="C818" s="22" t="s">
        <v>42</v>
      </c>
      <c r="D818" s="22" t="s">
        <v>43</v>
      </c>
      <c r="E818" s="22" t="s">
        <v>14</v>
      </c>
      <c r="F818" s="22" t="s">
        <v>25</v>
      </c>
      <c r="G818" s="22" t="s">
        <v>44</v>
      </c>
      <c r="H818" s="22">
        <v>55</v>
      </c>
      <c r="I818" s="24">
        <v>37892</v>
      </c>
      <c r="J818" s="27">
        <v>607</v>
      </c>
      <c r="K818" s="25">
        <v>0</v>
      </c>
      <c r="L818" s="22" t="s">
        <v>45</v>
      </c>
      <c r="M818" s="23" t="s">
        <v>66</v>
      </c>
    </row>
    <row r="819" spans="1:13" x14ac:dyDescent="0.35">
      <c r="A819" s="22" t="s">
        <v>958</v>
      </c>
      <c r="B819" s="22" t="s">
        <v>1893</v>
      </c>
      <c r="C819" s="22" t="s">
        <v>1111</v>
      </c>
      <c r="D819" s="22" t="s">
        <v>39</v>
      </c>
      <c r="E819" s="22" t="s">
        <v>29</v>
      </c>
      <c r="F819" s="22" t="s">
        <v>15</v>
      </c>
      <c r="G819" s="22" t="s">
        <v>21</v>
      </c>
      <c r="H819" s="22">
        <v>37</v>
      </c>
      <c r="I819" s="24">
        <v>44320</v>
      </c>
      <c r="J819" s="27">
        <v>892</v>
      </c>
      <c r="K819" s="25">
        <v>0.12</v>
      </c>
      <c r="L819" s="22" t="s">
        <v>17</v>
      </c>
      <c r="M819" s="23" t="s">
        <v>40</v>
      </c>
    </row>
    <row r="820" spans="1:13" x14ac:dyDescent="0.35">
      <c r="A820" s="22" t="s">
        <v>959</v>
      </c>
      <c r="B820" s="22" t="s">
        <v>1894</v>
      </c>
      <c r="C820" s="22" t="s">
        <v>19</v>
      </c>
      <c r="D820" s="22" t="s">
        <v>20</v>
      </c>
      <c r="E820" s="22" t="s">
        <v>14</v>
      </c>
      <c r="F820" s="22" t="s">
        <v>15</v>
      </c>
      <c r="G820" s="22" t="s">
        <v>44</v>
      </c>
      <c r="H820" s="22">
        <v>58</v>
      </c>
      <c r="I820" s="24">
        <v>36554</v>
      </c>
      <c r="J820" s="27">
        <v>701</v>
      </c>
      <c r="K820" s="25">
        <v>0</v>
      </c>
      <c r="L820" s="22" t="s">
        <v>17</v>
      </c>
      <c r="M820" s="23" t="s">
        <v>35</v>
      </c>
    </row>
    <row r="821" spans="1:13" x14ac:dyDescent="0.35">
      <c r="A821" s="22" t="s">
        <v>960</v>
      </c>
      <c r="B821" s="22" t="s">
        <v>1895</v>
      </c>
      <c r="C821" s="22" t="s">
        <v>36</v>
      </c>
      <c r="D821" s="22" t="s">
        <v>20</v>
      </c>
      <c r="E821" s="22" t="s">
        <v>14</v>
      </c>
      <c r="F821" s="22" t="s">
        <v>15</v>
      </c>
      <c r="G821" s="22" t="s">
        <v>41</v>
      </c>
      <c r="H821" s="22">
        <v>51</v>
      </c>
      <c r="I821" s="24">
        <v>42016</v>
      </c>
      <c r="J821" s="27">
        <v>675</v>
      </c>
      <c r="K821" s="25">
        <v>0.27</v>
      </c>
      <c r="L821" s="22" t="s">
        <v>17</v>
      </c>
      <c r="M821" s="23" t="s">
        <v>40</v>
      </c>
    </row>
    <row r="822" spans="1:13" x14ac:dyDescent="0.35">
      <c r="A822" s="22" t="s">
        <v>961</v>
      </c>
      <c r="B822" s="22" t="s">
        <v>1896</v>
      </c>
      <c r="C822" s="22" t="s">
        <v>50</v>
      </c>
      <c r="D822" s="22" t="s">
        <v>28</v>
      </c>
      <c r="E822" s="22" t="s">
        <v>29</v>
      </c>
      <c r="F822" s="22" t="s">
        <v>15</v>
      </c>
      <c r="G822" s="22" t="s">
        <v>21</v>
      </c>
      <c r="H822" s="22">
        <v>37</v>
      </c>
      <c r="I822" s="24">
        <v>41573</v>
      </c>
      <c r="J822" s="27">
        <v>1000</v>
      </c>
      <c r="K822" s="25">
        <v>0</v>
      </c>
      <c r="L822" s="22" t="s">
        <v>17</v>
      </c>
      <c r="M822" s="23" t="s">
        <v>22</v>
      </c>
    </row>
    <row r="823" spans="1:13" x14ac:dyDescent="0.35">
      <c r="A823" s="22" t="s">
        <v>962</v>
      </c>
      <c r="B823" s="22" t="s">
        <v>1897</v>
      </c>
      <c r="C823" s="22" t="s">
        <v>36</v>
      </c>
      <c r="D823" s="22" t="s">
        <v>13</v>
      </c>
      <c r="E823" s="22" t="s">
        <v>1102</v>
      </c>
      <c r="F823" s="22" t="s">
        <v>15</v>
      </c>
      <c r="G823" s="22" t="s">
        <v>21</v>
      </c>
      <c r="H823" s="22">
        <v>43</v>
      </c>
      <c r="I823" s="24">
        <v>38724</v>
      </c>
      <c r="J823" s="27">
        <v>532</v>
      </c>
      <c r="K823" s="25">
        <v>0.24</v>
      </c>
      <c r="L823" s="22" t="s">
        <v>30</v>
      </c>
      <c r="M823" s="23" t="s">
        <v>52</v>
      </c>
    </row>
    <row r="824" spans="1:13" x14ac:dyDescent="0.35">
      <c r="A824" s="22" t="s">
        <v>963</v>
      </c>
      <c r="B824" s="22" t="s">
        <v>1898</v>
      </c>
      <c r="C824" s="22" t="s">
        <v>74</v>
      </c>
      <c r="D824" s="22" t="s">
        <v>43</v>
      </c>
      <c r="E824" s="22" t="s">
        <v>14</v>
      </c>
      <c r="F824" s="22" t="s">
        <v>15</v>
      </c>
      <c r="G824" s="22" t="s">
        <v>16</v>
      </c>
      <c r="H824" s="22">
        <v>26</v>
      </c>
      <c r="I824" s="24">
        <v>44728</v>
      </c>
      <c r="J824" s="27">
        <v>516</v>
      </c>
      <c r="K824" s="25">
        <v>0</v>
      </c>
      <c r="L824" s="22" t="s">
        <v>17</v>
      </c>
      <c r="M824" s="23" t="s">
        <v>26</v>
      </c>
    </row>
    <row r="825" spans="1:13" x14ac:dyDescent="0.35">
      <c r="A825" s="22" t="s">
        <v>118</v>
      </c>
      <c r="B825" s="22" t="s">
        <v>1899</v>
      </c>
      <c r="C825" s="22" t="s">
        <v>74</v>
      </c>
      <c r="D825" s="22" t="s">
        <v>43</v>
      </c>
      <c r="E825" s="22" t="s">
        <v>14</v>
      </c>
      <c r="F825" s="22" t="s">
        <v>25</v>
      </c>
      <c r="G825" s="22" t="s">
        <v>16</v>
      </c>
      <c r="H825" s="22">
        <v>35</v>
      </c>
      <c r="I825" s="24">
        <v>42606</v>
      </c>
      <c r="J825" s="27">
        <v>614</v>
      </c>
      <c r="K825" s="25">
        <v>0</v>
      </c>
      <c r="L825" s="22" t="s">
        <v>17</v>
      </c>
      <c r="M825" s="23" t="s">
        <v>40</v>
      </c>
    </row>
    <row r="826" spans="1:13" x14ac:dyDescent="0.35">
      <c r="A826" s="22" t="s">
        <v>964</v>
      </c>
      <c r="B826" s="22" t="s">
        <v>1900</v>
      </c>
      <c r="C826" s="22" t="s">
        <v>38</v>
      </c>
      <c r="D826" s="22" t="s">
        <v>56</v>
      </c>
      <c r="E826" s="22" t="s">
        <v>29</v>
      </c>
      <c r="F826" s="22" t="s">
        <v>25</v>
      </c>
      <c r="G826" s="22" t="s">
        <v>21</v>
      </c>
      <c r="H826" s="22">
        <v>61</v>
      </c>
      <c r="I826" s="24">
        <v>35717</v>
      </c>
      <c r="J826" s="27">
        <v>591</v>
      </c>
      <c r="K826" s="25">
        <v>0</v>
      </c>
      <c r="L826" s="22" t="s">
        <v>30</v>
      </c>
      <c r="M826" s="23" t="s">
        <v>61</v>
      </c>
    </row>
    <row r="827" spans="1:13" x14ac:dyDescent="0.35">
      <c r="A827" s="22" t="s">
        <v>965</v>
      </c>
      <c r="B827" s="22" t="s">
        <v>1901</v>
      </c>
      <c r="C827" s="22" t="s">
        <v>36</v>
      </c>
      <c r="D827" s="22" t="s">
        <v>13</v>
      </c>
      <c r="E827" s="22" t="s">
        <v>1102</v>
      </c>
      <c r="F827" s="22" t="s">
        <v>25</v>
      </c>
      <c r="G827" s="22" t="s">
        <v>21</v>
      </c>
      <c r="H827" s="22">
        <v>59</v>
      </c>
      <c r="I827" s="24">
        <v>39487</v>
      </c>
      <c r="J827" s="27">
        <v>979</v>
      </c>
      <c r="K827" s="25">
        <v>0.3</v>
      </c>
      <c r="L827" s="22" t="s">
        <v>17</v>
      </c>
      <c r="M827" s="23" t="s">
        <v>35</v>
      </c>
    </row>
    <row r="828" spans="1:13" x14ac:dyDescent="0.35">
      <c r="A828" s="22" t="s">
        <v>966</v>
      </c>
      <c r="B828" s="22" t="s">
        <v>1183</v>
      </c>
      <c r="C828" s="22" t="s">
        <v>38</v>
      </c>
      <c r="D828" s="22" t="s">
        <v>13</v>
      </c>
      <c r="E828" s="22" t="s">
        <v>33</v>
      </c>
      <c r="F828" s="22" t="s">
        <v>15</v>
      </c>
      <c r="G828" s="22" t="s">
        <v>21</v>
      </c>
      <c r="H828" s="22">
        <v>65</v>
      </c>
      <c r="I828" s="24">
        <v>35621</v>
      </c>
      <c r="J828" s="27">
        <v>984</v>
      </c>
      <c r="K828" s="25">
        <v>0</v>
      </c>
      <c r="L828" s="22" t="s">
        <v>30</v>
      </c>
      <c r="M828" s="23" t="s">
        <v>31</v>
      </c>
    </row>
    <row r="829" spans="1:13" x14ac:dyDescent="0.35">
      <c r="A829" s="22" t="s">
        <v>967</v>
      </c>
      <c r="B829" s="22" t="s">
        <v>1902</v>
      </c>
      <c r="C829" s="22" t="s">
        <v>53</v>
      </c>
      <c r="D829" s="22" t="s">
        <v>20</v>
      </c>
      <c r="E829" s="22" t="s">
        <v>29</v>
      </c>
      <c r="F829" s="22" t="s">
        <v>15</v>
      </c>
      <c r="G829" s="22" t="s">
        <v>16</v>
      </c>
      <c r="H829" s="22">
        <v>55</v>
      </c>
      <c r="I829" s="24">
        <v>38369</v>
      </c>
      <c r="J829" s="27">
        <v>775</v>
      </c>
      <c r="K829" s="25">
        <v>0.05</v>
      </c>
      <c r="L829" s="22" t="s">
        <v>17</v>
      </c>
      <c r="M829" s="23" t="s">
        <v>35</v>
      </c>
    </row>
    <row r="830" spans="1:13" x14ac:dyDescent="0.35">
      <c r="A830" s="22" t="s">
        <v>968</v>
      </c>
      <c r="B830" s="22" t="s">
        <v>1903</v>
      </c>
      <c r="C830" s="22" t="s">
        <v>74</v>
      </c>
      <c r="D830" s="22" t="s">
        <v>43</v>
      </c>
      <c r="E830" s="22" t="s">
        <v>1102</v>
      </c>
      <c r="F830" s="22" t="s">
        <v>25</v>
      </c>
      <c r="G830" s="22" t="s">
        <v>21</v>
      </c>
      <c r="H830" s="22">
        <v>51</v>
      </c>
      <c r="I830" s="24">
        <v>36302</v>
      </c>
      <c r="J830" s="27">
        <v>972</v>
      </c>
      <c r="K830" s="25">
        <v>0</v>
      </c>
      <c r="L830" s="22" t="s">
        <v>30</v>
      </c>
      <c r="M830" s="23" t="s">
        <v>61</v>
      </c>
    </row>
    <row r="831" spans="1:13" x14ac:dyDescent="0.35">
      <c r="A831" s="22" t="s">
        <v>969</v>
      </c>
      <c r="B831" s="22" t="s">
        <v>1904</v>
      </c>
      <c r="C831" s="22" t="s">
        <v>53</v>
      </c>
      <c r="D831" s="22" t="s">
        <v>56</v>
      </c>
      <c r="E831" s="22" t="s">
        <v>1102</v>
      </c>
      <c r="F831" s="22" t="s">
        <v>25</v>
      </c>
      <c r="G831" s="22" t="s">
        <v>16</v>
      </c>
      <c r="H831" s="22">
        <v>53</v>
      </c>
      <c r="I831" s="24">
        <v>41861</v>
      </c>
      <c r="J831" s="27">
        <v>879</v>
      </c>
      <c r="K831" s="25">
        <v>0.06</v>
      </c>
      <c r="L831" s="22" t="s">
        <v>17</v>
      </c>
      <c r="M831" s="23" t="s">
        <v>22</v>
      </c>
    </row>
    <row r="832" spans="1:13" x14ac:dyDescent="0.35">
      <c r="A832" s="22" t="s">
        <v>78</v>
      </c>
      <c r="B832" s="22" t="s">
        <v>1905</v>
      </c>
      <c r="C832" s="22" t="s">
        <v>53</v>
      </c>
      <c r="D832" s="22" t="s">
        <v>24</v>
      </c>
      <c r="E832" s="22" t="s">
        <v>14</v>
      </c>
      <c r="F832" s="22" t="s">
        <v>15</v>
      </c>
      <c r="G832" s="22" t="s">
        <v>44</v>
      </c>
      <c r="H832" s="22">
        <v>47</v>
      </c>
      <c r="I832" s="24">
        <v>36552</v>
      </c>
      <c r="J832" s="27">
        <v>912</v>
      </c>
      <c r="K832" s="25">
        <v>0.05</v>
      </c>
      <c r="L832" s="22" t="s">
        <v>17</v>
      </c>
      <c r="M832" s="23" t="s">
        <v>54</v>
      </c>
    </row>
    <row r="833" spans="1:13" x14ac:dyDescent="0.35">
      <c r="A833" s="22" t="s">
        <v>96</v>
      </c>
      <c r="B833" s="22" t="s">
        <v>1906</v>
      </c>
      <c r="C833" s="22" t="s">
        <v>53</v>
      </c>
      <c r="D833" s="22" t="s">
        <v>56</v>
      </c>
      <c r="E833" s="22" t="s">
        <v>29</v>
      </c>
      <c r="F833" s="22" t="s">
        <v>25</v>
      </c>
      <c r="G833" s="22" t="s">
        <v>21</v>
      </c>
      <c r="H833" s="22">
        <v>53</v>
      </c>
      <c r="I833" s="24">
        <v>34311</v>
      </c>
      <c r="J833" s="27">
        <v>985</v>
      </c>
      <c r="K833" s="25">
        <v>0.1</v>
      </c>
      <c r="L833" s="22" t="s">
        <v>30</v>
      </c>
      <c r="M833" s="23" t="s">
        <v>52</v>
      </c>
    </row>
    <row r="834" spans="1:13" x14ac:dyDescent="0.35">
      <c r="A834" s="22" t="s">
        <v>970</v>
      </c>
      <c r="B834" s="22" t="s">
        <v>1907</v>
      </c>
      <c r="C834" s="22" t="s">
        <v>19</v>
      </c>
      <c r="D834" s="22" t="s">
        <v>20</v>
      </c>
      <c r="E834" s="22" t="s">
        <v>1102</v>
      </c>
      <c r="F834" s="22" t="s">
        <v>25</v>
      </c>
      <c r="G834" s="22" t="s">
        <v>21</v>
      </c>
      <c r="H834" s="22">
        <v>38</v>
      </c>
      <c r="I834" s="24">
        <v>40190</v>
      </c>
      <c r="J834" s="27">
        <v>693</v>
      </c>
      <c r="K834" s="25">
        <v>0</v>
      </c>
      <c r="L834" s="22" t="s">
        <v>30</v>
      </c>
      <c r="M834" s="23" t="s">
        <v>65</v>
      </c>
    </row>
    <row r="835" spans="1:13" x14ac:dyDescent="0.35">
      <c r="A835" s="22" t="s">
        <v>971</v>
      </c>
      <c r="B835" s="22" t="s">
        <v>1908</v>
      </c>
      <c r="C835" s="22" t="s">
        <v>63</v>
      </c>
      <c r="D835" s="22" t="s">
        <v>20</v>
      </c>
      <c r="E835" s="22" t="s">
        <v>29</v>
      </c>
      <c r="F835" s="22" t="s">
        <v>25</v>
      </c>
      <c r="G835" s="22" t="s">
        <v>21</v>
      </c>
      <c r="H835" s="22">
        <v>28</v>
      </c>
      <c r="I835" s="24">
        <v>44211</v>
      </c>
      <c r="J835" s="27">
        <v>636</v>
      </c>
      <c r="K835" s="25">
        <v>0</v>
      </c>
      <c r="L835" s="22" t="s">
        <v>17</v>
      </c>
      <c r="M835" s="23" t="s">
        <v>22</v>
      </c>
    </row>
    <row r="836" spans="1:13" x14ac:dyDescent="0.35">
      <c r="A836" s="22" t="s">
        <v>972</v>
      </c>
      <c r="B836" s="22" t="s">
        <v>1909</v>
      </c>
      <c r="C836" s="22" t="s">
        <v>57</v>
      </c>
      <c r="D836" s="22" t="s">
        <v>43</v>
      </c>
      <c r="E836" s="22" t="s">
        <v>29</v>
      </c>
      <c r="F836" s="22" t="s">
        <v>15</v>
      </c>
      <c r="G836" s="22" t="s">
        <v>44</v>
      </c>
      <c r="H836" s="22">
        <v>32</v>
      </c>
      <c r="I836" s="24">
        <v>41890</v>
      </c>
      <c r="J836" s="27">
        <v>659</v>
      </c>
      <c r="K836" s="25">
        <v>0</v>
      </c>
      <c r="L836" s="22" t="s">
        <v>45</v>
      </c>
      <c r="M836" s="23" t="s">
        <v>1134</v>
      </c>
    </row>
    <row r="837" spans="1:13" x14ac:dyDescent="0.35">
      <c r="A837" s="22" t="s">
        <v>973</v>
      </c>
      <c r="B837" s="22" t="s">
        <v>1910</v>
      </c>
      <c r="C837" s="22" t="s">
        <v>62</v>
      </c>
      <c r="D837" s="22" t="s">
        <v>24</v>
      </c>
      <c r="E837" s="22" t="s">
        <v>1102</v>
      </c>
      <c r="F837" s="22" t="s">
        <v>15</v>
      </c>
      <c r="G837" s="22" t="s">
        <v>21</v>
      </c>
      <c r="H837" s="22">
        <v>52</v>
      </c>
      <c r="I837" s="24">
        <v>44857</v>
      </c>
      <c r="J837" s="27">
        <v>915</v>
      </c>
      <c r="K837" s="25">
        <v>0</v>
      </c>
      <c r="L837" s="22" t="s">
        <v>30</v>
      </c>
      <c r="M837" s="23" t="s">
        <v>65</v>
      </c>
    </row>
    <row r="838" spans="1:13" x14ac:dyDescent="0.35">
      <c r="A838" s="22" t="s">
        <v>178</v>
      </c>
      <c r="B838" s="22" t="s">
        <v>1911</v>
      </c>
      <c r="C838" s="22" t="s">
        <v>38</v>
      </c>
      <c r="D838" s="22" t="s">
        <v>39</v>
      </c>
      <c r="E838" s="22" t="s">
        <v>29</v>
      </c>
      <c r="F838" s="22" t="s">
        <v>15</v>
      </c>
      <c r="G838" s="22" t="s">
        <v>16</v>
      </c>
      <c r="H838" s="22">
        <v>64</v>
      </c>
      <c r="I838" s="24">
        <v>37754</v>
      </c>
      <c r="J838" s="27">
        <v>862</v>
      </c>
      <c r="K838" s="25">
        <v>0</v>
      </c>
      <c r="L838" s="22" t="s">
        <v>17</v>
      </c>
      <c r="M838" s="23" t="s">
        <v>22</v>
      </c>
    </row>
    <row r="839" spans="1:13" x14ac:dyDescent="0.35">
      <c r="A839" s="22" t="s">
        <v>974</v>
      </c>
      <c r="B839" s="22" t="s">
        <v>1759</v>
      </c>
      <c r="C839" s="22" t="s">
        <v>53</v>
      </c>
      <c r="D839" s="22" t="s">
        <v>56</v>
      </c>
      <c r="E839" s="22" t="s">
        <v>33</v>
      </c>
      <c r="F839" s="22" t="s">
        <v>25</v>
      </c>
      <c r="G839" s="22" t="s">
        <v>21</v>
      </c>
      <c r="H839" s="22">
        <v>55</v>
      </c>
      <c r="I839" s="24">
        <v>39144</v>
      </c>
      <c r="J839" s="27">
        <v>796</v>
      </c>
      <c r="K839" s="25">
        <v>7.0000000000000007E-2</v>
      </c>
      <c r="L839" s="22" t="s">
        <v>30</v>
      </c>
      <c r="M839" s="23" t="s">
        <v>31</v>
      </c>
    </row>
    <row r="840" spans="1:13" x14ac:dyDescent="0.35">
      <c r="A840" s="22" t="s">
        <v>975</v>
      </c>
      <c r="B840" s="22" t="s">
        <v>1912</v>
      </c>
      <c r="C840" s="22" t="s">
        <v>12</v>
      </c>
      <c r="D840" s="22" t="s">
        <v>13</v>
      </c>
      <c r="E840" s="22" t="s">
        <v>29</v>
      </c>
      <c r="F840" s="22" t="s">
        <v>15</v>
      </c>
      <c r="G840" s="22" t="s">
        <v>21</v>
      </c>
      <c r="H840" s="22">
        <v>38</v>
      </c>
      <c r="I840" s="24">
        <v>41748</v>
      </c>
      <c r="J840" s="27">
        <v>720</v>
      </c>
      <c r="K840" s="25">
        <v>0.39</v>
      </c>
      <c r="L840" s="22" t="s">
        <v>30</v>
      </c>
      <c r="M840" s="23" t="s">
        <v>61</v>
      </c>
    </row>
    <row r="841" spans="1:13" x14ac:dyDescent="0.35">
      <c r="A841" s="22" t="s">
        <v>976</v>
      </c>
      <c r="B841" s="22" t="s">
        <v>1913</v>
      </c>
      <c r="C841" s="22" t="s">
        <v>58</v>
      </c>
      <c r="D841" s="22" t="s">
        <v>28</v>
      </c>
      <c r="E841" s="22" t="s">
        <v>1102</v>
      </c>
      <c r="F841" s="22" t="s">
        <v>15</v>
      </c>
      <c r="G841" s="22" t="s">
        <v>44</v>
      </c>
      <c r="H841" s="22">
        <v>30</v>
      </c>
      <c r="I841" s="24">
        <v>43877</v>
      </c>
      <c r="J841" s="27">
        <v>697</v>
      </c>
      <c r="K841" s="25">
        <v>0</v>
      </c>
      <c r="L841" s="22" t="s">
        <v>45</v>
      </c>
      <c r="M841" s="23" t="s">
        <v>1134</v>
      </c>
    </row>
    <row r="842" spans="1:13" x14ac:dyDescent="0.35">
      <c r="A842" s="22" t="s">
        <v>977</v>
      </c>
      <c r="B842" s="22" t="s">
        <v>1914</v>
      </c>
      <c r="C842" s="22" t="s">
        <v>38</v>
      </c>
      <c r="D842" s="22" t="s">
        <v>43</v>
      </c>
      <c r="E842" s="22" t="s">
        <v>14</v>
      </c>
      <c r="F842" s="22" t="s">
        <v>25</v>
      </c>
      <c r="G842" s="22" t="s">
        <v>21</v>
      </c>
      <c r="H842" s="22">
        <v>43</v>
      </c>
      <c r="I842" s="24">
        <v>43412</v>
      </c>
      <c r="J842" s="27">
        <v>865</v>
      </c>
      <c r="K842" s="25">
        <v>0</v>
      </c>
      <c r="L842" s="22" t="s">
        <v>30</v>
      </c>
      <c r="M842" s="23" t="s">
        <v>61</v>
      </c>
    </row>
    <row r="843" spans="1:13" x14ac:dyDescent="0.35">
      <c r="A843" s="22" t="s">
        <v>218</v>
      </c>
      <c r="B843" s="22" t="s">
        <v>1915</v>
      </c>
      <c r="C843" s="22" t="s">
        <v>12</v>
      </c>
      <c r="D843" s="22" t="s">
        <v>13</v>
      </c>
      <c r="E843" s="22" t="s">
        <v>33</v>
      </c>
      <c r="F843" s="22" t="s">
        <v>25</v>
      </c>
      <c r="G843" s="22" t="s">
        <v>21</v>
      </c>
      <c r="H843" s="22">
        <v>40</v>
      </c>
      <c r="I843" s="24">
        <v>40242</v>
      </c>
      <c r="J843" s="27">
        <v>653</v>
      </c>
      <c r="K843" s="25">
        <v>0.33</v>
      </c>
      <c r="L843" s="22" t="s">
        <v>30</v>
      </c>
      <c r="M843" s="23" t="s">
        <v>52</v>
      </c>
    </row>
    <row r="844" spans="1:13" x14ac:dyDescent="0.35">
      <c r="A844" s="22" t="s">
        <v>168</v>
      </c>
      <c r="B844" s="22" t="s">
        <v>1916</v>
      </c>
      <c r="C844" s="22" t="s">
        <v>51</v>
      </c>
      <c r="D844" s="22" t="s">
        <v>28</v>
      </c>
      <c r="E844" s="22" t="s">
        <v>29</v>
      </c>
      <c r="F844" s="22" t="s">
        <v>25</v>
      </c>
      <c r="G844" s="22" t="s">
        <v>16</v>
      </c>
      <c r="H844" s="22">
        <v>55</v>
      </c>
      <c r="I844" s="24">
        <v>42075</v>
      </c>
      <c r="J844" s="27">
        <v>906</v>
      </c>
      <c r="K844" s="25">
        <v>0</v>
      </c>
      <c r="L844" s="22" t="s">
        <v>17</v>
      </c>
      <c r="M844" s="23" t="s">
        <v>18</v>
      </c>
    </row>
    <row r="845" spans="1:13" x14ac:dyDescent="0.35">
      <c r="A845" s="22" t="s">
        <v>978</v>
      </c>
      <c r="B845" s="22" t="s">
        <v>1917</v>
      </c>
      <c r="C845" s="22" t="s">
        <v>34</v>
      </c>
      <c r="D845" s="22" t="s">
        <v>24</v>
      </c>
      <c r="E845" s="22" t="s">
        <v>14</v>
      </c>
      <c r="F845" s="22" t="s">
        <v>15</v>
      </c>
      <c r="G845" s="22" t="s">
        <v>16</v>
      </c>
      <c r="H845" s="22">
        <v>36</v>
      </c>
      <c r="I845" s="24">
        <v>40333</v>
      </c>
      <c r="J845" s="27">
        <v>617</v>
      </c>
      <c r="K845" s="25">
        <v>0</v>
      </c>
      <c r="L845" s="22" t="s">
        <v>17</v>
      </c>
      <c r="M845" s="23" t="s">
        <v>22</v>
      </c>
    </row>
    <row r="846" spans="1:13" x14ac:dyDescent="0.35">
      <c r="A846" s="22" t="s">
        <v>236</v>
      </c>
      <c r="B846" s="22" t="s">
        <v>1918</v>
      </c>
      <c r="C846" s="22" t="s">
        <v>1111</v>
      </c>
      <c r="D846" s="22" t="s">
        <v>20</v>
      </c>
      <c r="E846" s="22" t="s">
        <v>14</v>
      </c>
      <c r="F846" s="22" t="s">
        <v>25</v>
      </c>
      <c r="G846" s="22" t="s">
        <v>44</v>
      </c>
      <c r="H846" s="22">
        <v>47</v>
      </c>
      <c r="I846" s="24">
        <v>36889</v>
      </c>
      <c r="J846" s="27">
        <v>994</v>
      </c>
      <c r="K846" s="25">
        <v>0.12</v>
      </c>
      <c r="L846" s="22" t="s">
        <v>17</v>
      </c>
      <c r="M846" s="23" t="s">
        <v>22</v>
      </c>
    </row>
    <row r="847" spans="1:13" x14ac:dyDescent="0.35">
      <c r="A847" s="22" t="s">
        <v>979</v>
      </c>
      <c r="B847" s="22" t="s">
        <v>1919</v>
      </c>
      <c r="C847" s="22" t="s">
        <v>62</v>
      </c>
      <c r="D847" s="22" t="s">
        <v>24</v>
      </c>
      <c r="E847" s="22" t="s">
        <v>14</v>
      </c>
      <c r="F847" s="22" t="s">
        <v>15</v>
      </c>
      <c r="G847" s="22" t="s">
        <v>21</v>
      </c>
      <c r="H847" s="22">
        <v>59</v>
      </c>
      <c r="I847" s="24">
        <v>39589</v>
      </c>
      <c r="J847" s="27">
        <v>675</v>
      </c>
      <c r="K847" s="25">
        <v>0</v>
      </c>
      <c r="L847" s="22" t="s">
        <v>17</v>
      </c>
      <c r="M847" s="23" t="s">
        <v>35</v>
      </c>
    </row>
    <row r="848" spans="1:13" x14ac:dyDescent="0.35">
      <c r="A848" s="22" t="s">
        <v>80</v>
      </c>
      <c r="B848" s="22" t="s">
        <v>1920</v>
      </c>
      <c r="C848" s="22" t="s">
        <v>32</v>
      </c>
      <c r="D848" s="22" t="s">
        <v>24</v>
      </c>
      <c r="E848" s="22" t="s">
        <v>33</v>
      </c>
      <c r="F848" s="22" t="s">
        <v>15</v>
      </c>
      <c r="G848" s="22" t="s">
        <v>16</v>
      </c>
      <c r="H848" s="22">
        <v>40</v>
      </c>
      <c r="I848" s="24">
        <v>39510</v>
      </c>
      <c r="J848" s="27">
        <v>669</v>
      </c>
      <c r="K848" s="25">
        <v>0</v>
      </c>
      <c r="L848" s="22" t="s">
        <v>17</v>
      </c>
      <c r="M848" s="23" t="s">
        <v>54</v>
      </c>
    </row>
    <row r="849" spans="1:13" x14ac:dyDescent="0.35">
      <c r="A849" s="22" t="s">
        <v>980</v>
      </c>
      <c r="B849" s="22" t="s">
        <v>1921</v>
      </c>
      <c r="C849" s="22" t="s">
        <v>50</v>
      </c>
      <c r="D849" s="22" t="s">
        <v>28</v>
      </c>
      <c r="E849" s="22" t="s">
        <v>29</v>
      </c>
      <c r="F849" s="22" t="s">
        <v>15</v>
      </c>
      <c r="G849" s="22" t="s">
        <v>44</v>
      </c>
      <c r="H849" s="22">
        <v>53</v>
      </c>
      <c r="I849" s="24">
        <v>39920</v>
      </c>
      <c r="J849" s="27">
        <v>904</v>
      </c>
      <c r="K849" s="25">
        <v>0</v>
      </c>
      <c r="L849" s="22" t="s">
        <v>17</v>
      </c>
      <c r="M849" s="23" t="s">
        <v>26</v>
      </c>
    </row>
    <row r="850" spans="1:13" x14ac:dyDescent="0.35">
      <c r="A850" s="22" t="s">
        <v>106</v>
      </c>
      <c r="B850" s="22" t="s">
        <v>1922</v>
      </c>
      <c r="C850" s="22" t="s">
        <v>36</v>
      </c>
      <c r="D850" s="22" t="s">
        <v>24</v>
      </c>
      <c r="E850" s="22" t="s">
        <v>33</v>
      </c>
      <c r="F850" s="22" t="s">
        <v>15</v>
      </c>
      <c r="G850" s="22" t="s">
        <v>21</v>
      </c>
      <c r="H850" s="22">
        <v>50</v>
      </c>
      <c r="I850" s="24">
        <v>40655</v>
      </c>
      <c r="J850" s="27">
        <v>968</v>
      </c>
      <c r="K850" s="25">
        <v>0.2</v>
      </c>
      <c r="L850" s="22" t="s">
        <v>30</v>
      </c>
      <c r="M850" s="23" t="s">
        <v>52</v>
      </c>
    </row>
    <row r="851" spans="1:13" x14ac:dyDescent="0.35">
      <c r="A851" s="22" t="s">
        <v>981</v>
      </c>
      <c r="B851" s="22" t="s">
        <v>1923</v>
      </c>
      <c r="C851" s="22" t="s">
        <v>48</v>
      </c>
      <c r="D851" s="22" t="s">
        <v>24</v>
      </c>
      <c r="E851" s="22" t="s">
        <v>1102</v>
      </c>
      <c r="F851" s="22" t="s">
        <v>15</v>
      </c>
      <c r="G851" s="22" t="s">
        <v>16</v>
      </c>
      <c r="H851" s="22">
        <v>52</v>
      </c>
      <c r="I851" s="24">
        <v>41667</v>
      </c>
      <c r="J851" s="27">
        <v>549</v>
      </c>
      <c r="K851" s="25">
        <v>0.1</v>
      </c>
      <c r="L851" s="22" t="s">
        <v>17</v>
      </c>
      <c r="M851" s="23" t="s">
        <v>54</v>
      </c>
    </row>
    <row r="852" spans="1:13" x14ac:dyDescent="0.35">
      <c r="A852" s="22" t="s">
        <v>982</v>
      </c>
      <c r="B852" s="22" t="s">
        <v>1924</v>
      </c>
      <c r="C852" s="22" t="s">
        <v>69</v>
      </c>
      <c r="D852" s="22" t="s">
        <v>28</v>
      </c>
      <c r="E852" s="22" t="s">
        <v>29</v>
      </c>
      <c r="F852" s="22" t="s">
        <v>15</v>
      </c>
      <c r="G852" s="22" t="s">
        <v>41</v>
      </c>
      <c r="H852" s="22">
        <v>40</v>
      </c>
      <c r="I852" s="24">
        <v>40642</v>
      </c>
      <c r="J852" s="27">
        <v>633</v>
      </c>
      <c r="K852" s="25">
        <v>0</v>
      </c>
      <c r="L852" s="22" t="s">
        <v>17</v>
      </c>
      <c r="M852" s="23" t="s">
        <v>35</v>
      </c>
    </row>
    <row r="853" spans="1:13" x14ac:dyDescent="0.35">
      <c r="A853" s="22" t="s">
        <v>983</v>
      </c>
      <c r="B853" s="22" t="s">
        <v>1925</v>
      </c>
      <c r="C853" s="22" t="s">
        <v>12</v>
      </c>
      <c r="D853" s="22" t="s">
        <v>39</v>
      </c>
      <c r="E853" s="22" t="s">
        <v>14</v>
      </c>
      <c r="F853" s="22" t="s">
        <v>15</v>
      </c>
      <c r="G853" s="22" t="s">
        <v>16</v>
      </c>
      <c r="H853" s="22">
        <v>39</v>
      </c>
      <c r="I853" s="24">
        <v>44474</v>
      </c>
      <c r="J853" s="27">
        <v>967</v>
      </c>
      <c r="K853" s="25">
        <v>0.33</v>
      </c>
      <c r="L853" s="22" t="s">
        <v>17</v>
      </c>
      <c r="M853" s="23" t="s">
        <v>54</v>
      </c>
    </row>
    <row r="854" spans="1:13" x14ac:dyDescent="0.35">
      <c r="A854" s="22" t="s">
        <v>984</v>
      </c>
      <c r="B854" s="22" t="s">
        <v>1926</v>
      </c>
      <c r="C854" s="22" t="s">
        <v>47</v>
      </c>
      <c r="D854" s="22" t="s">
        <v>24</v>
      </c>
      <c r="E854" s="22" t="s">
        <v>29</v>
      </c>
      <c r="F854" s="22" t="s">
        <v>25</v>
      </c>
      <c r="G854" s="22" t="s">
        <v>44</v>
      </c>
      <c r="H854" s="22">
        <v>31</v>
      </c>
      <c r="I854" s="24">
        <v>42025</v>
      </c>
      <c r="J854" s="27">
        <v>647</v>
      </c>
      <c r="K854" s="25">
        <v>0</v>
      </c>
      <c r="L854" s="22" t="s">
        <v>45</v>
      </c>
      <c r="M854" s="23" t="s">
        <v>66</v>
      </c>
    </row>
    <row r="855" spans="1:13" x14ac:dyDescent="0.35">
      <c r="A855" s="22" t="s">
        <v>109</v>
      </c>
      <c r="B855" s="22" t="s">
        <v>1927</v>
      </c>
      <c r="C855" s="22" t="s">
        <v>53</v>
      </c>
      <c r="D855" s="22" t="s">
        <v>56</v>
      </c>
      <c r="E855" s="22" t="s">
        <v>33</v>
      </c>
      <c r="F855" s="22" t="s">
        <v>15</v>
      </c>
      <c r="G855" s="22" t="s">
        <v>21</v>
      </c>
      <c r="H855" s="22">
        <v>30</v>
      </c>
      <c r="I855" s="24">
        <v>43450</v>
      </c>
      <c r="J855" s="27">
        <v>664</v>
      </c>
      <c r="K855" s="25">
        <v>0.05</v>
      </c>
      <c r="L855" s="22" t="s">
        <v>17</v>
      </c>
      <c r="M855" s="23" t="s">
        <v>22</v>
      </c>
    </row>
    <row r="856" spans="1:13" x14ac:dyDescent="0.35">
      <c r="A856" s="22" t="s">
        <v>124</v>
      </c>
      <c r="B856" s="22" t="s">
        <v>1928</v>
      </c>
      <c r="C856" s="22" t="s">
        <v>38</v>
      </c>
      <c r="D856" s="22" t="s">
        <v>56</v>
      </c>
      <c r="E856" s="22" t="s">
        <v>14</v>
      </c>
      <c r="F856" s="22" t="s">
        <v>25</v>
      </c>
      <c r="G856" s="22" t="s">
        <v>44</v>
      </c>
      <c r="H856" s="22">
        <v>47</v>
      </c>
      <c r="I856" s="24">
        <v>39347</v>
      </c>
      <c r="J856" s="27">
        <v>943</v>
      </c>
      <c r="K856" s="25">
        <v>0</v>
      </c>
      <c r="L856" s="22" t="s">
        <v>17</v>
      </c>
      <c r="M856" s="23" t="s">
        <v>40</v>
      </c>
    </row>
    <row r="857" spans="1:13" x14ac:dyDescent="0.35">
      <c r="A857" s="22" t="s">
        <v>213</v>
      </c>
      <c r="B857" s="22" t="s">
        <v>1929</v>
      </c>
      <c r="C857" s="22" t="s">
        <v>50</v>
      </c>
      <c r="D857" s="22" t="s">
        <v>28</v>
      </c>
      <c r="E857" s="22" t="s">
        <v>14</v>
      </c>
      <c r="F857" s="22" t="s">
        <v>15</v>
      </c>
      <c r="G857" s="22" t="s">
        <v>16</v>
      </c>
      <c r="H857" s="22">
        <v>46</v>
      </c>
      <c r="I857" s="24">
        <v>43797</v>
      </c>
      <c r="J857" s="27">
        <v>528</v>
      </c>
      <c r="K857" s="25">
        <v>0</v>
      </c>
      <c r="L857" s="22" t="s">
        <v>17</v>
      </c>
      <c r="M857" s="23" t="s">
        <v>40</v>
      </c>
    </row>
    <row r="858" spans="1:13" x14ac:dyDescent="0.35">
      <c r="A858" s="22" t="s">
        <v>985</v>
      </c>
      <c r="B858" s="22" t="s">
        <v>1930</v>
      </c>
      <c r="C858" s="22" t="s">
        <v>68</v>
      </c>
      <c r="D858" s="22" t="s">
        <v>20</v>
      </c>
      <c r="E858" s="22" t="s">
        <v>29</v>
      </c>
      <c r="F858" s="22" t="s">
        <v>15</v>
      </c>
      <c r="G858" s="22" t="s">
        <v>44</v>
      </c>
      <c r="H858" s="22">
        <v>43</v>
      </c>
      <c r="I858" s="24">
        <v>38971</v>
      </c>
      <c r="J858" s="27">
        <v>803</v>
      </c>
      <c r="K858" s="25">
        <v>0</v>
      </c>
      <c r="L858" s="22" t="s">
        <v>45</v>
      </c>
      <c r="M858" s="23" t="s">
        <v>1134</v>
      </c>
    </row>
    <row r="859" spans="1:13" x14ac:dyDescent="0.35">
      <c r="A859" s="22" t="s">
        <v>986</v>
      </c>
      <c r="B859" s="22" t="s">
        <v>1931</v>
      </c>
      <c r="C859" s="22" t="s">
        <v>53</v>
      </c>
      <c r="D859" s="22" t="s">
        <v>39</v>
      </c>
      <c r="E859" s="22" t="s">
        <v>29</v>
      </c>
      <c r="F859" s="22" t="s">
        <v>15</v>
      </c>
      <c r="G859" s="22" t="s">
        <v>16</v>
      </c>
      <c r="H859" s="22">
        <v>28</v>
      </c>
      <c r="I859" s="24">
        <v>43948</v>
      </c>
      <c r="J859" s="27">
        <v>705</v>
      </c>
      <c r="K859" s="25">
        <v>0.1</v>
      </c>
      <c r="L859" s="22" t="s">
        <v>17</v>
      </c>
      <c r="M859" s="23" t="s">
        <v>26</v>
      </c>
    </row>
    <row r="860" spans="1:13" x14ac:dyDescent="0.35">
      <c r="A860" s="22" t="s">
        <v>987</v>
      </c>
      <c r="B860" s="22" t="s">
        <v>1932</v>
      </c>
      <c r="C860" s="22" t="s">
        <v>71</v>
      </c>
      <c r="D860" s="22" t="s">
        <v>24</v>
      </c>
      <c r="E860" s="22" t="s">
        <v>1102</v>
      </c>
      <c r="F860" s="22" t="s">
        <v>25</v>
      </c>
      <c r="G860" s="22" t="s">
        <v>21</v>
      </c>
      <c r="H860" s="22">
        <v>47</v>
      </c>
      <c r="I860" s="24">
        <v>38607</v>
      </c>
      <c r="J860" s="27">
        <v>535</v>
      </c>
      <c r="K860" s="25">
        <v>0</v>
      </c>
      <c r="L860" s="22" t="s">
        <v>30</v>
      </c>
      <c r="M860" s="23" t="s">
        <v>52</v>
      </c>
    </row>
    <row r="861" spans="1:13" x14ac:dyDescent="0.35">
      <c r="A861" s="22" t="s">
        <v>105</v>
      </c>
      <c r="B861" s="22" t="s">
        <v>1933</v>
      </c>
      <c r="C861" s="22" t="s">
        <v>12</v>
      </c>
      <c r="D861" s="22" t="s">
        <v>24</v>
      </c>
      <c r="E861" s="22" t="s">
        <v>14</v>
      </c>
      <c r="F861" s="22" t="s">
        <v>15</v>
      </c>
      <c r="G861" s="22" t="s">
        <v>44</v>
      </c>
      <c r="H861" s="22">
        <v>43</v>
      </c>
      <c r="I861" s="24">
        <v>41237</v>
      </c>
      <c r="J861" s="27">
        <v>807</v>
      </c>
      <c r="K861" s="25">
        <v>0.32</v>
      </c>
      <c r="L861" s="22" t="s">
        <v>45</v>
      </c>
      <c r="M861" s="23" t="s">
        <v>66</v>
      </c>
    </row>
    <row r="862" spans="1:13" x14ac:dyDescent="0.35">
      <c r="A862" s="22" t="s">
        <v>142</v>
      </c>
      <c r="B862" s="22" t="s">
        <v>1934</v>
      </c>
      <c r="C862" s="22" t="s">
        <v>53</v>
      </c>
      <c r="D862" s="22" t="s">
        <v>13</v>
      </c>
      <c r="E862" s="22" t="s">
        <v>33</v>
      </c>
      <c r="F862" s="22" t="s">
        <v>15</v>
      </c>
      <c r="G862" s="22" t="s">
        <v>41</v>
      </c>
      <c r="H862" s="22">
        <v>42</v>
      </c>
      <c r="I862" s="24">
        <v>40918</v>
      </c>
      <c r="J862" s="27">
        <v>658</v>
      </c>
      <c r="K862" s="25">
        <v>0.09</v>
      </c>
      <c r="L862" s="22" t="s">
        <v>17</v>
      </c>
      <c r="M862" s="23" t="s">
        <v>40</v>
      </c>
    </row>
    <row r="863" spans="1:13" x14ac:dyDescent="0.35">
      <c r="A863" s="22" t="s">
        <v>988</v>
      </c>
      <c r="B863" s="22" t="s">
        <v>1935</v>
      </c>
      <c r="C863" s="22" t="s">
        <v>36</v>
      </c>
      <c r="D863" s="22" t="s">
        <v>24</v>
      </c>
      <c r="E863" s="22" t="s">
        <v>14</v>
      </c>
      <c r="F863" s="22" t="s">
        <v>25</v>
      </c>
      <c r="G863" s="22" t="s">
        <v>21</v>
      </c>
      <c r="H863" s="22">
        <v>45</v>
      </c>
      <c r="I863" s="24">
        <v>40097</v>
      </c>
      <c r="J863" s="27">
        <v>647</v>
      </c>
      <c r="K863" s="25">
        <v>0.3</v>
      </c>
      <c r="L863" s="22" t="s">
        <v>30</v>
      </c>
      <c r="M863" s="23" t="s">
        <v>65</v>
      </c>
    </row>
    <row r="864" spans="1:13" x14ac:dyDescent="0.35">
      <c r="A864" s="22" t="s">
        <v>989</v>
      </c>
      <c r="B864" s="22" t="s">
        <v>1936</v>
      </c>
      <c r="C864" s="22" t="s">
        <v>70</v>
      </c>
      <c r="D864" s="22" t="s">
        <v>28</v>
      </c>
      <c r="E864" s="22" t="s">
        <v>29</v>
      </c>
      <c r="F864" s="22" t="s">
        <v>15</v>
      </c>
      <c r="G864" s="22" t="s">
        <v>16</v>
      </c>
      <c r="H864" s="22">
        <v>37</v>
      </c>
      <c r="I864" s="24">
        <v>40261</v>
      </c>
      <c r="J864" s="27">
        <v>618</v>
      </c>
      <c r="K864" s="25">
        <v>0</v>
      </c>
      <c r="L864" s="22" t="s">
        <v>17</v>
      </c>
      <c r="M864" s="23" t="s">
        <v>18</v>
      </c>
    </row>
    <row r="865" spans="1:13" x14ac:dyDescent="0.35">
      <c r="A865" s="22" t="s">
        <v>990</v>
      </c>
      <c r="B865" s="22" t="s">
        <v>1098</v>
      </c>
      <c r="C865" s="22" t="s">
        <v>12</v>
      </c>
      <c r="D865" s="22" t="s">
        <v>24</v>
      </c>
      <c r="E865" s="22" t="s">
        <v>29</v>
      </c>
      <c r="F865" s="22" t="s">
        <v>15</v>
      </c>
      <c r="G865" s="22" t="s">
        <v>44</v>
      </c>
      <c r="H865" s="22">
        <v>46</v>
      </c>
      <c r="I865" s="24">
        <v>44076</v>
      </c>
      <c r="J865" s="27">
        <v>561</v>
      </c>
      <c r="K865" s="25">
        <v>0.32</v>
      </c>
      <c r="L865" s="22" t="s">
        <v>45</v>
      </c>
      <c r="M865" s="23" t="s">
        <v>1134</v>
      </c>
    </row>
    <row r="866" spans="1:13" x14ac:dyDescent="0.35">
      <c r="A866" s="22" t="s">
        <v>991</v>
      </c>
      <c r="B866" s="22" t="s">
        <v>1937</v>
      </c>
      <c r="C866" s="22" t="s">
        <v>68</v>
      </c>
      <c r="D866" s="22" t="s">
        <v>20</v>
      </c>
      <c r="E866" s="22" t="s">
        <v>1102</v>
      </c>
      <c r="F866" s="22" t="s">
        <v>15</v>
      </c>
      <c r="G866" s="22" t="s">
        <v>21</v>
      </c>
      <c r="H866" s="22">
        <v>49</v>
      </c>
      <c r="I866" s="24">
        <v>41927</v>
      </c>
      <c r="J866" s="27">
        <v>846</v>
      </c>
      <c r="K866" s="25">
        <v>0</v>
      </c>
      <c r="L866" s="22" t="s">
        <v>30</v>
      </c>
      <c r="M866" s="23" t="s">
        <v>52</v>
      </c>
    </row>
    <row r="867" spans="1:13" x14ac:dyDescent="0.35">
      <c r="A867" s="22" t="s">
        <v>992</v>
      </c>
      <c r="B867" s="22" t="s">
        <v>1938</v>
      </c>
      <c r="C867" s="22" t="s">
        <v>1111</v>
      </c>
      <c r="D867" s="22" t="s">
        <v>20</v>
      </c>
      <c r="E867" s="22" t="s">
        <v>29</v>
      </c>
      <c r="F867" s="22" t="s">
        <v>15</v>
      </c>
      <c r="G867" s="22" t="s">
        <v>16</v>
      </c>
      <c r="H867" s="22">
        <v>53</v>
      </c>
      <c r="I867" s="24">
        <v>39626</v>
      </c>
      <c r="J867" s="27">
        <v>940</v>
      </c>
      <c r="K867" s="25">
        <v>0.13</v>
      </c>
      <c r="L867" s="22" t="s">
        <v>17</v>
      </c>
      <c r="M867" s="23" t="s">
        <v>18</v>
      </c>
    </row>
    <row r="868" spans="1:13" x14ac:dyDescent="0.35">
      <c r="A868" s="22" t="s">
        <v>993</v>
      </c>
      <c r="B868" s="22" t="s">
        <v>1939</v>
      </c>
      <c r="C868" s="22" t="s">
        <v>77</v>
      </c>
      <c r="D868" s="22" t="s">
        <v>24</v>
      </c>
      <c r="E868" s="22" t="s">
        <v>33</v>
      </c>
      <c r="F868" s="22" t="s">
        <v>15</v>
      </c>
      <c r="G868" s="22" t="s">
        <v>21</v>
      </c>
      <c r="H868" s="22">
        <v>61</v>
      </c>
      <c r="I868" s="24">
        <v>40334</v>
      </c>
      <c r="J868" s="27">
        <v>730</v>
      </c>
      <c r="K868" s="25">
        <v>0</v>
      </c>
      <c r="L868" s="22" t="s">
        <v>30</v>
      </c>
      <c r="M868" s="23" t="s">
        <v>31</v>
      </c>
    </row>
    <row r="869" spans="1:13" x14ac:dyDescent="0.35">
      <c r="A869" s="22" t="s">
        <v>994</v>
      </c>
      <c r="B869" s="22" t="s">
        <v>1940</v>
      </c>
      <c r="C869" s="22" t="s">
        <v>55</v>
      </c>
      <c r="D869" s="22" t="s">
        <v>56</v>
      </c>
      <c r="E869" s="22" t="s">
        <v>33</v>
      </c>
      <c r="F869" s="22" t="s">
        <v>15</v>
      </c>
      <c r="G869" s="22" t="s">
        <v>21</v>
      </c>
      <c r="H869" s="22">
        <v>46</v>
      </c>
      <c r="I869" s="24">
        <v>37059</v>
      </c>
      <c r="J869" s="27">
        <v>691</v>
      </c>
      <c r="K869" s="25">
        <v>0</v>
      </c>
      <c r="L869" s="22" t="s">
        <v>17</v>
      </c>
      <c r="M869" s="23" t="s">
        <v>18</v>
      </c>
    </row>
    <row r="870" spans="1:13" x14ac:dyDescent="0.35">
      <c r="A870" s="22" t="s">
        <v>995</v>
      </c>
      <c r="B870" s="22" t="s">
        <v>1941</v>
      </c>
      <c r="C870" s="22" t="s">
        <v>12</v>
      </c>
      <c r="D870" s="22" t="s">
        <v>43</v>
      </c>
      <c r="E870" s="22" t="s">
        <v>33</v>
      </c>
      <c r="F870" s="22" t="s">
        <v>15</v>
      </c>
      <c r="G870" s="22" t="s">
        <v>16</v>
      </c>
      <c r="H870" s="22">
        <v>58</v>
      </c>
      <c r="I870" s="24">
        <v>42666</v>
      </c>
      <c r="J870" s="27">
        <v>961</v>
      </c>
      <c r="K870" s="25">
        <v>0.3</v>
      </c>
      <c r="L870" s="22" t="s">
        <v>17</v>
      </c>
      <c r="M870" s="23" t="s">
        <v>40</v>
      </c>
    </row>
    <row r="871" spans="1:13" x14ac:dyDescent="0.35">
      <c r="A871" s="22" t="s">
        <v>996</v>
      </c>
      <c r="B871" s="22" t="s">
        <v>1942</v>
      </c>
      <c r="C871" s="22" t="s">
        <v>36</v>
      </c>
      <c r="D871" s="22" t="s">
        <v>28</v>
      </c>
      <c r="E871" s="22" t="s">
        <v>14</v>
      </c>
      <c r="F871" s="22" t="s">
        <v>25</v>
      </c>
      <c r="G871" s="22" t="s">
        <v>16</v>
      </c>
      <c r="H871" s="22">
        <v>34</v>
      </c>
      <c r="I871" s="24">
        <v>44636</v>
      </c>
      <c r="J871" s="27">
        <v>593</v>
      </c>
      <c r="K871" s="25">
        <v>0.19</v>
      </c>
      <c r="L871" s="22" t="s">
        <v>17</v>
      </c>
      <c r="M871" s="23" t="s">
        <v>35</v>
      </c>
    </row>
    <row r="872" spans="1:13" x14ac:dyDescent="0.35">
      <c r="A872" s="22" t="s">
        <v>150</v>
      </c>
      <c r="B872" s="22" t="s">
        <v>1943</v>
      </c>
      <c r="C872" s="22" t="s">
        <v>48</v>
      </c>
      <c r="D872" s="22" t="s">
        <v>24</v>
      </c>
      <c r="E872" s="22" t="s">
        <v>33</v>
      </c>
      <c r="F872" s="22" t="s">
        <v>15</v>
      </c>
      <c r="G872" s="22" t="s">
        <v>41</v>
      </c>
      <c r="H872" s="22">
        <v>54</v>
      </c>
      <c r="I872" s="24">
        <v>36814</v>
      </c>
      <c r="J872" s="27">
        <v>662</v>
      </c>
      <c r="K872" s="25">
        <v>0.05</v>
      </c>
      <c r="L872" s="22" t="s">
        <v>17</v>
      </c>
      <c r="M872" s="23" t="s">
        <v>18</v>
      </c>
    </row>
    <row r="873" spans="1:13" x14ac:dyDescent="0.35">
      <c r="A873" s="22" t="s">
        <v>997</v>
      </c>
      <c r="B873" s="22" t="s">
        <v>1944</v>
      </c>
      <c r="C873" s="22" t="s">
        <v>42</v>
      </c>
      <c r="D873" s="22" t="s">
        <v>43</v>
      </c>
      <c r="E873" s="22" t="s">
        <v>1102</v>
      </c>
      <c r="F873" s="22" t="s">
        <v>25</v>
      </c>
      <c r="G873" s="22" t="s">
        <v>21</v>
      </c>
      <c r="H873" s="22">
        <v>41</v>
      </c>
      <c r="I873" s="24">
        <v>39840</v>
      </c>
      <c r="J873" s="27">
        <v>967</v>
      </c>
      <c r="K873" s="25">
        <v>0</v>
      </c>
      <c r="L873" s="22" t="s">
        <v>30</v>
      </c>
      <c r="M873" s="23" t="s">
        <v>61</v>
      </c>
    </row>
    <row r="874" spans="1:13" x14ac:dyDescent="0.35">
      <c r="A874" s="22" t="s">
        <v>998</v>
      </c>
      <c r="B874" s="22" t="s">
        <v>1945</v>
      </c>
      <c r="C874" s="22" t="s">
        <v>59</v>
      </c>
      <c r="D874" s="22" t="s">
        <v>24</v>
      </c>
      <c r="E874" s="22" t="s">
        <v>1102</v>
      </c>
      <c r="F874" s="22" t="s">
        <v>15</v>
      </c>
      <c r="G874" s="22" t="s">
        <v>21</v>
      </c>
      <c r="H874" s="22">
        <v>28</v>
      </c>
      <c r="I874" s="24">
        <v>44510</v>
      </c>
      <c r="J874" s="27">
        <v>965</v>
      </c>
      <c r="K874" s="25">
        <v>0</v>
      </c>
      <c r="L874" s="22" t="s">
        <v>30</v>
      </c>
      <c r="M874" s="23" t="s">
        <v>31</v>
      </c>
    </row>
    <row r="875" spans="1:13" x14ac:dyDescent="0.35">
      <c r="A875" s="22" t="s">
        <v>134</v>
      </c>
      <c r="B875" s="22" t="s">
        <v>173</v>
      </c>
      <c r="C875" s="22" t="s">
        <v>70</v>
      </c>
      <c r="D875" s="22" t="s">
        <v>28</v>
      </c>
      <c r="E875" s="22" t="s">
        <v>29</v>
      </c>
      <c r="F875" s="22" t="s">
        <v>25</v>
      </c>
      <c r="G875" s="22" t="s">
        <v>41</v>
      </c>
      <c r="H875" s="22">
        <v>62</v>
      </c>
      <c r="I875" s="24">
        <v>38898</v>
      </c>
      <c r="J875" s="27">
        <v>586</v>
      </c>
      <c r="K875" s="25">
        <v>0</v>
      </c>
      <c r="L875" s="22" t="s">
        <v>17</v>
      </c>
      <c r="M875" s="23" t="s">
        <v>35</v>
      </c>
    </row>
    <row r="876" spans="1:13" x14ac:dyDescent="0.35">
      <c r="A876" s="22" t="s">
        <v>999</v>
      </c>
      <c r="B876" s="22" t="s">
        <v>1946</v>
      </c>
      <c r="C876" s="22" t="s">
        <v>36</v>
      </c>
      <c r="D876" s="22" t="s">
        <v>20</v>
      </c>
      <c r="E876" s="22" t="s">
        <v>33</v>
      </c>
      <c r="F876" s="22" t="s">
        <v>25</v>
      </c>
      <c r="G876" s="22" t="s">
        <v>16</v>
      </c>
      <c r="H876" s="22">
        <v>59</v>
      </c>
      <c r="I876" s="24">
        <v>44744</v>
      </c>
      <c r="J876" s="27">
        <v>532</v>
      </c>
      <c r="K876" s="25">
        <v>0.26</v>
      </c>
      <c r="L876" s="22" t="s">
        <v>17</v>
      </c>
      <c r="M876" s="23" t="s">
        <v>18</v>
      </c>
    </row>
    <row r="877" spans="1:13" x14ac:dyDescent="0.35">
      <c r="A877" s="22" t="s">
        <v>120</v>
      </c>
      <c r="B877" s="22" t="s">
        <v>1947</v>
      </c>
      <c r="C877" s="22" t="s">
        <v>36</v>
      </c>
      <c r="D877" s="22" t="s">
        <v>39</v>
      </c>
      <c r="E877" s="22" t="s">
        <v>33</v>
      </c>
      <c r="F877" s="22" t="s">
        <v>15</v>
      </c>
      <c r="G877" s="22" t="s">
        <v>16</v>
      </c>
      <c r="H877" s="22">
        <v>35</v>
      </c>
      <c r="I877" s="24">
        <v>41067</v>
      </c>
      <c r="J877" s="27">
        <v>762</v>
      </c>
      <c r="K877" s="25">
        <v>0.27</v>
      </c>
      <c r="L877" s="22" t="s">
        <v>17</v>
      </c>
      <c r="M877" s="23" t="s">
        <v>35</v>
      </c>
    </row>
    <row r="878" spans="1:13" x14ac:dyDescent="0.35">
      <c r="A878" s="22" t="s">
        <v>1000</v>
      </c>
      <c r="B878" s="22" t="s">
        <v>1948</v>
      </c>
      <c r="C878" s="22" t="s">
        <v>55</v>
      </c>
      <c r="D878" s="22" t="s">
        <v>39</v>
      </c>
      <c r="E878" s="22" t="s">
        <v>33</v>
      </c>
      <c r="F878" s="22" t="s">
        <v>25</v>
      </c>
      <c r="G878" s="22" t="s">
        <v>44</v>
      </c>
      <c r="H878" s="22">
        <v>31</v>
      </c>
      <c r="I878" s="24">
        <v>43970</v>
      </c>
      <c r="J878" s="27">
        <v>854</v>
      </c>
      <c r="K878" s="25">
        <v>0</v>
      </c>
      <c r="L878" s="22" t="s">
        <v>17</v>
      </c>
      <c r="M878" s="23" t="s">
        <v>54</v>
      </c>
    </row>
    <row r="879" spans="1:13" x14ac:dyDescent="0.35">
      <c r="A879" s="22" t="s">
        <v>1001</v>
      </c>
      <c r="B879" s="22" t="s">
        <v>1949</v>
      </c>
      <c r="C879" s="22" t="s">
        <v>53</v>
      </c>
      <c r="D879" s="22" t="s">
        <v>24</v>
      </c>
      <c r="E879" s="22" t="s">
        <v>1102</v>
      </c>
      <c r="F879" s="22" t="s">
        <v>25</v>
      </c>
      <c r="G879" s="22" t="s">
        <v>21</v>
      </c>
      <c r="H879" s="22">
        <v>55</v>
      </c>
      <c r="I879" s="24">
        <v>34527</v>
      </c>
      <c r="J879" s="27">
        <v>630</v>
      </c>
      <c r="K879" s="25">
        <v>0.08</v>
      </c>
      <c r="L879" s="22" t="s">
        <v>30</v>
      </c>
      <c r="M879" s="23" t="s">
        <v>61</v>
      </c>
    </row>
    <row r="880" spans="1:13" x14ac:dyDescent="0.35">
      <c r="A880" s="22" t="s">
        <v>1002</v>
      </c>
      <c r="B880" s="22" t="s">
        <v>1950</v>
      </c>
      <c r="C880" s="22" t="s">
        <v>51</v>
      </c>
      <c r="D880" s="22" t="s">
        <v>28</v>
      </c>
      <c r="E880" s="22" t="s">
        <v>14</v>
      </c>
      <c r="F880" s="22" t="s">
        <v>25</v>
      </c>
      <c r="G880" s="22" t="s">
        <v>21</v>
      </c>
      <c r="H880" s="22">
        <v>46</v>
      </c>
      <c r="I880" s="24">
        <v>36889</v>
      </c>
      <c r="J880" s="27">
        <v>925</v>
      </c>
      <c r="K880" s="25">
        <v>0</v>
      </c>
      <c r="L880" s="22" t="s">
        <v>30</v>
      </c>
      <c r="M880" s="23" t="s">
        <v>31</v>
      </c>
    </row>
    <row r="881" spans="1:13" x14ac:dyDescent="0.35">
      <c r="A881" s="22" t="s">
        <v>227</v>
      </c>
      <c r="B881" s="22" t="s">
        <v>1951</v>
      </c>
      <c r="C881" s="22" t="s">
        <v>69</v>
      </c>
      <c r="D881" s="22" t="s">
        <v>28</v>
      </c>
      <c r="E881" s="22" t="s">
        <v>29</v>
      </c>
      <c r="F881" s="22" t="s">
        <v>25</v>
      </c>
      <c r="G881" s="22" t="s">
        <v>44</v>
      </c>
      <c r="H881" s="22">
        <v>36</v>
      </c>
      <c r="I881" s="24">
        <v>41026</v>
      </c>
      <c r="J881" s="27">
        <v>570</v>
      </c>
      <c r="K881" s="25">
        <v>0</v>
      </c>
      <c r="L881" s="22" t="s">
        <v>17</v>
      </c>
      <c r="M881" s="23" t="s">
        <v>22</v>
      </c>
    </row>
    <row r="882" spans="1:13" x14ac:dyDescent="0.35">
      <c r="A882" s="22" t="s">
        <v>1003</v>
      </c>
      <c r="B882" s="22" t="s">
        <v>1952</v>
      </c>
      <c r="C882" s="22" t="s">
        <v>1111</v>
      </c>
      <c r="D882" s="22" t="s">
        <v>43</v>
      </c>
      <c r="E882" s="22" t="s">
        <v>14</v>
      </c>
      <c r="F882" s="22" t="s">
        <v>25</v>
      </c>
      <c r="G882" s="22" t="s">
        <v>21</v>
      </c>
      <c r="H882" s="22">
        <v>27</v>
      </c>
      <c r="I882" s="24">
        <v>44417</v>
      </c>
      <c r="J882" s="27">
        <v>738</v>
      </c>
      <c r="K882" s="25">
        <v>0.12</v>
      </c>
      <c r="L882" s="22" t="s">
        <v>17</v>
      </c>
      <c r="M882" s="23" t="s">
        <v>35</v>
      </c>
    </row>
    <row r="883" spans="1:13" x14ac:dyDescent="0.35">
      <c r="A883" s="22" t="s">
        <v>1004</v>
      </c>
      <c r="B883" s="22" t="s">
        <v>1953</v>
      </c>
      <c r="C883" s="22" t="s">
        <v>74</v>
      </c>
      <c r="D883" s="22" t="s">
        <v>43</v>
      </c>
      <c r="E883" s="22" t="s">
        <v>1102</v>
      </c>
      <c r="F883" s="22" t="s">
        <v>15</v>
      </c>
      <c r="G883" s="22" t="s">
        <v>21</v>
      </c>
      <c r="H883" s="22">
        <v>50</v>
      </c>
      <c r="I883" s="24">
        <v>42708</v>
      </c>
      <c r="J883" s="27">
        <v>700</v>
      </c>
      <c r="K883" s="25">
        <v>0</v>
      </c>
      <c r="L883" s="22" t="s">
        <v>30</v>
      </c>
      <c r="M883" s="23" t="s">
        <v>65</v>
      </c>
    </row>
    <row r="884" spans="1:13" x14ac:dyDescent="0.35">
      <c r="A884" s="22" t="s">
        <v>229</v>
      </c>
      <c r="B884" s="22" t="s">
        <v>1954</v>
      </c>
      <c r="C884" s="22" t="s">
        <v>57</v>
      </c>
      <c r="D884" s="22" t="s">
        <v>56</v>
      </c>
      <c r="E884" s="22" t="s">
        <v>29</v>
      </c>
      <c r="F884" s="22" t="s">
        <v>25</v>
      </c>
      <c r="G884" s="22" t="s">
        <v>16</v>
      </c>
      <c r="H884" s="22">
        <v>27</v>
      </c>
      <c r="I884" s="24">
        <v>44567</v>
      </c>
      <c r="J884" s="27">
        <v>995</v>
      </c>
      <c r="K884" s="25">
        <v>0</v>
      </c>
      <c r="L884" s="22" t="s">
        <v>17</v>
      </c>
      <c r="M884" s="23" t="s">
        <v>26</v>
      </c>
    </row>
    <row r="885" spans="1:13" x14ac:dyDescent="0.35">
      <c r="A885" s="22" t="s">
        <v>1005</v>
      </c>
      <c r="B885" s="22" t="s">
        <v>1955</v>
      </c>
      <c r="C885" s="22" t="s">
        <v>53</v>
      </c>
      <c r="D885" s="22" t="s">
        <v>39</v>
      </c>
      <c r="E885" s="22" t="s">
        <v>1102</v>
      </c>
      <c r="F885" s="22" t="s">
        <v>25</v>
      </c>
      <c r="G885" s="22" t="s">
        <v>16</v>
      </c>
      <c r="H885" s="22">
        <v>25</v>
      </c>
      <c r="I885" s="24">
        <v>44884</v>
      </c>
      <c r="J885" s="27">
        <v>521</v>
      </c>
      <c r="K885" s="25">
        <v>0.08</v>
      </c>
      <c r="L885" s="22" t="s">
        <v>17</v>
      </c>
      <c r="M885" s="23" t="s">
        <v>26</v>
      </c>
    </row>
    <row r="886" spans="1:13" x14ac:dyDescent="0.35">
      <c r="A886" s="22" t="s">
        <v>1006</v>
      </c>
      <c r="B886" s="22" t="s">
        <v>1956</v>
      </c>
      <c r="C886" s="22" t="s">
        <v>57</v>
      </c>
      <c r="D886" s="22" t="s">
        <v>56</v>
      </c>
      <c r="E886" s="22" t="s">
        <v>33</v>
      </c>
      <c r="F886" s="22" t="s">
        <v>25</v>
      </c>
      <c r="G886" s="22" t="s">
        <v>21</v>
      </c>
      <c r="H886" s="22">
        <v>42</v>
      </c>
      <c r="I886" s="24">
        <v>41980</v>
      </c>
      <c r="J886" s="27">
        <v>918</v>
      </c>
      <c r="K886" s="25">
        <v>0</v>
      </c>
      <c r="L886" s="22" t="s">
        <v>30</v>
      </c>
      <c r="M886" s="23" t="s">
        <v>52</v>
      </c>
    </row>
    <row r="887" spans="1:13" x14ac:dyDescent="0.35">
      <c r="A887" s="22" t="s">
        <v>1007</v>
      </c>
      <c r="B887" s="22" t="s">
        <v>1957</v>
      </c>
      <c r="C887" s="22" t="s">
        <v>42</v>
      </c>
      <c r="D887" s="22" t="s">
        <v>43</v>
      </c>
      <c r="E887" s="22" t="s">
        <v>1102</v>
      </c>
      <c r="F887" s="22" t="s">
        <v>15</v>
      </c>
      <c r="G887" s="22" t="s">
        <v>44</v>
      </c>
      <c r="H887" s="22">
        <v>65</v>
      </c>
      <c r="I887" s="24">
        <v>35753</v>
      </c>
      <c r="J887" s="27">
        <v>666</v>
      </c>
      <c r="K887" s="25">
        <v>0</v>
      </c>
      <c r="L887" s="22" t="s">
        <v>45</v>
      </c>
      <c r="M887" s="23" t="s">
        <v>46</v>
      </c>
    </row>
    <row r="888" spans="1:13" x14ac:dyDescent="0.35">
      <c r="A888" s="22" t="s">
        <v>272</v>
      </c>
      <c r="B888" s="22" t="s">
        <v>1958</v>
      </c>
      <c r="C888" s="22" t="s">
        <v>1111</v>
      </c>
      <c r="D888" s="22" t="s">
        <v>20</v>
      </c>
      <c r="E888" s="22" t="s">
        <v>1102</v>
      </c>
      <c r="F888" s="22" t="s">
        <v>25</v>
      </c>
      <c r="G888" s="22" t="s">
        <v>21</v>
      </c>
      <c r="H888" s="22">
        <v>57</v>
      </c>
      <c r="I888" s="24">
        <v>40979</v>
      </c>
      <c r="J888" s="27">
        <v>970</v>
      </c>
      <c r="K888" s="25">
        <v>0.11</v>
      </c>
      <c r="L888" s="22" t="s">
        <v>17</v>
      </c>
      <c r="M888" s="23" t="s">
        <v>22</v>
      </c>
    </row>
    <row r="889" spans="1:13" x14ac:dyDescent="0.35">
      <c r="A889" s="22" t="s">
        <v>266</v>
      </c>
      <c r="B889" s="22" t="s">
        <v>161</v>
      </c>
      <c r="C889" s="22" t="s">
        <v>53</v>
      </c>
      <c r="D889" s="22" t="s">
        <v>56</v>
      </c>
      <c r="E889" s="22" t="s">
        <v>33</v>
      </c>
      <c r="F889" s="22" t="s">
        <v>15</v>
      </c>
      <c r="G889" s="22" t="s">
        <v>16</v>
      </c>
      <c r="H889" s="22">
        <v>44</v>
      </c>
      <c r="I889" s="24">
        <v>40187</v>
      </c>
      <c r="J889" s="27">
        <v>626</v>
      </c>
      <c r="K889" s="25">
        <v>0.06</v>
      </c>
      <c r="L889" s="22" t="s">
        <v>17</v>
      </c>
      <c r="M889" s="23" t="s">
        <v>22</v>
      </c>
    </row>
    <row r="890" spans="1:13" x14ac:dyDescent="0.35">
      <c r="A890" s="22" t="s">
        <v>1008</v>
      </c>
      <c r="B890" s="22" t="s">
        <v>1959</v>
      </c>
      <c r="C890" s="22" t="s">
        <v>60</v>
      </c>
      <c r="D890" s="22" t="s">
        <v>24</v>
      </c>
      <c r="E890" s="22" t="s">
        <v>29</v>
      </c>
      <c r="F890" s="22" t="s">
        <v>15</v>
      </c>
      <c r="G890" s="22" t="s">
        <v>44</v>
      </c>
      <c r="H890" s="22">
        <v>37</v>
      </c>
      <c r="I890" s="24">
        <v>42724</v>
      </c>
      <c r="J890" s="27">
        <v>703</v>
      </c>
      <c r="K890" s="25">
        <v>0</v>
      </c>
      <c r="L890" s="22" t="s">
        <v>17</v>
      </c>
      <c r="M890" s="23" t="s">
        <v>40</v>
      </c>
    </row>
    <row r="891" spans="1:13" x14ac:dyDescent="0.35">
      <c r="A891" s="22" t="s">
        <v>1009</v>
      </c>
      <c r="B891" s="22" t="s">
        <v>1960</v>
      </c>
      <c r="C891" s="22" t="s">
        <v>77</v>
      </c>
      <c r="D891" s="22" t="s">
        <v>24</v>
      </c>
      <c r="E891" s="22" t="s">
        <v>14</v>
      </c>
      <c r="F891" s="22" t="s">
        <v>15</v>
      </c>
      <c r="G891" s="22" t="s">
        <v>21</v>
      </c>
      <c r="H891" s="22">
        <v>52</v>
      </c>
      <c r="I891" s="24">
        <v>43459</v>
      </c>
      <c r="J891" s="27">
        <v>725</v>
      </c>
      <c r="K891" s="25">
        <v>0</v>
      </c>
      <c r="L891" s="22" t="s">
        <v>17</v>
      </c>
      <c r="M891" s="23" t="s">
        <v>40</v>
      </c>
    </row>
    <row r="892" spans="1:13" x14ac:dyDescent="0.35">
      <c r="A892" s="22" t="s">
        <v>1010</v>
      </c>
      <c r="B892" s="22" t="s">
        <v>1961</v>
      </c>
      <c r="C892" s="22" t="s">
        <v>1111</v>
      </c>
      <c r="D892" s="22" t="s">
        <v>20</v>
      </c>
      <c r="E892" s="22" t="s">
        <v>29</v>
      </c>
      <c r="F892" s="22" t="s">
        <v>25</v>
      </c>
      <c r="G892" s="22" t="s">
        <v>44</v>
      </c>
      <c r="H892" s="22">
        <v>49</v>
      </c>
      <c r="I892" s="24">
        <v>41691</v>
      </c>
      <c r="J892" s="27">
        <v>862</v>
      </c>
      <c r="K892" s="25">
        <v>0.1</v>
      </c>
      <c r="L892" s="22" t="s">
        <v>45</v>
      </c>
      <c r="M892" s="23" t="s">
        <v>1134</v>
      </c>
    </row>
    <row r="893" spans="1:13" x14ac:dyDescent="0.35">
      <c r="A893" s="22" t="s">
        <v>1011</v>
      </c>
      <c r="B893" s="22" t="s">
        <v>1962</v>
      </c>
      <c r="C893" s="22" t="s">
        <v>62</v>
      </c>
      <c r="D893" s="22" t="s">
        <v>24</v>
      </c>
      <c r="E893" s="22" t="s">
        <v>14</v>
      </c>
      <c r="F893" s="22" t="s">
        <v>25</v>
      </c>
      <c r="G893" s="22" t="s">
        <v>44</v>
      </c>
      <c r="H893" s="22">
        <v>47</v>
      </c>
      <c r="I893" s="24">
        <v>37970</v>
      </c>
      <c r="J893" s="27">
        <v>737</v>
      </c>
      <c r="K893" s="25">
        <v>0</v>
      </c>
      <c r="L893" s="22" t="s">
        <v>45</v>
      </c>
      <c r="M893" s="23" t="s">
        <v>46</v>
      </c>
    </row>
    <row r="894" spans="1:13" x14ac:dyDescent="0.35">
      <c r="A894" s="22" t="s">
        <v>1012</v>
      </c>
      <c r="B894" s="22" t="s">
        <v>1963</v>
      </c>
      <c r="C894" s="22" t="s">
        <v>57</v>
      </c>
      <c r="D894" s="22" t="s">
        <v>56</v>
      </c>
      <c r="E894" s="22" t="s">
        <v>33</v>
      </c>
      <c r="F894" s="22" t="s">
        <v>15</v>
      </c>
      <c r="G894" s="22" t="s">
        <v>21</v>
      </c>
      <c r="H894" s="22">
        <v>42</v>
      </c>
      <c r="I894" s="24">
        <v>43552</v>
      </c>
      <c r="J894" s="27">
        <v>596</v>
      </c>
      <c r="K894" s="25">
        <v>0</v>
      </c>
      <c r="L894" s="22" t="s">
        <v>30</v>
      </c>
      <c r="M894" s="23" t="s">
        <v>31</v>
      </c>
    </row>
    <row r="895" spans="1:13" x14ac:dyDescent="0.35">
      <c r="A895" s="22" t="s">
        <v>202</v>
      </c>
      <c r="B895" s="22" t="s">
        <v>1964</v>
      </c>
      <c r="C895" s="22" t="s">
        <v>62</v>
      </c>
      <c r="D895" s="22" t="s">
        <v>24</v>
      </c>
      <c r="E895" s="22" t="s">
        <v>33</v>
      </c>
      <c r="F895" s="22" t="s">
        <v>25</v>
      </c>
      <c r="G895" s="22" t="s">
        <v>41</v>
      </c>
      <c r="H895" s="22">
        <v>61</v>
      </c>
      <c r="I895" s="24">
        <v>40884</v>
      </c>
      <c r="J895" s="27">
        <v>698</v>
      </c>
      <c r="K895" s="25">
        <v>0</v>
      </c>
      <c r="L895" s="22" t="s">
        <v>17</v>
      </c>
      <c r="M895" s="23" t="s">
        <v>18</v>
      </c>
    </row>
    <row r="896" spans="1:13" x14ac:dyDescent="0.35">
      <c r="A896" s="22" t="s">
        <v>1013</v>
      </c>
      <c r="B896" s="22" t="s">
        <v>1965</v>
      </c>
      <c r="C896" s="22" t="s">
        <v>38</v>
      </c>
      <c r="D896" s="22" t="s">
        <v>56</v>
      </c>
      <c r="E896" s="22" t="s">
        <v>29</v>
      </c>
      <c r="F896" s="22" t="s">
        <v>15</v>
      </c>
      <c r="G896" s="22" t="s">
        <v>21</v>
      </c>
      <c r="H896" s="22">
        <v>33</v>
      </c>
      <c r="I896" s="24">
        <v>43879</v>
      </c>
      <c r="J896" s="27">
        <v>633</v>
      </c>
      <c r="K896" s="25">
        <v>0</v>
      </c>
      <c r="L896" s="22" t="s">
        <v>30</v>
      </c>
      <c r="M896" s="23" t="s">
        <v>52</v>
      </c>
    </row>
    <row r="897" spans="1:13" x14ac:dyDescent="0.35">
      <c r="A897" s="22" t="s">
        <v>1014</v>
      </c>
      <c r="B897" s="22" t="s">
        <v>1966</v>
      </c>
      <c r="C897" s="22" t="s">
        <v>53</v>
      </c>
      <c r="D897" s="22" t="s">
        <v>20</v>
      </c>
      <c r="E897" s="22" t="s">
        <v>33</v>
      </c>
      <c r="F897" s="22" t="s">
        <v>25</v>
      </c>
      <c r="G897" s="22" t="s">
        <v>41</v>
      </c>
      <c r="H897" s="22">
        <v>45</v>
      </c>
      <c r="I897" s="24">
        <v>43300</v>
      </c>
      <c r="J897" s="27">
        <v>974</v>
      </c>
      <c r="K897" s="25">
        <v>0.09</v>
      </c>
      <c r="L897" s="22" t="s">
        <v>17</v>
      </c>
      <c r="M897" s="23" t="s">
        <v>26</v>
      </c>
    </row>
    <row r="898" spans="1:13" x14ac:dyDescent="0.35">
      <c r="A898" s="22" t="s">
        <v>1015</v>
      </c>
      <c r="B898" s="22" t="s">
        <v>1967</v>
      </c>
      <c r="C898" s="22" t="s">
        <v>53</v>
      </c>
      <c r="D898" s="22" t="s">
        <v>39</v>
      </c>
      <c r="E898" s="22" t="s">
        <v>1102</v>
      </c>
      <c r="F898" s="22" t="s">
        <v>25</v>
      </c>
      <c r="G898" s="22" t="s">
        <v>16</v>
      </c>
      <c r="H898" s="22">
        <v>30</v>
      </c>
      <c r="I898" s="24">
        <v>43751</v>
      </c>
      <c r="J898" s="27">
        <v>718</v>
      </c>
      <c r="K898" s="25">
        <v>0.06</v>
      </c>
      <c r="L898" s="22" t="s">
        <v>17</v>
      </c>
      <c r="M898" s="23" t="s">
        <v>54</v>
      </c>
    </row>
    <row r="899" spans="1:13" x14ac:dyDescent="0.35">
      <c r="A899" s="22" t="s">
        <v>220</v>
      </c>
      <c r="B899" s="22" t="s">
        <v>1968</v>
      </c>
      <c r="C899" s="22" t="s">
        <v>48</v>
      </c>
      <c r="D899" s="22" t="s">
        <v>24</v>
      </c>
      <c r="E899" s="22" t="s">
        <v>29</v>
      </c>
      <c r="F899" s="22" t="s">
        <v>25</v>
      </c>
      <c r="G899" s="22" t="s">
        <v>44</v>
      </c>
      <c r="H899" s="22">
        <v>53</v>
      </c>
      <c r="I899" s="24">
        <v>43207</v>
      </c>
      <c r="J899" s="27">
        <v>811</v>
      </c>
      <c r="K899" s="25">
        <v>7.0000000000000007E-2</v>
      </c>
      <c r="L899" s="22" t="s">
        <v>45</v>
      </c>
      <c r="M899" s="23" t="s">
        <v>1134</v>
      </c>
    </row>
    <row r="900" spans="1:13" x14ac:dyDescent="0.35">
      <c r="A900" s="22" t="s">
        <v>268</v>
      </c>
      <c r="B900" s="22" t="s">
        <v>1969</v>
      </c>
      <c r="C900" s="22" t="s">
        <v>53</v>
      </c>
      <c r="D900" s="22" t="s">
        <v>13</v>
      </c>
      <c r="E900" s="22" t="s">
        <v>14</v>
      </c>
      <c r="F900" s="22" t="s">
        <v>25</v>
      </c>
      <c r="G900" s="22" t="s">
        <v>44</v>
      </c>
      <c r="H900" s="22">
        <v>62</v>
      </c>
      <c r="I900" s="24">
        <v>35776</v>
      </c>
      <c r="J900" s="27">
        <v>736</v>
      </c>
      <c r="K900" s="25">
        <v>0.1</v>
      </c>
      <c r="L900" s="22" t="s">
        <v>17</v>
      </c>
      <c r="M900" s="23" t="s">
        <v>54</v>
      </c>
    </row>
    <row r="901" spans="1:13" x14ac:dyDescent="0.35">
      <c r="A901" s="22" t="s">
        <v>1016</v>
      </c>
      <c r="B901" s="22" t="s">
        <v>1970</v>
      </c>
      <c r="C901" s="22" t="s">
        <v>83</v>
      </c>
      <c r="D901" s="22" t="s">
        <v>28</v>
      </c>
      <c r="E901" s="22" t="s">
        <v>33</v>
      </c>
      <c r="F901" s="22" t="s">
        <v>15</v>
      </c>
      <c r="G901" s="22" t="s">
        <v>21</v>
      </c>
      <c r="H901" s="22">
        <v>37</v>
      </c>
      <c r="I901" s="24">
        <v>42846</v>
      </c>
      <c r="J901" s="27">
        <v>934</v>
      </c>
      <c r="K901" s="25">
        <v>0</v>
      </c>
      <c r="L901" s="22" t="s">
        <v>30</v>
      </c>
      <c r="M901" s="23" t="s">
        <v>65</v>
      </c>
    </row>
    <row r="902" spans="1:13" x14ac:dyDescent="0.35">
      <c r="A902" s="22" t="s">
        <v>1017</v>
      </c>
      <c r="B902" s="22" t="s">
        <v>1971</v>
      </c>
      <c r="C902" s="22" t="s">
        <v>32</v>
      </c>
      <c r="D902" s="22" t="s">
        <v>24</v>
      </c>
      <c r="E902" s="22" t="s">
        <v>14</v>
      </c>
      <c r="F902" s="22" t="s">
        <v>15</v>
      </c>
      <c r="G902" s="22" t="s">
        <v>44</v>
      </c>
      <c r="H902" s="22">
        <v>62</v>
      </c>
      <c r="I902" s="24">
        <v>34145</v>
      </c>
      <c r="J902" s="27">
        <v>933</v>
      </c>
      <c r="K902" s="25">
        <v>0</v>
      </c>
      <c r="L902" s="22" t="s">
        <v>17</v>
      </c>
      <c r="M902" s="23" t="s">
        <v>35</v>
      </c>
    </row>
    <row r="903" spans="1:13" x14ac:dyDescent="0.35">
      <c r="A903" s="22" t="s">
        <v>82</v>
      </c>
      <c r="B903" s="22" t="s">
        <v>1972</v>
      </c>
      <c r="C903" s="22" t="s">
        <v>68</v>
      </c>
      <c r="D903" s="22" t="s">
        <v>20</v>
      </c>
      <c r="E903" s="22" t="s">
        <v>14</v>
      </c>
      <c r="F903" s="22" t="s">
        <v>15</v>
      </c>
      <c r="G903" s="22" t="s">
        <v>44</v>
      </c>
      <c r="H903" s="22">
        <v>63</v>
      </c>
      <c r="I903" s="24">
        <v>37071</v>
      </c>
      <c r="J903" s="27">
        <v>653</v>
      </c>
      <c r="K903" s="25">
        <v>0</v>
      </c>
      <c r="L903" s="22" t="s">
        <v>45</v>
      </c>
      <c r="M903" s="23" t="s">
        <v>66</v>
      </c>
    </row>
    <row r="904" spans="1:13" x14ac:dyDescent="0.35">
      <c r="A904" s="22" t="s">
        <v>1018</v>
      </c>
      <c r="B904" s="22" t="s">
        <v>1973</v>
      </c>
      <c r="C904" s="22" t="s">
        <v>12</v>
      </c>
      <c r="D904" s="22" t="s">
        <v>13</v>
      </c>
      <c r="E904" s="22" t="s">
        <v>29</v>
      </c>
      <c r="F904" s="22" t="s">
        <v>15</v>
      </c>
      <c r="G904" s="22" t="s">
        <v>21</v>
      </c>
      <c r="H904" s="22">
        <v>39</v>
      </c>
      <c r="I904" s="24">
        <v>42849</v>
      </c>
      <c r="J904" s="27">
        <v>710</v>
      </c>
      <c r="K904" s="25">
        <v>0.39</v>
      </c>
      <c r="L904" s="22" t="s">
        <v>30</v>
      </c>
      <c r="M904" s="23" t="s">
        <v>31</v>
      </c>
    </row>
    <row r="905" spans="1:13" x14ac:dyDescent="0.35">
      <c r="A905" s="22" t="s">
        <v>1019</v>
      </c>
      <c r="B905" s="22" t="s">
        <v>1974</v>
      </c>
      <c r="C905" s="22" t="s">
        <v>53</v>
      </c>
      <c r="D905" s="22" t="s">
        <v>56</v>
      </c>
      <c r="E905" s="22" t="s">
        <v>33</v>
      </c>
      <c r="F905" s="22" t="s">
        <v>25</v>
      </c>
      <c r="G905" s="22" t="s">
        <v>41</v>
      </c>
      <c r="H905" s="22">
        <v>52</v>
      </c>
      <c r="I905" s="24">
        <v>37399</v>
      </c>
      <c r="J905" s="27">
        <v>999</v>
      </c>
      <c r="K905" s="25">
        <v>0.09</v>
      </c>
      <c r="L905" s="22" t="s">
        <v>17</v>
      </c>
      <c r="M905" s="23" t="s">
        <v>40</v>
      </c>
    </row>
    <row r="906" spans="1:13" x14ac:dyDescent="0.35">
      <c r="A906" s="22" t="s">
        <v>1020</v>
      </c>
      <c r="B906" s="22" t="s">
        <v>1975</v>
      </c>
      <c r="C906" s="22" t="s">
        <v>36</v>
      </c>
      <c r="D906" s="22" t="s">
        <v>39</v>
      </c>
      <c r="E906" s="22" t="s">
        <v>1102</v>
      </c>
      <c r="F906" s="22" t="s">
        <v>25</v>
      </c>
      <c r="G906" s="22" t="s">
        <v>21</v>
      </c>
      <c r="H906" s="22">
        <v>54</v>
      </c>
      <c r="I906" s="24">
        <v>40461</v>
      </c>
      <c r="J906" s="27">
        <v>655</v>
      </c>
      <c r="K906" s="25">
        <v>0.22</v>
      </c>
      <c r="L906" s="22" t="s">
        <v>30</v>
      </c>
      <c r="M906" s="23" t="s">
        <v>65</v>
      </c>
    </row>
    <row r="907" spans="1:13" x14ac:dyDescent="0.35">
      <c r="A907" s="22" t="s">
        <v>245</v>
      </c>
      <c r="B907" s="22" t="s">
        <v>1976</v>
      </c>
      <c r="C907" s="22" t="s">
        <v>12</v>
      </c>
      <c r="D907" s="22" t="s">
        <v>39</v>
      </c>
      <c r="E907" s="22" t="s">
        <v>29</v>
      </c>
      <c r="F907" s="22" t="s">
        <v>15</v>
      </c>
      <c r="G907" s="22" t="s">
        <v>16</v>
      </c>
      <c r="H907" s="22">
        <v>32</v>
      </c>
      <c r="I907" s="24">
        <v>42067</v>
      </c>
      <c r="J907" s="27">
        <v>802</v>
      </c>
      <c r="K907" s="25">
        <v>0.38</v>
      </c>
      <c r="L907" s="22" t="s">
        <v>17</v>
      </c>
      <c r="M907" s="23" t="s">
        <v>18</v>
      </c>
    </row>
    <row r="908" spans="1:13" x14ac:dyDescent="0.35">
      <c r="A908" s="22" t="s">
        <v>1021</v>
      </c>
      <c r="B908" s="22" t="s">
        <v>1977</v>
      </c>
      <c r="C908" s="22" t="s">
        <v>71</v>
      </c>
      <c r="D908" s="22" t="s">
        <v>24</v>
      </c>
      <c r="E908" s="22" t="s">
        <v>29</v>
      </c>
      <c r="F908" s="22" t="s">
        <v>25</v>
      </c>
      <c r="G908" s="22" t="s">
        <v>16</v>
      </c>
      <c r="H908" s="22">
        <v>56</v>
      </c>
      <c r="I908" s="24">
        <v>43171</v>
      </c>
      <c r="J908" s="27">
        <v>589</v>
      </c>
      <c r="K908" s="25">
        <v>0</v>
      </c>
      <c r="L908" s="22" t="s">
        <v>17</v>
      </c>
      <c r="M908" s="23" t="s">
        <v>54</v>
      </c>
    </row>
    <row r="909" spans="1:13" x14ac:dyDescent="0.35">
      <c r="A909" s="22" t="s">
        <v>1022</v>
      </c>
      <c r="B909" s="22" t="s">
        <v>1978</v>
      </c>
      <c r="C909" s="22" t="s">
        <v>38</v>
      </c>
      <c r="D909" s="22" t="s">
        <v>43</v>
      </c>
      <c r="E909" s="22" t="s">
        <v>33</v>
      </c>
      <c r="F909" s="22" t="s">
        <v>25</v>
      </c>
      <c r="G909" s="22" t="s">
        <v>16</v>
      </c>
      <c r="H909" s="22">
        <v>47</v>
      </c>
      <c r="I909" s="24">
        <v>40550</v>
      </c>
      <c r="J909" s="27">
        <v>803</v>
      </c>
      <c r="K909" s="25">
        <v>0</v>
      </c>
      <c r="L909" s="22" t="s">
        <v>17</v>
      </c>
      <c r="M909" s="23" t="s">
        <v>40</v>
      </c>
    </row>
    <row r="910" spans="1:13" x14ac:dyDescent="0.35">
      <c r="A910" s="22" t="s">
        <v>1023</v>
      </c>
      <c r="B910" s="22" t="s">
        <v>1979</v>
      </c>
      <c r="C910" s="22" t="s">
        <v>38</v>
      </c>
      <c r="D910" s="22" t="s">
        <v>43</v>
      </c>
      <c r="E910" s="22" t="s">
        <v>14</v>
      </c>
      <c r="F910" s="22" t="s">
        <v>15</v>
      </c>
      <c r="G910" s="22" t="s">
        <v>44</v>
      </c>
      <c r="H910" s="22">
        <v>45</v>
      </c>
      <c r="I910" s="24">
        <v>38674</v>
      </c>
      <c r="J910" s="27">
        <v>758</v>
      </c>
      <c r="K910" s="25">
        <v>0</v>
      </c>
      <c r="L910" s="22" t="s">
        <v>17</v>
      </c>
      <c r="M910" s="23" t="s">
        <v>35</v>
      </c>
    </row>
    <row r="911" spans="1:13" x14ac:dyDescent="0.35">
      <c r="A911" s="22" t="s">
        <v>1024</v>
      </c>
      <c r="B911" s="22" t="s">
        <v>1980</v>
      </c>
      <c r="C911" s="22" t="s">
        <v>1111</v>
      </c>
      <c r="D911" s="22" t="s">
        <v>13</v>
      </c>
      <c r="E911" s="22" t="s">
        <v>29</v>
      </c>
      <c r="F911" s="22" t="s">
        <v>15</v>
      </c>
      <c r="G911" s="22" t="s">
        <v>21</v>
      </c>
      <c r="H911" s="22">
        <v>56</v>
      </c>
      <c r="I911" s="24">
        <v>34820</v>
      </c>
      <c r="J911" s="27">
        <v>643</v>
      </c>
      <c r="K911" s="25">
        <v>0.13</v>
      </c>
      <c r="L911" s="22" t="s">
        <v>17</v>
      </c>
      <c r="M911" s="23" t="s">
        <v>54</v>
      </c>
    </row>
    <row r="912" spans="1:13" x14ac:dyDescent="0.35">
      <c r="A912" s="22" t="s">
        <v>1025</v>
      </c>
      <c r="B912" s="22" t="s">
        <v>1981</v>
      </c>
      <c r="C912" s="22" t="s">
        <v>1111</v>
      </c>
      <c r="D912" s="22" t="s">
        <v>13</v>
      </c>
      <c r="E912" s="22" t="s">
        <v>29</v>
      </c>
      <c r="F912" s="22" t="s">
        <v>25</v>
      </c>
      <c r="G912" s="22" t="s">
        <v>44</v>
      </c>
      <c r="H912" s="22">
        <v>38</v>
      </c>
      <c r="I912" s="24">
        <v>43463</v>
      </c>
      <c r="J912" s="27">
        <v>819</v>
      </c>
      <c r="K912" s="25">
        <v>0.12</v>
      </c>
      <c r="L912" s="22" t="s">
        <v>17</v>
      </c>
      <c r="M912" s="23" t="s">
        <v>40</v>
      </c>
    </row>
    <row r="913" spans="1:13" x14ac:dyDescent="0.35">
      <c r="A913" s="22" t="s">
        <v>1026</v>
      </c>
      <c r="B913" s="22" t="s">
        <v>1982</v>
      </c>
      <c r="C913" s="22" t="s">
        <v>53</v>
      </c>
      <c r="D913" s="22" t="s">
        <v>20</v>
      </c>
      <c r="E913" s="22" t="s">
        <v>14</v>
      </c>
      <c r="F913" s="22" t="s">
        <v>25</v>
      </c>
      <c r="G913" s="22" t="s">
        <v>16</v>
      </c>
      <c r="H913" s="22">
        <v>47</v>
      </c>
      <c r="I913" s="24">
        <v>38229</v>
      </c>
      <c r="J913" s="27">
        <v>849</v>
      </c>
      <c r="K913" s="25">
        <v>0.05</v>
      </c>
      <c r="L913" s="22" t="s">
        <v>17</v>
      </c>
      <c r="M913" s="23" t="s">
        <v>22</v>
      </c>
    </row>
    <row r="914" spans="1:13" x14ac:dyDescent="0.35">
      <c r="A914" s="22" t="s">
        <v>182</v>
      </c>
      <c r="B914" s="22" t="s">
        <v>1983</v>
      </c>
      <c r="C914" s="22" t="s">
        <v>63</v>
      </c>
      <c r="D914" s="22" t="s">
        <v>20</v>
      </c>
      <c r="E914" s="22" t="s">
        <v>1102</v>
      </c>
      <c r="F914" s="22" t="s">
        <v>25</v>
      </c>
      <c r="G914" s="22" t="s">
        <v>44</v>
      </c>
      <c r="H914" s="22">
        <v>51</v>
      </c>
      <c r="I914" s="24">
        <v>36644</v>
      </c>
      <c r="J914" s="27">
        <v>604</v>
      </c>
      <c r="K914" s="25">
        <v>0</v>
      </c>
      <c r="L914" s="22" t="s">
        <v>17</v>
      </c>
      <c r="M914" s="23" t="s">
        <v>40</v>
      </c>
    </row>
    <row r="915" spans="1:13" x14ac:dyDescent="0.35">
      <c r="A915" s="22" t="s">
        <v>1027</v>
      </c>
      <c r="B915" s="22" t="s">
        <v>1984</v>
      </c>
      <c r="C915" s="22" t="s">
        <v>23</v>
      </c>
      <c r="D915" s="22" t="s">
        <v>24</v>
      </c>
      <c r="E915" s="22" t="s">
        <v>14</v>
      </c>
      <c r="F915" s="22" t="s">
        <v>25</v>
      </c>
      <c r="G915" s="22" t="s">
        <v>16</v>
      </c>
      <c r="H915" s="22">
        <v>52</v>
      </c>
      <c r="I915" s="24">
        <v>34561</v>
      </c>
      <c r="J915" s="27">
        <v>569</v>
      </c>
      <c r="K915" s="25">
        <v>0</v>
      </c>
      <c r="L915" s="22" t="s">
        <v>17</v>
      </c>
      <c r="M915" s="23" t="s">
        <v>18</v>
      </c>
    </row>
    <row r="916" spans="1:13" x14ac:dyDescent="0.35">
      <c r="A916" s="22" t="s">
        <v>1028</v>
      </c>
      <c r="B916" s="22" t="s">
        <v>1985</v>
      </c>
      <c r="C916" s="22" t="s">
        <v>12</v>
      </c>
      <c r="D916" s="22" t="s">
        <v>56</v>
      </c>
      <c r="E916" s="22" t="s">
        <v>29</v>
      </c>
      <c r="F916" s="22" t="s">
        <v>15</v>
      </c>
      <c r="G916" s="22" t="s">
        <v>44</v>
      </c>
      <c r="H916" s="22">
        <v>56</v>
      </c>
      <c r="I916" s="24">
        <v>43380</v>
      </c>
      <c r="J916" s="27">
        <v>590</v>
      </c>
      <c r="K916" s="25">
        <v>0.32</v>
      </c>
      <c r="L916" s="22" t="s">
        <v>45</v>
      </c>
      <c r="M916" s="23" t="s">
        <v>66</v>
      </c>
    </row>
    <row r="917" spans="1:13" x14ac:dyDescent="0.35">
      <c r="A917" s="22" t="s">
        <v>209</v>
      </c>
      <c r="B917" s="22" t="s">
        <v>1986</v>
      </c>
      <c r="C917" s="22" t="s">
        <v>12</v>
      </c>
      <c r="D917" s="22" t="s">
        <v>13</v>
      </c>
      <c r="E917" s="22" t="s">
        <v>29</v>
      </c>
      <c r="F917" s="22" t="s">
        <v>25</v>
      </c>
      <c r="G917" s="22" t="s">
        <v>41</v>
      </c>
      <c r="H917" s="22">
        <v>37</v>
      </c>
      <c r="I917" s="24">
        <v>39949</v>
      </c>
      <c r="J917" s="27">
        <v>531</v>
      </c>
      <c r="K917" s="25">
        <v>0.35</v>
      </c>
      <c r="L917" s="22" t="s">
        <v>17</v>
      </c>
      <c r="M917" s="23" t="s">
        <v>22</v>
      </c>
    </row>
    <row r="918" spans="1:13" x14ac:dyDescent="0.35">
      <c r="A918" s="22" t="s">
        <v>1029</v>
      </c>
      <c r="B918" s="22" t="s">
        <v>1987</v>
      </c>
      <c r="C918" s="22" t="s">
        <v>59</v>
      </c>
      <c r="D918" s="22" t="s">
        <v>24</v>
      </c>
      <c r="E918" s="22" t="s">
        <v>29</v>
      </c>
      <c r="F918" s="22" t="s">
        <v>25</v>
      </c>
      <c r="G918" s="22" t="s">
        <v>16</v>
      </c>
      <c r="H918" s="22">
        <v>29</v>
      </c>
      <c r="I918" s="24">
        <v>44660</v>
      </c>
      <c r="J918" s="27">
        <v>674</v>
      </c>
      <c r="K918" s="25">
        <v>0</v>
      </c>
      <c r="L918" s="22" t="s">
        <v>17</v>
      </c>
      <c r="M918" s="23" t="s">
        <v>40</v>
      </c>
    </row>
    <row r="919" spans="1:13" x14ac:dyDescent="0.35">
      <c r="A919" s="22" t="s">
        <v>1030</v>
      </c>
      <c r="B919" s="22" t="s">
        <v>1988</v>
      </c>
      <c r="C919" s="22" t="s">
        <v>38</v>
      </c>
      <c r="D919" s="22" t="s">
        <v>43</v>
      </c>
      <c r="E919" s="22" t="s">
        <v>14</v>
      </c>
      <c r="F919" s="22" t="s">
        <v>15</v>
      </c>
      <c r="G919" s="22" t="s">
        <v>21</v>
      </c>
      <c r="H919" s="22">
        <v>59</v>
      </c>
      <c r="I919" s="24">
        <v>44245</v>
      </c>
      <c r="J919" s="27">
        <v>580</v>
      </c>
      <c r="K919" s="25">
        <v>0</v>
      </c>
      <c r="L919" s="22" t="s">
        <v>30</v>
      </c>
      <c r="M919" s="23" t="s">
        <v>65</v>
      </c>
    </row>
    <row r="920" spans="1:13" x14ac:dyDescent="0.35">
      <c r="A920" s="22" t="s">
        <v>234</v>
      </c>
      <c r="B920" s="22" t="s">
        <v>1989</v>
      </c>
      <c r="C920" s="22" t="s">
        <v>38</v>
      </c>
      <c r="D920" s="22" t="s">
        <v>39</v>
      </c>
      <c r="E920" s="22" t="s">
        <v>1102</v>
      </c>
      <c r="F920" s="22" t="s">
        <v>25</v>
      </c>
      <c r="G920" s="22" t="s">
        <v>21</v>
      </c>
      <c r="H920" s="22">
        <v>50</v>
      </c>
      <c r="I920" s="24">
        <v>35316</v>
      </c>
      <c r="J920" s="27">
        <v>582</v>
      </c>
      <c r="K920" s="25">
        <v>0</v>
      </c>
      <c r="L920" s="22" t="s">
        <v>17</v>
      </c>
      <c r="M920" s="23" t="s">
        <v>40</v>
      </c>
    </row>
    <row r="921" spans="1:13" x14ac:dyDescent="0.35">
      <c r="A921" s="22" t="s">
        <v>1031</v>
      </c>
      <c r="B921" s="22" t="s">
        <v>1990</v>
      </c>
      <c r="C921" s="22" t="s">
        <v>60</v>
      </c>
      <c r="D921" s="22" t="s">
        <v>24</v>
      </c>
      <c r="E921" s="22" t="s">
        <v>1102</v>
      </c>
      <c r="F921" s="22" t="s">
        <v>25</v>
      </c>
      <c r="G921" s="22" t="s">
        <v>21</v>
      </c>
      <c r="H921" s="22">
        <v>48</v>
      </c>
      <c r="I921" s="24">
        <v>40539</v>
      </c>
      <c r="J921" s="27">
        <v>539</v>
      </c>
      <c r="K921" s="25">
        <v>0</v>
      </c>
      <c r="L921" s="22" t="s">
        <v>30</v>
      </c>
      <c r="M921" s="23" t="s">
        <v>31</v>
      </c>
    </row>
    <row r="922" spans="1:13" x14ac:dyDescent="0.35">
      <c r="A922" s="22" t="s">
        <v>1032</v>
      </c>
      <c r="B922" s="22" t="s">
        <v>1991</v>
      </c>
      <c r="C922" s="22" t="s">
        <v>36</v>
      </c>
      <c r="D922" s="22" t="s">
        <v>39</v>
      </c>
      <c r="E922" s="22" t="s">
        <v>33</v>
      </c>
      <c r="F922" s="22" t="s">
        <v>15</v>
      </c>
      <c r="G922" s="22" t="s">
        <v>44</v>
      </c>
      <c r="H922" s="22">
        <v>44</v>
      </c>
      <c r="I922" s="24">
        <v>43162</v>
      </c>
      <c r="J922" s="27">
        <v>906</v>
      </c>
      <c r="K922" s="25">
        <v>0.28999999999999998</v>
      </c>
      <c r="L922" s="22" t="s">
        <v>45</v>
      </c>
      <c r="M922" s="23" t="s">
        <v>46</v>
      </c>
    </row>
    <row r="923" spans="1:13" x14ac:dyDescent="0.35">
      <c r="A923" s="22" t="s">
        <v>85</v>
      </c>
      <c r="B923" s="22" t="s">
        <v>1992</v>
      </c>
      <c r="C923" s="22" t="s">
        <v>57</v>
      </c>
      <c r="D923" s="22" t="s">
        <v>43</v>
      </c>
      <c r="E923" s="22" t="s">
        <v>1102</v>
      </c>
      <c r="F923" s="22" t="s">
        <v>25</v>
      </c>
      <c r="G923" s="22" t="s">
        <v>16</v>
      </c>
      <c r="H923" s="22">
        <v>29</v>
      </c>
      <c r="I923" s="24">
        <v>44395</v>
      </c>
      <c r="J923" s="27">
        <v>684</v>
      </c>
      <c r="K923" s="25">
        <v>0</v>
      </c>
      <c r="L923" s="22" t="s">
        <v>17</v>
      </c>
      <c r="M923" s="23" t="s">
        <v>54</v>
      </c>
    </row>
    <row r="924" spans="1:13" x14ac:dyDescent="0.35">
      <c r="A924" s="22" t="s">
        <v>1033</v>
      </c>
      <c r="B924" s="22" t="s">
        <v>1993</v>
      </c>
      <c r="C924" s="22" t="s">
        <v>1111</v>
      </c>
      <c r="D924" s="22" t="s">
        <v>24</v>
      </c>
      <c r="E924" s="22" t="s">
        <v>33</v>
      </c>
      <c r="F924" s="22" t="s">
        <v>25</v>
      </c>
      <c r="G924" s="22" t="s">
        <v>16</v>
      </c>
      <c r="H924" s="22">
        <v>60</v>
      </c>
      <c r="I924" s="24">
        <v>35255</v>
      </c>
      <c r="J924" s="27">
        <v>534</v>
      </c>
      <c r="K924" s="25">
        <v>0.13</v>
      </c>
      <c r="L924" s="22" t="s">
        <v>17</v>
      </c>
      <c r="M924" s="23" t="s">
        <v>22</v>
      </c>
    </row>
    <row r="925" spans="1:13" x14ac:dyDescent="0.35">
      <c r="A925" s="22" t="s">
        <v>1034</v>
      </c>
      <c r="B925" s="22" t="s">
        <v>1994</v>
      </c>
      <c r="C925" s="22" t="s">
        <v>12</v>
      </c>
      <c r="D925" s="22" t="s">
        <v>24</v>
      </c>
      <c r="E925" s="22" t="s">
        <v>14</v>
      </c>
      <c r="F925" s="22" t="s">
        <v>25</v>
      </c>
      <c r="G925" s="22" t="s">
        <v>21</v>
      </c>
      <c r="H925" s="22">
        <v>56</v>
      </c>
      <c r="I925" s="24">
        <v>40613</v>
      </c>
      <c r="J925" s="27">
        <v>577</v>
      </c>
      <c r="K925" s="25">
        <v>0.38</v>
      </c>
      <c r="L925" s="22" t="s">
        <v>17</v>
      </c>
      <c r="M925" s="23" t="s">
        <v>22</v>
      </c>
    </row>
    <row r="926" spans="1:13" x14ac:dyDescent="0.35">
      <c r="A926" s="22" t="s">
        <v>1035</v>
      </c>
      <c r="B926" s="22" t="s">
        <v>1995</v>
      </c>
      <c r="C926" s="22" t="s">
        <v>53</v>
      </c>
      <c r="D926" s="22" t="s">
        <v>39</v>
      </c>
      <c r="E926" s="22" t="s">
        <v>33</v>
      </c>
      <c r="F926" s="22" t="s">
        <v>15</v>
      </c>
      <c r="G926" s="22" t="s">
        <v>44</v>
      </c>
      <c r="H926" s="22">
        <v>31</v>
      </c>
      <c r="I926" s="24">
        <v>42296</v>
      </c>
      <c r="J926" s="27">
        <v>1000</v>
      </c>
      <c r="K926" s="25">
        <v>7.0000000000000007E-2</v>
      </c>
      <c r="L926" s="22" t="s">
        <v>45</v>
      </c>
      <c r="M926" s="23" t="s">
        <v>66</v>
      </c>
    </row>
    <row r="927" spans="1:13" x14ac:dyDescent="0.35">
      <c r="A927" s="22" t="s">
        <v>1036</v>
      </c>
      <c r="B927" s="22" t="s">
        <v>1996</v>
      </c>
      <c r="C927" s="22" t="s">
        <v>1111</v>
      </c>
      <c r="D927" s="22" t="s">
        <v>13</v>
      </c>
      <c r="E927" s="22" t="s">
        <v>29</v>
      </c>
      <c r="F927" s="22" t="s">
        <v>25</v>
      </c>
      <c r="G927" s="22" t="s">
        <v>21</v>
      </c>
      <c r="H927" s="22">
        <v>53</v>
      </c>
      <c r="I927" s="24">
        <v>42072</v>
      </c>
      <c r="J927" s="27">
        <v>976</v>
      </c>
      <c r="K927" s="25">
        <v>0.11</v>
      </c>
      <c r="L927" s="22" t="s">
        <v>30</v>
      </c>
      <c r="M927" s="23" t="s">
        <v>31</v>
      </c>
    </row>
    <row r="928" spans="1:13" x14ac:dyDescent="0.35">
      <c r="A928" s="22" t="s">
        <v>1037</v>
      </c>
      <c r="B928" s="22" t="s">
        <v>1997</v>
      </c>
      <c r="C928" s="22" t="s">
        <v>53</v>
      </c>
      <c r="D928" s="22" t="s">
        <v>56</v>
      </c>
      <c r="E928" s="22" t="s">
        <v>33</v>
      </c>
      <c r="F928" s="22" t="s">
        <v>25</v>
      </c>
      <c r="G928" s="22" t="s">
        <v>44</v>
      </c>
      <c r="H928" s="22">
        <v>26</v>
      </c>
      <c r="I928" s="24">
        <v>44914</v>
      </c>
      <c r="J928" s="27">
        <v>644</v>
      </c>
      <c r="K928" s="25">
        <v>0.1</v>
      </c>
      <c r="L928" s="22" t="s">
        <v>17</v>
      </c>
      <c r="M928" s="23" t="s">
        <v>22</v>
      </c>
    </row>
    <row r="929" spans="1:13" x14ac:dyDescent="0.35">
      <c r="A929" s="22" t="s">
        <v>1038</v>
      </c>
      <c r="B929" s="22" t="s">
        <v>1998</v>
      </c>
      <c r="C929" s="22" t="s">
        <v>12</v>
      </c>
      <c r="D929" s="22" t="s">
        <v>39</v>
      </c>
      <c r="E929" s="22" t="s">
        <v>14</v>
      </c>
      <c r="F929" s="22" t="s">
        <v>25</v>
      </c>
      <c r="G929" s="22" t="s">
        <v>21</v>
      </c>
      <c r="H929" s="22">
        <v>31</v>
      </c>
      <c r="I929" s="24">
        <v>44329</v>
      </c>
      <c r="J929" s="27">
        <v>626</v>
      </c>
      <c r="K929" s="25">
        <v>0.36</v>
      </c>
      <c r="L929" s="22" t="s">
        <v>17</v>
      </c>
      <c r="M929" s="23" t="s">
        <v>54</v>
      </c>
    </row>
    <row r="930" spans="1:13" x14ac:dyDescent="0.35">
      <c r="A930" s="22" t="s">
        <v>1039</v>
      </c>
      <c r="B930" s="22" t="s">
        <v>1999</v>
      </c>
      <c r="C930" s="22" t="s">
        <v>1111</v>
      </c>
      <c r="D930" s="22" t="s">
        <v>39</v>
      </c>
      <c r="E930" s="22" t="s">
        <v>29</v>
      </c>
      <c r="F930" s="22" t="s">
        <v>25</v>
      </c>
      <c r="G930" s="22" t="s">
        <v>44</v>
      </c>
      <c r="H930" s="22">
        <v>48</v>
      </c>
      <c r="I930" s="24">
        <v>43658</v>
      </c>
      <c r="J930" s="27">
        <v>613</v>
      </c>
      <c r="K930" s="25">
        <v>0.12</v>
      </c>
      <c r="L930" s="22" t="s">
        <v>17</v>
      </c>
      <c r="M930" s="23" t="s">
        <v>22</v>
      </c>
    </row>
    <row r="931" spans="1:13" x14ac:dyDescent="0.35">
      <c r="A931" s="22" t="s">
        <v>1040</v>
      </c>
      <c r="B931" s="22" t="s">
        <v>2000</v>
      </c>
      <c r="C931" s="22" t="s">
        <v>12</v>
      </c>
      <c r="D931" s="22" t="s">
        <v>39</v>
      </c>
      <c r="E931" s="22" t="s">
        <v>14</v>
      </c>
      <c r="F931" s="22" t="s">
        <v>25</v>
      </c>
      <c r="G931" s="22" t="s">
        <v>21</v>
      </c>
      <c r="H931" s="22">
        <v>61</v>
      </c>
      <c r="I931" s="24">
        <v>41749</v>
      </c>
      <c r="J931" s="27">
        <v>857</v>
      </c>
      <c r="K931" s="25">
        <v>0.34</v>
      </c>
      <c r="L931" s="22" t="s">
        <v>30</v>
      </c>
      <c r="M931" s="23" t="s">
        <v>61</v>
      </c>
    </row>
    <row r="932" spans="1:13" x14ac:dyDescent="0.35">
      <c r="A932" s="22" t="s">
        <v>1041</v>
      </c>
      <c r="B932" s="22" t="s">
        <v>2001</v>
      </c>
      <c r="C932" s="22" t="s">
        <v>12</v>
      </c>
      <c r="D932" s="22" t="s">
        <v>24</v>
      </c>
      <c r="E932" s="22" t="s">
        <v>14</v>
      </c>
      <c r="F932" s="22" t="s">
        <v>15</v>
      </c>
      <c r="G932" s="22" t="s">
        <v>16</v>
      </c>
      <c r="H932" s="22">
        <v>42</v>
      </c>
      <c r="I932" s="24">
        <v>40733</v>
      </c>
      <c r="J932" s="27">
        <v>745</v>
      </c>
      <c r="K932" s="25">
        <v>0.34</v>
      </c>
      <c r="L932" s="22" t="s">
        <v>17</v>
      </c>
      <c r="M932" s="23" t="s">
        <v>35</v>
      </c>
    </row>
    <row r="933" spans="1:13" x14ac:dyDescent="0.35">
      <c r="A933" s="22" t="s">
        <v>1042</v>
      </c>
      <c r="B933" s="22" t="s">
        <v>2002</v>
      </c>
      <c r="C933" s="22" t="s">
        <v>72</v>
      </c>
      <c r="D933" s="22" t="s">
        <v>24</v>
      </c>
      <c r="E933" s="22" t="s">
        <v>33</v>
      </c>
      <c r="F933" s="22" t="s">
        <v>15</v>
      </c>
      <c r="G933" s="22" t="s">
        <v>16</v>
      </c>
      <c r="H933" s="22">
        <v>50</v>
      </c>
      <c r="I933" s="24">
        <v>41624</v>
      </c>
      <c r="J933" s="27">
        <v>818</v>
      </c>
      <c r="K933" s="25">
        <v>0</v>
      </c>
      <c r="L933" s="22" t="s">
        <v>17</v>
      </c>
      <c r="M933" s="23" t="s">
        <v>40</v>
      </c>
    </row>
    <row r="934" spans="1:13" x14ac:dyDescent="0.35">
      <c r="A934" s="22" t="s">
        <v>1043</v>
      </c>
      <c r="B934" s="22" t="s">
        <v>2003</v>
      </c>
      <c r="C934" s="22" t="s">
        <v>34</v>
      </c>
      <c r="D934" s="22" t="s">
        <v>24</v>
      </c>
      <c r="E934" s="22" t="s">
        <v>1102</v>
      </c>
      <c r="F934" s="22" t="s">
        <v>15</v>
      </c>
      <c r="G934" s="22" t="s">
        <v>16</v>
      </c>
      <c r="H934" s="22">
        <v>46</v>
      </c>
      <c r="I934" s="24">
        <v>40988</v>
      </c>
      <c r="J934" s="27">
        <v>1000</v>
      </c>
      <c r="K934" s="25">
        <v>0</v>
      </c>
      <c r="L934" s="22" t="s">
        <v>17</v>
      </c>
      <c r="M934" s="23" t="s">
        <v>35</v>
      </c>
    </row>
    <row r="935" spans="1:13" x14ac:dyDescent="0.35">
      <c r="A935" s="22" t="s">
        <v>1044</v>
      </c>
      <c r="B935" s="22" t="s">
        <v>2004</v>
      </c>
      <c r="C935" s="22" t="s">
        <v>67</v>
      </c>
      <c r="D935" s="22" t="s">
        <v>24</v>
      </c>
      <c r="E935" s="22" t="s">
        <v>1102</v>
      </c>
      <c r="F935" s="22" t="s">
        <v>15</v>
      </c>
      <c r="G935" s="22" t="s">
        <v>44</v>
      </c>
      <c r="H935" s="22">
        <v>50</v>
      </c>
      <c r="I935" s="24">
        <v>39398</v>
      </c>
      <c r="J935" s="27">
        <v>633</v>
      </c>
      <c r="K935" s="25">
        <v>0</v>
      </c>
      <c r="L935" s="22" t="s">
        <v>17</v>
      </c>
      <c r="M935" s="23" t="s">
        <v>18</v>
      </c>
    </row>
    <row r="936" spans="1:13" x14ac:dyDescent="0.35">
      <c r="A936" s="22" t="s">
        <v>1045</v>
      </c>
      <c r="B936" s="22" t="s">
        <v>2005</v>
      </c>
      <c r="C936" s="22" t="s">
        <v>36</v>
      </c>
      <c r="D936" s="22" t="s">
        <v>43</v>
      </c>
      <c r="E936" s="22" t="s">
        <v>29</v>
      </c>
      <c r="F936" s="22" t="s">
        <v>15</v>
      </c>
      <c r="G936" s="22" t="s">
        <v>44</v>
      </c>
      <c r="H936" s="22">
        <v>62</v>
      </c>
      <c r="I936" s="24">
        <v>40931</v>
      </c>
      <c r="J936" s="27">
        <v>709</v>
      </c>
      <c r="K936" s="25">
        <v>0.2</v>
      </c>
      <c r="L936" s="22" t="s">
        <v>17</v>
      </c>
      <c r="M936" s="23" t="s">
        <v>35</v>
      </c>
    </row>
    <row r="937" spans="1:13" x14ac:dyDescent="0.35">
      <c r="A937" s="22" t="s">
        <v>1046</v>
      </c>
      <c r="B937" s="22" t="s">
        <v>2006</v>
      </c>
      <c r="C937" s="22" t="s">
        <v>36</v>
      </c>
      <c r="D937" s="22" t="s">
        <v>28</v>
      </c>
      <c r="E937" s="22" t="s">
        <v>1102</v>
      </c>
      <c r="F937" s="22" t="s">
        <v>15</v>
      </c>
      <c r="G937" s="22" t="s">
        <v>16</v>
      </c>
      <c r="H937" s="22">
        <v>45</v>
      </c>
      <c r="I937" s="24">
        <v>43538</v>
      </c>
      <c r="J937" s="27">
        <v>618</v>
      </c>
      <c r="K937" s="25">
        <v>0.18</v>
      </c>
      <c r="L937" s="22" t="s">
        <v>17</v>
      </c>
      <c r="M937" s="23" t="s">
        <v>40</v>
      </c>
    </row>
    <row r="938" spans="1:13" x14ac:dyDescent="0.35">
      <c r="A938" s="22" t="s">
        <v>84</v>
      </c>
      <c r="B938" s="22" t="s">
        <v>2007</v>
      </c>
      <c r="C938" s="22" t="s">
        <v>36</v>
      </c>
      <c r="D938" s="22" t="s">
        <v>56</v>
      </c>
      <c r="E938" s="22" t="s">
        <v>1102</v>
      </c>
      <c r="F938" s="22" t="s">
        <v>25</v>
      </c>
      <c r="G938" s="22" t="s">
        <v>44</v>
      </c>
      <c r="H938" s="22">
        <v>34</v>
      </c>
      <c r="I938" s="24">
        <v>40946</v>
      </c>
      <c r="J938" s="27">
        <v>707</v>
      </c>
      <c r="K938" s="25">
        <v>0.23</v>
      </c>
      <c r="L938" s="22" t="s">
        <v>17</v>
      </c>
      <c r="M938" s="23" t="s">
        <v>18</v>
      </c>
    </row>
    <row r="939" spans="1:13" x14ac:dyDescent="0.35">
      <c r="A939" s="22" t="s">
        <v>108</v>
      </c>
      <c r="B939" s="22" t="s">
        <v>2008</v>
      </c>
      <c r="C939" s="22" t="s">
        <v>57</v>
      </c>
      <c r="D939" s="22" t="s">
        <v>39</v>
      </c>
      <c r="E939" s="22" t="s">
        <v>29</v>
      </c>
      <c r="F939" s="22" t="s">
        <v>15</v>
      </c>
      <c r="G939" s="22" t="s">
        <v>44</v>
      </c>
      <c r="H939" s="22">
        <v>35</v>
      </c>
      <c r="I939" s="24">
        <v>41051</v>
      </c>
      <c r="J939" s="27">
        <v>804</v>
      </c>
      <c r="K939" s="25">
        <v>0</v>
      </c>
      <c r="L939" s="22" t="s">
        <v>17</v>
      </c>
      <c r="M939" s="23" t="s">
        <v>22</v>
      </c>
    </row>
    <row r="940" spans="1:13" x14ac:dyDescent="0.35">
      <c r="A940" s="22" t="s">
        <v>1047</v>
      </c>
      <c r="B940" s="22" t="s">
        <v>137</v>
      </c>
      <c r="C940" s="22" t="s">
        <v>73</v>
      </c>
      <c r="D940" s="22" t="s">
        <v>24</v>
      </c>
      <c r="E940" s="22" t="s">
        <v>29</v>
      </c>
      <c r="F940" s="22" t="s">
        <v>25</v>
      </c>
      <c r="G940" s="22" t="s">
        <v>16</v>
      </c>
      <c r="H940" s="22">
        <v>41</v>
      </c>
      <c r="I940" s="24">
        <v>38948</v>
      </c>
      <c r="J940" s="27">
        <v>892</v>
      </c>
      <c r="K940" s="25">
        <v>0</v>
      </c>
      <c r="L940" s="22" t="s">
        <v>17</v>
      </c>
      <c r="M940" s="23" t="s">
        <v>40</v>
      </c>
    </row>
    <row r="941" spans="1:13" x14ac:dyDescent="0.35">
      <c r="A941" s="22" t="s">
        <v>1048</v>
      </c>
      <c r="B941" s="22" t="s">
        <v>2009</v>
      </c>
      <c r="C941" s="22" t="s">
        <v>34</v>
      </c>
      <c r="D941" s="22" t="s">
        <v>24</v>
      </c>
      <c r="E941" s="22" t="s">
        <v>29</v>
      </c>
      <c r="F941" s="22" t="s">
        <v>15</v>
      </c>
      <c r="G941" s="22" t="s">
        <v>21</v>
      </c>
      <c r="H941" s="22">
        <v>56</v>
      </c>
      <c r="I941" s="24">
        <v>34155</v>
      </c>
      <c r="J941" s="27">
        <v>808</v>
      </c>
      <c r="K941" s="25">
        <v>0</v>
      </c>
      <c r="L941" s="22" t="s">
        <v>17</v>
      </c>
      <c r="M941" s="23" t="s">
        <v>22</v>
      </c>
    </row>
    <row r="942" spans="1:13" x14ac:dyDescent="0.35">
      <c r="A942" s="22" t="s">
        <v>99</v>
      </c>
      <c r="B942" s="22" t="s">
        <v>2010</v>
      </c>
      <c r="C942" s="22" t="s">
        <v>70</v>
      </c>
      <c r="D942" s="22" t="s">
        <v>28</v>
      </c>
      <c r="E942" s="22" t="s">
        <v>14</v>
      </c>
      <c r="F942" s="22" t="s">
        <v>15</v>
      </c>
      <c r="G942" s="22" t="s">
        <v>16</v>
      </c>
      <c r="H942" s="22">
        <v>31</v>
      </c>
      <c r="I942" s="24">
        <v>43974</v>
      </c>
      <c r="J942" s="27">
        <v>916</v>
      </c>
      <c r="K942" s="25">
        <v>0</v>
      </c>
      <c r="L942" s="22" t="s">
        <v>17</v>
      </c>
      <c r="M942" s="23" t="s">
        <v>40</v>
      </c>
    </row>
    <row r="943" spans="1:13" x14ac:dyDescent="0.35">
      <c r="A943" s="22" t="s">
        <v>203</v>
      </c>
      <c r="B943" s="22" t="s">
        <v>2011</v>
      </c>
      <c r="C943" s="22" t="s">
        <v>1111</v>
      </c>
      <c r="D943" s="22" t="s">
        <v>13</v>
      </c>
      <c r="E943" s="22" t="s">
        <v>14</v>
      </c>
      <c r="F943" s="22" t="s">
        <v>15</v>
      </c>
      <c r="G943" s="22" t="s">
        <v>44</v>
      </c>
      <c r="H943" s="22">
        <v>40</v>
      </c>
      <c r="I943" s="24">
        <v>39569</v>
      </c>
      <c r="J943" s="27">
        <v>668</v>
      </c>
      <c r="K943" s="25">
        <v>0.14000000000000001</v>
      </c>
      <c r="L943" s="22" t="s">
        <v>45</v>
      </c>
      <c r="M943" s="23" t="s">
        <v>66</v>
      </c>
    </row>
    <row r="944" spans="1:13" x14ac:dyDescent="0.35">
      <c r="A944" s="22" t="s">
        <v>176</v>
      </c>
      <c r="B944" s="22" t="s">
        <v>2012</v>
      </c>
      <c r="C944" s="22" t="s">
        <v>12</v>
      </c>
      <c r="D944" s="22" t="s">
        <v>56</v>
      </c>
      <c r="E944" s="22" t="s">
        <v>1102</v>
      </c>
      <c r="F944" s="22" t="s">
        <v>25</v>
      </c>
      <c r="G944" s="22" t="s">
        <v>21</v>
      </c>
      <c r="H944" s="22">
        <v>51</v>
      </c>
      <c r="I944" s="24">
        <v>38896</v>
      </c>
      <c r="J944" s="27">
        <v>987</v>
      </c>
      <c r="K944" s="25">
        <v>0.36</v>
      </c>
      <c r="L944" s="22" t="s">
        <v>30</v>
      </c>
      <c r="M944" s="23" t="s">
        <v>52</v>
      </c>
    </row>
    <row r="945" spans="1:13" x14ac:dyDescent="0.35">
      <c r="A945" s="22" t="s">
        <v>1049</v>
      </c>
      <c r="B945" s="22" t="s">
        <v>2013</v>
      </c>
      <c r="C945" s="22" t="s">
        <v>58</v>
      </c>
      <c r="D945" s="22" t="s">
        <v>28</v>
      </c>
      <c r="E945" s="22" t="s">
        <v>1102</v>
      </c>
      <c r="F945" s="22" t="s">
        <v>15</v>
      </c>
      <c r="G945" s="22" t="s">
        <v>21</v>
      </c>
      <c r="H945" s="22">
        <v>49</v>
      </c>
      <c r="I945" s="24">
        <v>44356</v>
      </c>
      <c r="J945" s="27">
        <v>956</v>
      </c>
      <c r="K945" s="25">
        <v>0</v>
      </c>
      <c r="L945" s="22" t="s">
        <v>17</v>
      </c>
      <c r="M945" s="23" t="s">
        <v>35</v>
      </c>
    </row>
    <row r="946" spans="1:13" x14ac:dyDescent="0.35">
      <c r="A946" s="22" t="s">
        <v>1050</v>
      </c>
      <c r="B946" s="22" t="s">
        <v>2014</v>
      </c>
      <c r="C946" s="22" t="s">
        <v>19</v>
      </c>
      <c r="D946" s="22" t="s">
        <v>20</v>
      </c>
      <c r="E946" s="22" t="s">
        <v>14</v>
      </c>
      <c r="F946" s="22" t="s">
        <v>25</v>
      </c>
      <c r="G946" s="22" t="s">
        <v>16</v>
      </c>
      <c r="H946" s="22">
        <v>34</v>
      </c>
      <c r="I946" s="24">
        <v>43478</v>
      </c>
      <c r="J946" s="27">
        <v>871</v>
      </c>
      <c r="K946" s="25">
        <v>0</v>
      </c>
      <c r="L946" s="22" t="s">
        <v>17</v>
      </c>
      <c r="M946" s="23" t="s">
        <v>22</v>
      </c>
    </row>
    <row r="947" spans="1:13" x14ac:dyDescent="0.35">
      <c r="A947" s="22" t="s">
        <v>1051</v>
      </c>
      <c r="B947" s="22" t="s">
        <v>2015</v>
      </c>
      <c r="C947" s="22" t="s">
        <v>72</v>
      </c>
      <c r="D947" s="22" t="s">
        <v>24</v>
      </c>
      <c r="E947" s="22" t="s">
        <v>29</v>
      </c>
      <c r="F947" s="22" t="s">
        <v>15</v>
      </c>
      <c r="G947" s="22" t="s">
        <v>16</v>
      </c>
      <c r="H947" s="22">
        <v>48</v>
      </c>
      <c r="I947" s="24">
        <v>36665</v>
      </c>
      <c r="J947" s="27">
        <v>963</v>
      </c>
      <c r="K947" s="25">
        <v>0</v>
      </c>
      <c r="L947" s="22" t="s">
        <v>17</v>
      </c>
      <c r="M947" s="23" t="s">
        <v>18</v>
      </c>
    </row>
    <row r="948" spans="1:13" x14ac:dyDescent="0.35">
      <c r="A948" s="22" t="s">
        <v>1052</v>
      </c>
      <c r="B948" s="22" t="s">
        <v>2016</v>
      </c>
      <c r="C948" s="22" t="s">
        <v>50</v>
      </c>
      <c r="D948" s="22" t="s">
        <v>28</v>
      </c>
      <c r="E948" s="22" t="s">
        <v>14</v>
      </c>
      <c r="F948" s="22" t="s">
        <v>15</v>
      </c>
      <c r="G948" s="22" t="s">
        <v>44</v>
      </c>
      <c r="H948" s="22">
        <v>45</v>
      </c>
      <c r="I948" s="24">
        <v>39210</v>
      </c>
      <c r="J948" s="27">
        <v>748</v>
      </c>
      <c r="K948" s="25">
        <v>0</v>
      </c>
      <c r="L948" s="22" t="s">
        <v>17</v>
      </c>
      <c r="M948" s="23" t="s">
        <v>35</v>
      </c>
    </row>
    <row r="949" spans="1:13" x14ac:dyDescent="0.35">
      <c r="A949" s="22" t="s">
        <v>1053</v>
      </c>
      <c r="B949" s="22" t="s">
        <v>2017</v>
      </c>
      <c r="C949" s="22" t="s">
        <v>12</v>
      </c>
      <c r="D949" s="22" t="s">
        <v>20</v>
      </c>
      <c r="E949" s="22" t="s">
        <v>1102</v>
      </c>
      <c r="F949" s="22" t="s">
        <v>15</v>
      </c>
      <c r="G949" s="22" t="s">
        <v>21</v>
      </c>
      <c r="H949" s="22">
        <v>53</v>
      </c>
      <c r="I949" s="24">
        <v>39925</v>
      </c>
      <c r="J949" s="27">
        <v>785</v>
      </c>
      <c r="K949" s="25">
        <v>0.36</v>
      </c>
      <c r="L949" s="22" t="s">
        <v>17</v>
      </c>
      <c r="M949" s="23" t="s">
        <v>35</v>
      </c>
    </row>
    <row r="950" spans="1:13" x14ac:dyDescent="0.35">
      <c r="A950" s="22" t="s">
        <v>1054</v>
      </c>
      <c r="B950" s="22" t="s">
        <v>2018</v>
      </c>
      <c r="C950" s="22" t="s">
        <v>70</v>
      </c>
      <c r="D950" s="22" t="s">
        <v>28</v>
      </c>
      <c r="E950" s="22" t="s">
        <v>29</v>
      </c>
      <c r="F950" s="22" t="s">
        <v>15</v>
      </c>
      <c r="G950" s="22" t="s">
        <v>44</v>
      </c>
      <c r="H950" s="22">
        <v>55</v>
      </c>
      <c r="I950" s="24">
        <v>37673</v>
      </c>
      <c r="J950" s="27">
        <v>934</v>
      </c>
      <c r="K950" s="25">
        <v>0</v>
      </c>
      <c r="L950" s="22" t="s">
        <v>45</v>
      </c>
      <c r="M950" s="23" t="s">
        <v>1134</v>
      </c>
    </row>
    <row r="951" spans="1:13" x14ac:dyDescent="0.35">
      <c r="A951" s="22" t="s">
        <v>1055</v>
      </c>
      <c r="B951" s="22" t="s">
        <v>2019</v>
      </c>
      <c r="C951" s="22" t="s">
        <v>27</v>
      </c>
      <c r="D951" s="22" t="s">
        <v>28</v>
      </c>
      <c r="E951" s="22" t="s">
        <v>29</v>
      </c>
      <c r="F951" s="22" t="s">
        <v>15</v>
      </c>
      <c r="G951" s="22" t="s">
        <v>21</v>
      </c>
      <c r="H951" s="22">
        <v>56</v>
      </c>
      <c r="I951" s="24">
        <v>44562</v>
      </c>
      <c r="J951" s="27">
        <v>542</v>
      </c>
      <c r="K951" s="25">
        <v>0</v>
      </c>
      <c r="L951" s="22" t="s">
        <v>30</v>
      </c>
      <c r="M951" s="23" t="s">
        <v>61</v>
      </c>
    </row>
    <row r="952" spans="1:13" x14ac:dyDescent="0.35">
      <c r="A952" s="22" t="s">
        <v>1056</v>
      </c>
      <c r="B952" s="22" t="s">
        <v>2020</v>
      </c>
      <c r="C952" s="22" t="s">
        <v>70</v>
      </c>
      <c r="D952" s="22" t="s">
        <v>28</v>
      </c>
      <c r="E952" s="22" t="s">
        <v>14</v>
      </c>
      <c r="F952" s="22" t="s">
        <v>15</v>
      </c>
      <c r="G952" s="22" t="s">
        <v>21</v>
      </c>
      <c r="H952" s="22">
        <v>41</v>
      </c>
      <c r="I952" s="24">
        <v>38577</v>
      </c>
      <c r="J952" s="27">
        <v>885</v>
      </c>
      <c r="K952" s="25">
        <v>0</v>
      </c>
      <c r="L952" s="22" t="s">
        <v>30</v>
      </c>
      <c r="M952" s="23" t="s">
        <v>61</v>
      </c>
    </row>
    <row r="953" spans="1:13" x14ac:dyDescent="0.35">
      <c r="A953" s="22" t="s">
        <v>1057</v>
      </c>
      <c r="B953" s="22" t="s">
        <v>2021</v>
      </c>
      <c r="C953" s="22" t="s">
        <v>57</v>
      </c>
      <c r="D953" s="22" t="s">
        <v>43</v>
      </c>
      <c r="E953" s="22" t="s">
        <v>1102</v>
      </c>
      <c r="F953" s="22" t="s">
        <v>25</v>
      </c>
      <c r="G953" s="22" t="s">
        <v>44</v>
      </c>
      <c r="H953" s="22">
        <v>55</v>
      </c>
      <c r="I953" s="24">
        <v>37451</v>
      </c>
      <c r="J953" s="27">
        <v>841</v>
      </c>
      <c r="K953" s="25">
        <v>0</v>
      </c>
      <c r="L953" s="22" t="s">
        <v>45</v>
      </c>
      <c r="M953" s="23" t="s">
        <v>46</v>
      </c>
    </row>
    <row r="954" spans="1:13" x14ac:dyDescent="0.35">
      <c r="A954" s="22" t="s">
        <v>1058</v>
      </c>
      <c r="B954" s="22" t="s">
        <v>2022</v>
      </c>
      <c r="C954" s="22" t="s">
        <v>27</v>
      </c>
      <c r="D954" s="22" t="s">
        <v>28</v>
      </c>
      <c r="E954" s="22" t="s">
        <v>1102</v>
      </c>
      <c r="F954" s="22" t="s">
        <v>25</v>
      </c>
      <c r="G954" s="22" t="s">
        <v>21</v>
      </c>
      <c r="H954" s="22">
        <v>42</v>
      </c>
      <c r="I954" s="24">
        <v>42138</v>
      </c>
      <c r="J954" s="27">
        <v>671</v>
      </c>
      <c r="K954" s="25">
        <v>0</v>
      </c>
      <c r="L954" s="22" t="s">
        <v>17</v>
      </c>
      <c r="M954" s="23" t="s">
        <v>40</v>
      </c>
    </row>
    <row r="955" spans="1:13" x14ac:dyDescent="0.35">
      <c r="A955" s="22" t="s">
        <v>1059</v>
      </c>
      <c r="B955" s="22" t="s">
        <v>147</v>
      </c>
      <c r="C955" s="22" t="s">
        <v>38</v>
      </c>
      <c r="D955" s="22" t="s">
        <v>43</v>
      </c>
      <c r="E955" s="22" t="s">
        <v>14</v>
      </c>
      <c r="F955" s="22" t="s">
        <v>25</v>
      </c>
      <c r="G955" s="22" t="s">
        <v>41</v>
      </c>
      <c r="H955" s="22">
        <v>30</v>
      </c>
      <c r="I955" s="24">
        <v>44578</v>
      </c>
      <c r="J955" s="27">
        <v>796</v>
      </c>
      <c r="K955" s="25">
        <v>0</v>
      </c>
      <c r="L955" s="22" t="s">
        <v>17</v>
      </c>
      <c r="M955" s="23" t="s">
        <v>18</v>
      </c>
    </row>
    <row r="956" spans="1:13" x14ac:dyDescent="0.35">
      <c r="A956" s="22" t="s">
        <v>1060</v>
      </c>
      <c r="B956" s="22" t="s">
        <v>2023</v>
      </c>
      <c r="C956" s="22" t="s">
        <v>72</v>
      </c>
      <c r="D956" s="22" t="s">
        <v>24</v>
      </c>
      <c r="E956" s="22" t="s">
        <v>14</v>
      </c>
      <c r="F956" s="22" t="s">
        <v>25</v>
      </c>
      <c r="G956" s="22" t="s">
        <v>21</v>
      </c>
      <c r="H956" s="22">
        <v>44</v>
      </c>
      <c r="I956" s="24">
        <v>38054</v>
      </c>
      <c r="J956" s="27">
        <v>636</v>
      </c>
      <c r="K956" s="25">
        <v>0</v>
      </c>
      <c r="L956" s="22" t="s">
        <v>30</v>
      </c>
      <c r="M956" s="23" t="s">
        <v>65</v>
      </c>
    </row>
    <row r="957" spans="1:13" x14ac:dyDescent="0.35">
      <c r="A957" s="22" t="s">
        <v>1061</v>
      </c>
      <c r="B957" s="22" t="s">
        <v>2024</v>
      </c>
      <c r="C957" s="22" t="s">
        <v>38</v>
      </c>
      <c r="D957" s="22" t="s">
        <v>56</v>
      </c>
      <c r="E957" s="22" t="s">
        <v>14</v>
      </c>
      <c r="F957" s="22" t="s">
        <v>15</v>
      </c>
      <c r="G957" s="22" t="s">
        <v>21</v>
      </c>
      <c r="H957" s="22">
        <v>49</v>
      </c>
      <c r="I957" s="24">
        <v>36448</v>
      </c>
      <c r="J957" s="27">
        <v>948</v>
      </c>
      <c r="K957" s="25">
        <v>0</v>
      </c>
      <c r="L957" s="22" t="s">
        <v>17</v>
      </c>
      <c r="M957" s="23" t="s">
        <v>22</v>
      </c>
    </row>
    <row r="958" spans="1:13" x14ac:dyDescent="0.35">
      <c r="A958" s="22" t="s">
        <v>1062</v>
      </c>
      <c r="B958" s="22" t="s">
        <v>2025</v>
      </c>
      <c r="C958" s="22" t="s">
        <v>12</v>
      </c>
      <c r="D958" s="22" t="s">
        <v>28</v>
      </c>
      <c r="E958" s="22" t="s">
        <v>1102</v>
      </c>
      <c r="F958" s="22" t="s">
        <v>15</v>
      </c>
      <c r="G958" s="22" t="s">
        <v>44</v>
      </c>
      <c r="H958" s="22">
        <v>43</v>
      </c>
      <c r="I958" s="24">
        <v>40858</v>
      </c>
      <c r="J958" s="27">
        <v>905</v>
      </c>
      <c r="K958" s="25">
        <v>0.39</v>
      </c>
      <c r="L958" s="22" t="s">
        <v>45</v>
      </c>
      <c r="M958" s="23" t="s">
        <v>46</v>
      </c>
    </row>
    <row r="959" spans="1:13" x14ac:dyDescent="0.35">
      <c r="A959" s="22" t="s">
        <v>1063</v>
      </c>
      <c r="B959" s="22" t="s">
        <v>2026</v>
      </c>
      <c r="C959" s="22" t="s">
        <v>53</v>
      </c>
      <c r="D959" s="22" t="s">
        <v>39</v>
      </c>
      <c r="E959" s="22" t="s">
        <v>1102</v>
      </c>
      <c r="F959" s="22" t="s">
        <v>15</v>
      </c>
      <c r="G959" s="22" t="s">
        <v>21</v>
      </c>
      <c r="H959" s="22">
        <v>53</v>
      </c>
      <c r="I959" s="24">
        <v>41734</v>
      </c>
      <c r="J959" s="27">
        <v>553</v>
      </c>
      <c r="K959" s="25">
        <v>0.08</v>
      </c>
      <c r="L959" s="22" t="s">
        <v>30</v>
      </c>
      <c r="M959" s="23" t="s">
        <v>31</v>
      </c>
    </row>
    <row r="960" spans="1:13" x14ac:dyDescent="0.35">
      <c r="A960" s="22" t="s">
        <v>88</v>
      </c>
      <c r="B960" s="22" t="s">
        <v>2027</v>
      </c>
      <c r="C960" s="22" t="s">
        <v>38</v>
      </c>
      <c r="D960" s="22" t="s">
        <v>43</v>
      </c>
      <c r="E960" s="22" t="s">
        <v>33</v>
      </c>
      <c r="F960" s="22" t="s">
        <v>25</v>
      </c>
      <c r="G960" s="22" t="s">
        <v>44</v>
      </c>
      <c r="H960" s="22">
        <v>41</v>
      </c>
      <c r="I960" s="24">
        <v>40682</v>
      </c>
      <c r="J960" s="27">
        <v>827</v>
      </c>
      <c r="K960" s="25">
        <v>0</v>
      </c>
      <c r="L960" s="22" t="s">
        <v>45</v>
      </c>
      <c r="M960" s="23" t="s">
        <v>66</v>
      </c>
    </row>
    <row r="961" spans="1:13" x14ac:dyDescent="0.35">
      <c r="A961" s="22" t="s">
        <v>1064</v>
      </c>
      <c r="B961" s="22" t="s">
        <v>2028</v>
      </c>
      <c r="C961" s="22" t="s">
        <v>12</v>
      </c>
      <c r="D961" s="22" t="s">
        <v>28</v>
      </c>
      <c r="E961" s="22" t="s">
        <v>29</v>
      </c>
      <c r="F961" s="22" t="s">
        <v>25</v>
      </c>
      <c r="G961" s="22" t="s">
        <v>21</v>
      </c>
      <c r="H961" s="22">
        <v>26</v>
      </c>
      <c r="I961" s="24">
        <v>43892</v>
      </c>
      <c r="J961" s="27">
        <v>613</v>
      </c>
      <c r="K961" s="25">
        <v>0.3</v>
      </c>
      <c r="L961" s="22" t="s">
        <v>17</v>
      </c>
      <c r="M961" s="23" t="s">
        <v>40</v>
      </c>
    </row>
    <row r="962" spans="1:13" x14ac:dyDescent="0.35">
      <c r="A962" s="22" t="s">
        <v>1065</v>
      </c>
      <c r="B962" s="22" t="s">
        <v>2029</v>
      </c>
      <c r="C962" s="22" t="s">
        <v>38</v>
      </c>
      <c r="D962" s="22" t="s">
        <v>39</v>
      </c>
      <c r="E962" s="22" t="s">
        <v>14</v>
      </c>
      <c r="F962" s="22" t="s">
        <v>15</v>
      </c>
      <c r="G962" s="22" t="s">
        <v>21</v>
      </c>
      <c r="H962" s="22">
        <v>57</v>
      </c>
      <c r="I962" s="24">
        <v>35087</v>
      </c>
      <c r="J962" s="27">
        <v>664</v>
      </c>
      <c r="K962" s="25">
        <v>0</v>
      </c>
      <c r="L962" s="22" t="s">
        <v>17</v>
      </c>
      <c r="M962" s="23" t="s">
        <v>26</v>
      </c>
    </row>
    <row r="963" spans="1:13" x14ac:dyDescent="0.35">
      <c r="A963" s="22" t="s">
        <v>1066</v>
      </c>
      <c r="B963" s="22" t="s">
        <v>2030</v>
      </c>
      <c r="C963" s="22" t="s">
        <v>57</v>
      </c>
      <c r="D963" s="22" t="s">
        <v>39</v>
      </c>
      <c r="E963" s="22" t="s">
        <v>1102</v>
      </c>
      <c r="F963" s="22" t="s">
        <v>25</v>
      </c>
      <c r="G963" s="22" t="s">
        <v>44</v>
      </c>
      <c r="H963" s="22">
        <v>41</v>
      </c>
      <c r="I963" s="24">
        <v>43151</v>
      </c>
      <c r="J963" s="27">
        <v>849</v>
      </c>
      <c r="K963" s="25">
        <v>0</v>
      </c>
      <c r="L963" s="22" t="s">
        <v>17</v>
      </c>
      <c r="M963" s="23" t="s">
        <v>22</v>
      </c>
    </row>
    <row r="964" spans="1:13" x14ac:dyDescent="0.35">
      <c r="A964" s="22" t="s">
        <v>1067</v>
      </c>
      <c r="B964" s="22" t="s">
        <v>2031</v>
      </c>
      <c r="C964" s="22" t="s">
        <v>36</v>
      </c>
      <c r="D964" s="22" t="s">
        <v>24</v>
      </c>
      <c r="E964" s="22" t="s">
        <v>1102</v>
      </c>
      <c r="F964" s="22" t="s">
        <v>25</v>
      </c>
      <c r="G964" s="22" t="s">
        <v>21</v>
      </c>
      <c r="H964" s="22">
        <v>59</v>
      </c>
      <c r="I964" s="24">
        <v>42859</v>
      </c>
      <c r="J964" s="27">
        <v>531</v>
      </c>
      <c r="K964" s="25">
        <v>0.17</v>
      </c>
      <c r="L964" s="22" t="s">
        <v>30</v>
      </c>
      <c r="M964" s="23" t="s">
        <v>52</v>
      </c>
    </row>
    <row r="965" spans="1:13" x14ac:dyDescent="0.35">
      <c r="A965" s="22" t="s">
        <v>201</v>
      </c>
      <c r="B965" s="22" t="s">
        <v>2032</v>
      </c>
      <c r="C965" s="22" t="s">
        <v>36</v>
      </c>
      <c r="D965" s="22" t="s">
        <v>24</v>
      </c>
      <c r="E965" s="22" t="s">
        <v>1102</v>
      </c>
      <c r="F965" s="22" t="s">
        <v>15</v>
      </c>
      <c r="G965" s="22" t="s">
        <v>21</v>
      </c>
      <c r="H965" s="22">
        <v>59</v>
      </c>
      <c r="I965" s="24">
        <v>38504</v>
      </c>
      <c r="J965" s="27">
        <v>575</v>
      </c>
      <c r="K965" s="25">
        <v>0.25</v>
      </c>
      <c r="L965" s="22" t="s">
        <v>17</v>
      </c>
      <c r="M965" s="23" t="s">
        <v>35</v>
      </c>
    </row>
    <row r="966" spans="1:13" x14ac:dyDescent="0.35">
      <c r="A966" s="22" t="s">
        <v>143</v>
      </c>
      <c r="B966" s="22" t="s">
        <v>2033</v>
      </c>
      <c r="C966" s="22" t="s">
        <v>68</v>
      </c>
      <c r="D966" s="22" t="s">
        <v>20</v>
      </c>
      <c r="E966" s="22" t="s">
        <v>33</v>
      </c>
      <c r="F966" s="22" t="s">
        <v>15</v>
      </c>
      <c r="G966" s="22" t="s">
        <v>44</v>
      </c>
      <c r="H966" s="22">
        <v>54</v>
      </c>
      <c r="I966" s="24">
        <v>42334</v>
      </c>
      <c r="J966" s="27">
        <v>721</v>
      </c>
      <c r="K966" s="25">
        <v>0</v>
      </c>
      <c r="L966" s="22" t="s">
        <v>45</v>
      </c>
      <c r="M966" s="23" t="s">
        <v>46</v>
      </c>
    </row>
    <row r="967" spans="1:13" x14ac:dyDescent="0.35">
      <c r="A967" s="22" t="s">
        <v>1068</v>
      </c>
      <c r="B967" s="22" t="s">
        <v>2034</v>
      </c>
      <c r="C967" s="22" t="s">
        <v>1111</v>
      </c>
      <c r="D967" s="22" t="s">
        <v>20</v>
      </c>
      <c r="E967" s="22" t="s">
        <v>29</v>
      </c>
      <c r="F967" s="22" t="s">
        <v>15</v>
      </c>
      <c r="G967" s="22" t="s">
        <v>21</v>
      </c>
      <c r="H967" s="22">
        <v>44</v>
      </c>
      <c r="I967" s="24">
        <v>44846</v>
      </c>
      <c r="J967" s="27">
        <v>883</v>
      </c>
      <c r="K967" s="25">
        <v>0.14000000000000001</v>
      </c>
      <c r="L967" s="22" t="s">
        <v>30</v>
      </c>
      <c r="M967" s="23" t="s">
        <v>65</v>
      </c>
    </row>
    <row r="968" spans="1:13" x14ac:dyDescent="0.35">
      <c r="A968" s="22" t="s">
        <v>261</v>
      </c>
      <c r="B968" s="22" t="s">
        <v>2035</v>
      </c>
      <c r="C968" s="22" t="s">
        <v>53</v>
      </c>
      <c r="D968" s="22" t="s">
        <v>39</v>
      </c>
      <c r="E968" s="22" t="s">
        <v>1102</v>
      </c>
      <c r="F968" s="22" t="s">
        <v>15</v>
      </c>
      <c r="G968" s="22" t="s">
        <v>44</v>
      </c>
      <c r="H968" s="22">
        <v>55</v>
      </c>
      <c r="I968" s="24">
        <v>44750</v>
      </c>
      <c r="J968" s="27">
        <v>922</v>
      </c>
      <c r="K968" s="25">
        <v>0.05</v>
      </c>
      <c r="L968" s="22" t="s">
        <v>45</v>
      </c>
      <c r="M968" s="23" t="s">
        <v>1134</v>
      </c>
    </row>
    <row r="969" spans="1:13" x14ac:dyDescent="0.35">
      <c r="A969" s="22" t="s">
        <v>1069</v>
      </c>
      <c r="B969" s="22" t="s">
        <v>2036</v>
      </c>
      <c r="C969" s="22" t="s">
        <v>36</v>
      </c>
      <c r="D969" s="22" t="s">
        <v>24</v>
      </c>
      <c r="E969" s="22" t="s">
        <v>14</v>
      </c>
      <c r="F969" s="22" t="s">
        <v>15</v>
      </c>
      <c r="G969" s="22" t="s">
        <v>21</v>
      </c>
      <c r="H969" s="22">
        <v>30</v>
      </c>
      <c r="I969" s="24">
        <v>44472</v>
      </c>
      <c r="J969" s="27">
        <v>621</v>
      </c>
      <c r="K969" s="25">
        <v>0.15</v>
      </c>
      <c r="L969" s="22" t="s">
        <v>30</v>
      </c>
      <c r="M969" s="23" t="s">
        <v>65</v>
      </c>
    </row>
    <row r="970" spans="1:13" x14ac:dyDescent="0.35">
      <c r="A970" s="22" t="s">
        <v>1070</v>
      </c>
      <c r="B970" s="22" t="s">
        <v>2037</v>
      </c>
      <c r="C970" s="22" t="s">
        <v>74</v>
      </c>
      <c r="D970" s="22" t="s">
        <v>43</v>
      </c>
      <c r="E970" s="22" t="s">
        <v>1102</v>
      </c>
      <c r="F970" s="22" t="s">
        <v>25</v>
      </c>
      <c r="G970" s="22" t="s">
        <v>44</v>
      </c>
      <c r="H970" s="22">
        <v>44</v>
      </c>
      <c r="I970" s="24">
        <v>44129</v>
      </c>
      <c r="J970" s="27">
        <v>882</v>
      </c>
      <c r="K970" s="25">
        <v>0</v>
      </c>
      <c r="L970" s="22" t="s">
        <v>45</v>
      </c>
      <c r="M970" s="23" t="s">
        <v>46</v>
      </c>
    </row>
    <row r="971" spans="1:13" x14ac:dyDescent="0.35">
      <c r="A971" s="22" t="s">
        <v>187</v>
      </c>
      <c r="B971" s="22" t="s">
        <v>2038</v>
      </c>
      <c r="C971" s="22" t="s">
        <v>57</v>
      </c>
      <c r="D971" s="22" t="s">
        <v>39</v>
      </c>
      <c r="E971" s="22" t="s">
        <v>1102</v>
      </c>
      <c r="F971" s="22" t="s">
        <v>15</v>
      </c>
      <c r="G971" s="22" t="s">
        <v>16</v>
      </c>
      <c r="H971" s="22">
        <v>57</v>
      </c>
      <c r="I971" s="24">
        <v>39673</v>
      </c>
      <c r="J971" s="27">
        <v>776</v>
      </c>
      <c r="K971" s="25">
        <v>0</v>
      </c>
      <c r="L971" s="22" t="s">
        <v>17</v>
      </c>
      <c r="M971" s="23" t="s">
        <v>26</v>
      </c>
    </row>
    <row r="972" spans="1:13" x14ac:dyDescent="0.35">
      <c r="A972" s="22" t="s">
        <v>1071</v>
      </c>
      <c r="B972" s="22" t="s">
        <v>2039</v>
      </c>
      <c r="C972" s="22" t="s">
        <v>58</v>
      </c>
      <c r="D972" s="22" t="s">
        <v>28</v>
      </c>
      <c r="E972" s="22" t="s">
        <v>29</v>
      </c>
      <c r="F972" s="22" t="s">
        <v>25</v>
      </c>
      <c r="G972" s="22" t="s">
        <v>44</v>
      </c>
      <c r="H972" s="22">
        <v>58</v>
      </c>
      <c r="I972" s="24">
        <v>38793</v>
      </c>
      <c r="J972" s="27">
        <v>501</v>
      </c>
      <c r="K972" s="25">
        <v>0</v>
      </c>
      <c r="L972" s="22" t="s">
        <v>17</v>
      </c>
      <c r="M972" s="23" t="s">
        <v>54</v>
      </c>
    </row>
    <row r="973" spans="1:13" x14ac:dyDescent="0.35">
      <c r="A973" s="22" t="s">
        <v>1072</v>
      </c>
      <c r="B973" s="22" t="s">
        <v>2040</v>
      </c>
      <c r="C973" s="22" t="s">
        <v>58</v>
      </c>
      <c r="D973" s="22" t="s">
        <v>28</v>
      </c>
      <c r="E973" s="22" t="s">
        <v>33</v>
      </c>
      <c r="F973" s="22" t="s">
        <v>15</v>
      </c>
      <c r="G973" s="22" t="s">
        <v>21</v>
      </c>
      <c r="H973" s="22">
        <v>59</v>
      </c>
      <c r="I973" s="24">
        <v>39680</v>
      </c>
      <c r="J973" s="27">
        <v>530</v>
      </c>
      <c r="K973" s="25">
        <v>0</v>
      </c>
      <c r="L973" s="22" t="s">
        <v>17</v>
      </c>
      <c r="M973" s="23" t="s">
        <v>18</v>
      </c>
    </row>
    <row r="974" spans="1:13" x14ac:dyDescent="0.35">
      <c r="A974" s="22" t="s">
        <v>1073</v>
      </c>
      <c r="B974" s="22" t="s">
        <v>2041</v>
      </c>
      <c r="C974" s="22" t="s">
        <v>77</v>
      </c>
      <c r="D974" s="22" t="s">
        <v>24</v>
      </c>
      <c r="E974" s="22" t="s">
        <v>33</v>
      </c>
      <c r="F974" s="22" t="s">
        <v>15</v>
      </c>
      <c r="G974" s="22" t="s">
        <v>21</v>
      </c>
      <c r="H974" s="22">
        <v>60</v>
      </c>
      <c r="I974" s="24">
        <v>36547</v>
      </c>
      <c r="J974" s="27">
        <v>644</v>
      </c>
      <c r="K974" s="25">
        <v>0</v>
      </c>
      <c r="L974" s="22" t="s">
        <v>17</v>
      </c>
      <c r="M974" s="23" t="s">
        <v>26</v>
      </c>
    </row>
    <row r="975" spans="1:13" x14ac:dyDescent="0.35">
      <c r="A975" s="22" t="s">
        <v>1074</v>
      </c>
      <c r="B975" s="22" t="s">
        <v>2042</v>
      </c>
      <c r="C975" s="22" t="s">
        <v>72</v>
      </c>
      <c r="D975" s="22" t="s">
        <v>24</v>
      </c>
      <c r="E975" s="22" t="s">
        <v>14</v>
      </c>
      <c r="F975" s="22" t="s">
        <v>15</v>
      </c>
      <c r="G975" s="22" t="s">
        <v>41</v>
      </c>
      <c r="H975" s="22">
        <v>32</v>
      </c>
      <c r="I975" s="24">
        <v>43623</v>
      </c>
      <c r="J975" s="27">
        <v>704</v>
      </c>
      <c r="K975" s="25">
        <v>0</v>
      </c>
      <c r="L975" s="22" t="s">
        <v>17</v>
      </c>
      <c r="M975" s="23" t="s">
        <v>26</v>
      </c>
    </row>
    <row r="976" spans="1:13" x14ac:dyDescent="0.35">
      <c r="A976" s="22" t="s">
        <v>1075</v>
      </c>
      <c r="B976" s="22" t="s">
        <v>2043</v>
      </c>
      <c r="C976" s="22" t="s">
        <v>51</v>
      </c>
      <c r="D976" s="22" t="s">
        <v>28</v>
      </c>
      <c r="E976" s="22" t="s">
        <v>33</v>
      </c>
      <c r="F976" s="22" t="s">
        <v>15</v>
      </c>
      <c r="G976" s="22" t="s">
        <v>16</v>
      </c>
      <c r="H976" s="22">
        <v>41</v>
      </c>
      <c r="I976" s="24">
        <v>40799</v>
      </c>
      <c r="J976" s="27">
        <v>691</v>
      </c>
      <c r="K976" s="25">
        <v>0</v>
      </c>
      <c r="L976" s="22" t="s">
        <v>17</v>
      </c>
      <c r="M976" s="23" t="s">
        <v>26</v>
      </c>
    </row>
    <row r="977" spans="1:13" x14ac:dyDescent="0.35">
      <c r="A977" s="22" t="s">
        <v>210</v>
      </c>
      <c r="B977" s="22" t="s">
        <v>2044</v>
      </c>
      <c r="C977" s="22" t="s">
        <v>32</v>
      </c>
      <c r="D977" s="22" t="s">
        <v>24</v>
      </c>
      <c r="E977" s="22" t="s">
        <v>1102</v>
      </c>
      <c r="F977" s="22" t="s">
        <v>25</v>
      </c>
      <c r="G977" s="22" t="s">
        <v>21</v>
      </c>
      <c r="H977" s="22">
        <v>39</v>
      </c>
      <c r="I977" s="24">
        <v>41034</v>
      </c>
      <c r="J977" s="27">
        <v>529</v>
      </c>
      <c r="K977" s="25">
        <v>0</v>
      </c>
      <c r="L977" s="22" t="s">
        <v>17</v>
      </c>
      <c r="M977" s="23" t="s">
        <v>26</v>
      </c>
    </row>
    <row r="978" spans="1:13" x14ac:dyDescent="0.35">
      <c r="A978" s="22" t="s">
        <v>1076</v>
      </c>
      <c r="B978" s="22" t="s">
        <v>2045</v>
      </c>
      <c r="C978" s="22" t="s">
        <v>38</v>
      </c>
      <c r="D978" s="22" t="s">
        <v>39</v>
      </c>
      <c r="E978" s="22" t="s">
        <v>1102</v>
      </c>
      <c r="F978" s="22" t="s">
        <v>15</v>
      </c>
      <c r="G978" s="22" t="s">
        <v>44</v>
      </c>
      <c r="H978" s="22">
        <v>39</v>
      </c>
      <c r="I978" s="24">
        <v>44056</v>
      </c>
      <c r="J978" s="27">
        <v>730</v>
      </c>
      <c r="K978" s="25">
        <v>0</v>
      </c>
      <c r="L978" s="22" t="s">
        <v>17</v>
      </c>
      <c r="M978" s="23" t="s">
        <v>40</v>
      </c>
    </row>
    <row r="979" spans="1:13" x14ac:dyDescent="0.35">
      <c r="A979" s="22" t="s">
        <v>1077</v>
      </c>
      <c r="B979" s="22" t="s">
        <v>2046</v>
      </c>
      <c r="C979" s="22" t="s">
        <v>76</v>
      </c>
      <c r="D979" s="22" t="s">
        <v>28</v>
      </c>
      <c r="E979" s="22" t="s">
        <v>14</v>
      </c>
      <c r="F979" s="22" t="s">
        <v>25</v>
      </c>
      <c r="G979" s="22" t="s">
        <v>21</v>
      </c>
      <c r="H979" s="22">
        <v>31</v>
      </c>
      <c r="I979" s="24">
        <v>42620</v>
      </c>
      <c r="J979" s="27">
        <v>715</v>
      </c>
      <c r="K979" s="25">
        <v>0.13</v>
      </c>
      <c r="L979" s="22" t="s">
        <v>17</v>
      </c>
      <c r="M979" s="23" t="s">
        <v>35</v>
      </c>
    </row>
    <row r="980" spans="1:13" x14ac:dyDescent="0.35">
      <c r="A980" s="22" t="s">
        <v>179</v>
      </c>
      <c r="B980" s="22" t="s">
        <v>2047</v>
      </c>
      <c r="C980" s="22" t="s">
        <v>38</v>
      </c>
      <c r="D980" s="22" t="s">
        <v>43</v>
      </c>
      <c r="E980" s="22" t="s">
        <v>14</v>
      </c>
      <c r="F980" s="22" t="s">
        <v>15</v>
      </c>
      <c r="G980" s="22" t="s">
        <v>21</v>
      </c>
      <c r="H980" s="22">
        <v>32</v>
      </c>
      <c r="I980" s="24">
        <v>42294</v>
      </c>
      <c r="J980" s="27">
        <v>590</v>
      </c>
      <c r="K980" s="25">
        <v>0</v>
      </c>
      <c r="L980" s="22" t="s">
        <v>30</v>
      </c>
      <c r="M980" s="23" t="s">
        <v>52</v>
      </c>
    </row>
    <row r="981" spans="1:13" x14ac:dyDescent="0.35">
      <c r="A981" s="22" t="s">
        <v>1078</v>
      </c>
      <c r="B981" s="22" t="s">
        <v>2048</v>
      </c>
      <c r="C981" s="22" t="s">
        <v>1111</v>
      </c>
      <c r="D981" s="22" t="s">
        <v>56</v>
      </c>
      <c r="E981" s="22" t="s">
        <v>14</v>
      </c>
      <c r="F981" s="22" t="s">
        <v>25</v>
      </c>
      <c r="G981" s="22" t="s">
        <v>21</v>
      </c>
      <c r="H981" s="22">
        <v>46</v>
      </c>
      <c r="I981" s="24">
        <v>43454</v>
      </c>
      <c r="J981" s="27">
        <v>860</v>
      </c>
      <c r="K981" s="25">
        <v>0.13</v>
      </c>
      <c r="L981" s="22" t="s">
        <v>30</v>
      </c>
      <c r="M981" s="23" t="s">
        <v>61</v>
      </c>
    </row>
    <row r="982" spans="1:13" x14ac:dyDescent="0.35">
      <c r="A982" s="22" t="s">
        <v>1079</v>
      </c>
      <c r="B982" s="22" t="s">
        <v>2049</v>
      </c>
      <c r="C982" s="22" t="s">
        <v>53</v>
      </c>
      <c r="D982" s="22" t="s">
        <v>24</v>
      </c>
      <c r="E982" s="22" t="s">
        <v>1102</v>
      </c>
      <c r="F982" s="22" t="s">
        <v>15</v>
      </c>
      <c r="G982" s="22" t="s">
        <v>44</v>
      </c>
      <c r="H982" s="22">
        <v>64</v>
      </c>
      <c r="I982" s="24">
        <v>41916</v>
      </c>
      <c r="J982" s="27">
        <v>810</v>
      </c>
      <c r="K982" s="25">
        <v>0.08</v>
      </c>
      <c r="L982" s="22" t="s">
        <v>17</v>
      </c>
      <c r="M982" s="23" t="s">
        <v>40</v>
      </c>
    </row>
    <row r="983" spans="1:13" x14ac:dyDescent="0.35">
      <c r="A983" s="22" t="s">
        <v>1080</v>
      </c>
      <c r="B983" s="22" t="s">
        <v>2050</v>
      </c>
      <c r="C983" s="22" t="s">
        <v>36</v>
      </c>
      <c r="D983" s="22" t="s">
        <v>20</v>
      </c>
      <c r="E983" s="22" t="s">
        <v>1102</v>
      </c>
      <c r="F983" s="22" t="s">
        <v>15</v>
      </c>
      <c r="G983" s="22" t="s">
        <v>16</v>
      </c>
      <c r="H983" s="22">
        <v>53</v>
      </c>
      <c r="I983" s="24">
        <v>36168</v>
      </c>
      <c r="J983" s="27">
        <v>616</v>
      </c>
      <c r="K983" s="25">
        <v>0.17</v>
      </c>
      <c r="L983" s="22" t="s">
        <v>17</v>
      </c>
      <c r="M983" s="23" t="s">
        <v>40</v>
      </c>
    </row>
    <row r="984" spans="1:13" x14ac:dyDescent="0.35">
      <c r="A984" s="22" t="s">
        <v>113</v>
      </c>
      <c r="B984" s="22" t="s">
        <v>2051</v>
      </c>
      <c r="C984" s="22" t="s">
        <v>38</v>
      </c>
      <c r="D984" s="22" t="s">
        <v>43</v>
      </c>
      <c r="E984" s="22" t="s">
        <v>33</v>
      </c>
      <c r="F984" s="22" t="s">
        <v>25</v>
      </c>
      <c r="G984" s="22" t="s">
        <v>44</v>
      </c>
      <c r="H984" s="22">
        <v>34</v>
      </c>
      <c r="I984" s="24">
        <v>43410</v>
      </c>
      <c r="J984" s="27">
        <v>789</v>
      </c>
      <c r="K984" s="25">
        <v>0</v>
      </c>
      <c r="L984" s="22" t="s">
        <v>17</v>
      </c>
      <c r="M984" s="23" t="s">
        <v>40</v>
      </c>
    </row>
    <row r="985" spans="1:13" x14ac:dyDescent="0.35">
      <c r="A985" s="22" t="s">
        <v>1081</v>
      </c>
      <c r="B985" s="22" t="s">
        <v>2052</v>
      </c>
      <c r="C985" s="22" t="s">
        <v>53</v>
      </c>
      <c r="D985" s="22" t="s">
        <v>20</v>
      </c>
      <c r="E985" s="22" t="s">
        <v>1102</v>
      </c>
      <c r="F985" s="22" t="s">
        <v>25</v>
      </c>
      <c r="G985" s="22" t="s">
        <v>21</v>
      </c>
      <c r="H985" s="22">
        <v>39</v>
      </c>
      <c r="I985" s="24">
        <v>39656</v>
      </c>
      <c r="J985" s="27">
        <v>569</v>
      </c>
      <c r="K985" s="25">
        <v>0.05</v>
      </c>
      <c r="L985" s="22" t="s">
        <v>17</v>
      </c>
      <c r="M985" s="23" t="s">
        <v>22</v>
      </c>
    </row>
    <row r="986" spans="1:13" x14ac:dyDescent="0.35">
      <c r="A986" s="22" t="s">
        <v>1082</v>
      </c>
      <c r="B986" s="22" t="s">
        <v>2053</v>
      </c>
      <c r="C986" s="22" t="s">
        <v>42</v>
      </c>
      <c r="D986" s="22" t="s">
        <v>43</v>
      </c>
      <c r="E986" s="22" t="s">
        <v>29</v>
      </c>
      <c r="F986" s="22" t="s">
        <v>25</v>
      </c>
      <c r="G986" s="22" t="s">
        <v>16</v>
      </c>
      <c r="H986" s="22">
        <v>25</v>
      </c>
      <c r="I986" s="24">
        <v>44321</v>
      </c>
      <c r="J986" s="27">
        <v>601</v>
      </c>
      <c r="K986" s="25">
        <v>0</v>
      </c>
      <c r="L986" s="22" t="s">
        <v>17</v>
      </c>
      <c r="M986" s="23" t="s">
        <v>54</v>
      </c>
    </row>
    <row r="987" spans="1:13" x14ac:dyDescent="0.35">
      <c r="A987" s="22" t="s">
        <v>233</v>
      </c>
      <c r="B987" s="22" t="s">
        <v>2054</v>
      </c>
      <c r="C987" s="22" t="s">
        <v>71</v>
      </c>
      <c r="D987" s="22" t="s">
        <v>24</v>
      </c>
      <c r="E987" s="22" t="s">
        <v>1102</v>
      </c>
      <c r="F987" s="22" t="s">
        <v>15</v>
      </c>
      <c r="G987" s="22" t="s">
        <v>21</v>
      </c>
      <c r="H987" s="22">
        <v>45</v>
      </c>
      <c r="I987" s="24">
        <v>42078</v>
      </c>
      <c r="J987" s="27">
        <v>859</v>
      </c>
      <c r="K987" s="25">
        <v>0</v>
      </c>
      <c r="L987" s="22" t="s">
        <v>30</v>
      </c>
      <c r="M987" s="23" t="s">
        <v>65</v>
      </c>
    </row>
    <row r="988" spans="1:13" x14ac:dyDescent="0.35">
      <c r="A988" s="22" t="s">
        <v>1083</v>
      </c>
      <c r="B988" s="22" t="s">
        <v>2055</v>
      </c>
      <c r="C988" s="22" t="s">
        <v>1111</v>
      </c>
      <c r="D988" s="22" t="s">
        <v>13</v>
      </c>
      <c r="E988" s="22" t="s">
        <v>29</v>
      </c>
      <c r="F988" s="22" t="s">
        <v>15</v>
      </c>
      <c r="G988" s="22" t="s">
        <v>44</v>
      </c>
      <c r="H988" s="22">
        <v>61</v>
      </c>
      <c r="I988" s="24">
        <v>35537</v>
      </c>
      <c r="J988" s="27">
        <v>570</v>
      </c>
      <c r="K988" s="25">
        <v>0.13</v>
      </c>
      <c r="L988" s="22" t="s">
        <v>45</v>
      </c>
      <c r="M988" s="23" t="s">
        <v>66</v>
      </c>
    </row>
    <row r="989" spans="1:13" x14ac:dyDescent="0.35">
      <c r="A989" s="22" t="s">
        <v>1084</v>
      </c>
      <c r="B989" s="22" t="s">
        <v>2056</v>
      </c>
      <c r="C989" s="22" t="s">
        <v>1111</v>
      </c>
      <c r="D989" s="22" t="s">
        <v>56</v>
      </c>
      <c r="E989" s="22" t="s">
        <v>29</v>
      </c>
      <c r="F989" s="22" t="s">
        <v>25</v>
      </c>
      <c r="G989" s="22" t="s">
        <v>21</v>
      </c>
      <c r="H989" s="22">
        <v>44</v>
      </c>
      <c r="I989" s="24">
        <v>39318</v>
      </c>
      <c r="J989" s="27">
        <v>759</v>
      </c>
      <c r="K989" s="25">
        <v>0.13</v>
      </c>
      <c r="L989" s="22" t="s">
        <v>17</v>
      </c>
      <c r="M989" s="23" t="s">
        <v>35</v>
      </c>
    </row>
    <row r="990" spans="1:13" x14ac:dyDescent="0.35">
      <c r="A990" s="22" t="s">
        <v>1085</v>
      </c>
      <c r="B990" s="22" t="s">
        <v>2057</v>
      </c>
      <c r="C990" s="22" t="s">
        <v>34</v>
      </c>
      <c r="D990" s="22" t="s">
        <v>24</v>
      </c>
      <c r="E990" s="22" t="s">
        <v>33</v>
      </c>
      <c r="F990" s="22" t="s">
        <v>15</v>
      </c>
      <c r="G990" s="22" t="s">
        <v>41</v>
      </c>
      <c r="H990" s="22">
        <v>59</v>
      </c>
      <c r="I990" s="24">
        <v>34292</v>
      </c>
      <c r="J990" s="27">
        <v>855</v>
      </c>
      <c r="K990" s="25">
        <v>0</v>
      </c>
      <c r="L990" s="22" t="s">
        <v>17</v>
      </c>
      <c r="M990" s="23" t="s">
        <v>18</v>
      </c>
    </row>
    <row r="991" spans="1:13" x14ac:dyDescent="0.35">
      <c r="A991" s="22" t="s">
        <v>1086</v>
      </c>
      <c r="B991" s="22" t="s">
        <v>2058</v>
      </c>
      <c r="C991" s="22" t="s">
        <v>58</v>
      </c>
      <c r="D991" s="22" t="s">
        <v>28</v>
      </c>
      <c r="E991" s="22" t="s">
        <v>33</v>
      </c>
      <c r="F991" s="22" t="s">
        <v>25</v>
      </c>
      <c r="G991" s="22" t="s">
        <v>44</v>
      </c>
      <c r="H991" s="22">
        <v>34</v>
      </c>
      <c r="I991" s="24">
        <v>44252</v>
      </c>
      <c r="J991" s="27">
        <v>872</v>
      </c>
      <c r="K991" s="25">
        <v>0</v>
      </c>
      <c r="L991" s="22" t="s">
        <v>45</v>
      </c>
      <c r="M991" s="23" t="s">
        <v>46</v>
      </c>
    </row>
    <row r="992" spans="1:13" x14ac:dyDescent="0.35">
      <c r="A992" s="22" t="s">
        <v>257</v>
      </c>
      <c r="B992" s="22" t="s">
        <v>2059</v>
      </c>
      <c r="C992" s="22" t="s">
        <v>74</v>
      </c>
      <c r="D992" s="22" t="s">
        <v>43</v>
      </c>
      <c r="E992" s="22" t="s">
        <v>29</v>
      </c>
      <c r="F992" s="22" t="s">
        <v>15</v>
      </c>
      <c r="G992" s="22" t="s">
        <v>41</v>
      </c>
      <c r="H992" s="22">
        <v>45</v>
      </c>
      <c r="I992" s="24">
        <v>37613</v>
      </c>
      <c r="J992" s="27">
        <v>828</v>
      </c>
      <c r="K992" s="25">
        <v>0</v>
      </c>
      <c r="L992" s="22" t="s">
        <v>17</v>
      </c>
      <c r="M992" s="23" t="s">
        <v>35</v>
      </c>
    </row>
    <row r="993" spans="1:13" x14ac:dyDescent="0.35">
      <c r="A993" s="22" t="s">
        <v>1087</v>
      </c>
      <c r="B993" s="22" t="s">
        <v>2060</v>
      </c>
      <c r="C993" s="22" t="s">
        <v>57</v>
      </c>
      <c r="D993" s="22" t="s">
        <v>43</v>
      </c>
      <c r="E993" s="22" t="s">
        <v>14</v>
      </c>
      <c r="F993" s="22" t="s">
        <v>25</v>
      </c>
      <c r="G993" s="22" t="s">
        <v>21</v>
      </c>
      <c r="H993" s="22">
        <v>35</v>
      </c>
      <c r="I993" s="24">
        <v>44341</v>
      </c>
      <c r="J993" s="27">
        <v>581</v>
      </c>
      <c r="K993" s="25">
        <v>0</v>
      </c>
      <c r="L993" s="22" t="s">
        <v>17</v>
      </c>
      <c r="M993" s="23" t="s">
        <v>26</v>
      </c>
    </row>
    <row r="994" spans="1:13" x14ac:dyDescent="0.35">
      <c r="A994" s="22" t="s">
        <v>1088</v>
      </c>
      <c r="B994" s="22" t="s">
        <v>2061</v>
      </c>
      <c r="C994" s="22" t="s">
        <v>12</v>
      </c>
      <c r="D994" s="22" t="s">
        <v>39</v>
      </c>
      <c r="E994" s="22" t="s">
        <v>1102</v>
      </c>
      <c r="F994" s="22" t="s">
        <v>15</v>
      </c>
      <c r="G994" s="22" t="s">
        <v>21</v>
      </c>
      <c r="H994" s="22">
        <v>42</v>
      </c>
      <c r="I994" s="24">
        <v>41904</v>
      </c>
      <c r="J994" s="27">
        <v>808</v>
      </c>
      <c r="K994" s="25">
        <v>0.31</v>
      </c>
      <c r="L994" s="22" t="s">
        <v>17</v>
      </c>
      <c r="M994" s="23" t="s">
        <v>22</v>
      </c>
    </row>
    <row r="995" spans="1:13" x14ac:dyDescent="0.35">
      <c r="A995" s="22" t="s">
        <v>1089</v>
      </c>
      <c r="B995" s="22" t="s">
        <v>2062</v>
      </c>
      <c r="C995" s="22" t="s">
        <v>1111</v>
      </c>
      <c r="D995" s="22" t="s">
        <v>13</v>
      </c>
      <c r="E995" s="22" t="s">
        <v>1102</v>
      </c>
      <c r="F995" s="22" t="s">
        <v>25</v>
      </c>
      <c r="G995" s="22" t="s">
        <v>21</v>
      </c>
      <c r="H995" s="22">
        <v>38</v>
      </c>
      <c r="I995" s="24">
        <v>41210</v>
      </c>
      <c r="J995" s="27">
        <v>605</v>
      </c>
      <c r="K995" s="25">
        <v>0.12</v>
      </c>
      <c r="L995" s="22" t="s">
        <v>17</v>
      </c>
      <c r="M995" s="23" t="s">
        <v>54</v>
      </c>
    </row>
    <row r="996" spans="1:13" x14ac:dyDescent="0.35">
      <c r="A996" s="22" t="s">
        <v>1090</v>
      </c>
      <c r="B996" s="22" t="s">
        <v>2063</v>
      </c>
      <c r="C996" s="22" t="s">
        <v>12</v>
      </c>
      <c r="D996" s="22" t="s">
        <v>28</v>
      </c>
      <c r="E996" s="22" t="s">
        <v>1102</v>
      </c>
      <c r="F996" s="22" t="s">
        <v>25</v>
      </c>
      <c r="G996" s="22" t="s">
        <v>21</v>
      </c>
      <c r="H996" s="22">
        <v>46</v>
      </c>
      <c r="I996" s="24">
        <v>39322</v>
      </c>
      <c r="J996" s="27">
        <v>783</v>
      </c>
      <c r="K996" s="25">
        <v>0.36</v>
      </c>
      <c r="L996" s="22" t="s">
        <v>17</v>
      </c>
      <c r="M996" s="23" t="s">
        <v>35</v>
      </c>
    </row>
    <row r="997" spans="1:13" x14ac:dyDescent="0.35">
      <c r="A997" s="22" t="s">
        <v>1091</v>
      </c>
      <c r="B997" s="22" t="s">
        <v>2064</v>
      </c>
      <c r="C997" s="22" t="s">
        <v>59</v>
      </c>
      <c r="D997" s="22" t="s">
        <v>24</v>
      </c>
      <c r="E997" s="22" t="s">
        <v>1102</v>
      </c>
      <c r="F997" s="22" t="s">
        <v>15</v>
      </c>
      <c r="G997" s="22" t="s">
        <v>44</v>
      </c>
      <c r="H997" s="22">
        <v>48</v>
      </c>
      <c r="I997" s="24">
        <v>41241</v>
      </c>
      <c r="J997" s="27">
        <v>520</v>
      </c>
      <c r="K997" s="25">
        <v>0</v>
      </c>
      <c r="L997" s="22" t="s">
        <v>45</v>
      </c>
      <c r="M997" s="23" t="s">
        <v>1134</v>
      </c>
    </row>
    <row r="998" spans="1:13" x14ac:dyDescent="0.35">
      <c r="A998" s="22" t="s">
        <v>1092</v>
      </c>
      <c r="B998" s="22" t="s">
        <v>2065</v>
      </c>
      <c r="C998" s="22" t="s">
        <v>57</v>
      </c>
      <c r="D998" s="22" t="s">
        <v>13</v>
      </c>
      <c r="E998" s="22" t="s">
        <v>29</v>
      </c>
      <c r="F998" s="22" t="s">
        <v>15</v>
      </c>
      <c r="G998" s="22" t="s">
        <v>21</v>
      </c>
      <c r="H998" s="22">
        <v>63</v>
      </c>
      <c r="I998" s="24">
        <v>40342</v>
      </c>
      <c r="J998" s="27">
        <v>527</v>
      </c>
      <c r="K998" s="25">
        <v>0</v>
      </c>
      <c r="L998" s="22" t="s">
        <v>17</v>
      </c>
      <c r="M998" s="23" t="s">
        <v>54</v>
      </c>
    </row>
    <row r="999" spans="1:13" x14ac:dyDescent="0.35">
      <c r="A999" s="22" t="s">
        <v>1093</v>
      </c>
      <c r="B999" s="22" t="s">
        <v>2066</v>
      </c>
      <c r="C999" s="22" t="s">
        <v>42</v>
      </c>
      <c r="D999" s="22" t="s">
        <v>43</v>
      </c>
      <c r="E999" s="22" t="s">
        <v>14</v>
      </c>
      <c r="F999" s="22" t="s">
        <v>15</v>
      </c>
      <c r="G999" s="22" t="s">
        <v>21</v>
      </c>
      <c r="H999" s="22">
        <v>31</v>
      </c>
      <c r="I999" s="24">
        <v>43339</v>
      </c>
      <c r="J999" s="27">
        <v>948</v>
      </c>
      <c r="K999" s="25">
        <v>0</v>
      </c>
      <c r="L999" s="22" t="s">
        <v>17</v>
      </c>
      <c r="M999" s="23" t="s">
        <v>40</v>
      </c>
    </row>
    <row r="1000" spans="1:13" x14ac:dyDescent="0.35">
      <c r="A1000" s="22" t="s">
        <v>116</v>
      </c>
      <c r="B1000" s="22" t="s">
        <v>2067</v>
      </c>
      <c r="C1000" s="22" t="s">
        <v>69</v>
      </c>
      <c r="D1000" s="22" t="s">
        <v>28</v>
      </c>
      <c r="E1000" s="22" t="s">
        <v>33</v>
      </c>
      <c r="F1000" s="22" t="s">
        <v>25</v>
      </c>
      <c r="G1000" s="22" t="s">
        <v>21</v>
      </c>
      <c r="H1000" s="22">
        <v>52</v>
      </c>
      <c r="I1000" s="24">
        <v>44883</v>
      </c>
      <c r="J1000" s="27">
        <v>514</v>
      </c>
      <c r="K1000" s="25">
        <v>0</v>
      </c>
      <c r="L1000" s="22" t="s">
        <v>17</v>
      </c>
      <c r="M1000" s="23" t="s">
        <v>54</v>
      </c>
    </row>
    <row r="1001" spans="1:13" x14ac:dyDescent="0.35">
      <c r="A1001" s="22" t="s">
        <v>1094</v>
      </c>
      <c r="B1001" s="22" t="s">
        <v>2068</v>
      </c>
      <c r="C1001" s="22" t="s">
        <v>74</v>
      </c>
      <c r="D1001" s="22" t="s">
        <v>43</v>
      </c>
      <c r="E1001" s="22" t="s">
        <v>29</v>
      </c>
      <c r="F1001" s="22" t="s">
        <v>15</v>
      </c>
      <c r="G1001" s="22" t="s">
        <v>41</v>
      </c>
      <c r="H1001" s="22">
        <v>27</v>
      </c>
      <c r="I1001" s="24">
        <v>44235</v>
      </c>
      <c r="J1001" s="27">
        <v>611</v>
      </c>
      <c r="K1001" s="25">
        <v>0</v>
      </c>
      <c r="L1001" s="22" t="s">
        <v>17</v>
      </c>
      <c r="M1001" s="23" t="s">
        <v>54</v>
      </c>
    </row>
    <row r="1002" spans="1:13" x14ac:dyDescent="0.35">
      <c r="J1002" s="28"/>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F6B86-7E6F-4B08-B387-893B89C5181B}">
  <sheetPr codeName="Sheet2"/>
  <dimension ref="A1:X100"/>
  <sheetViews>
    <sheetView topLeftCell="E1" workbookViewId="0">
      <pane ySplit="1" topLeftCell="A77" activePane="bottomLeft" state="frozen"/>
      <selection activeCell="B21" sqref="B21"/>
      <selection pane="bottomLeft" activeCell="B21" sqref="B21"/>
    </sheetView>
  </sheetViews>
  <sheetFormatPr defaultColWidth="9.1796875" defaultRowHeight="18.5" x14ac:dyDescent="0.45"/>
  <cols>
    <col min="1" max="1" width="15.26953125" style="3" bestFit="1" customWidth="1"/>
    <col min="2" max="2" width="22" style="3" bestFit="1" customWidth="1"/>
    <col min="3" max="3" width="12.453125" style="3" customWidth="1"/>
    <col min="4" max="4" width="9.1796875" style="3"/>
    <col min="5" max="5" width="12.1796875" style="3" bestFit="1" customWidth="1"/>
    <col min="6" max="6" width="18" style="3" bestFit="1" customWidth="1"/>
    <col min="7" max="7" width="27.7265625" style="3" hidden="1" customWidth="1"/>
    <col min="8" max="8" width="16.81640625" style="3" hidden="1" customWidth="1"/>
    <col min="9" max="9" width="23.81640625" style="3" hidden="1" customWidth="1"/>
    <col min="10" max="10" width="7.7265625" style="3" hidden="1" customWidth="1"/>
    <col min="11" max="11" width="9.7265625" style="3" hidden="1" customWidth="1"/>
    <col min="12" max="12" width="4.54296875" style="3" bestFit="1" customWidth="1"/>
    <col min="13" max="13" width="14.54296875" style="3" bestFit="1" customWidth="1"/>
    <col min="14" max="14" width="18.26953125" style="3" customWidth="1"/>
    <col min="15" max="15" width="8.54296875" style="3" bestFit="1" customWidth="1"/>
    <col min="16" max="16" width="12.81640625" style="3" bestFit="1" customWidth="1"/>
    <col min="17" max="17" width="13.54296875" style="3" bestFit="1" customWidth="1"/>
    <col min="18" max="20" width="9.1796875" style="3"/>
    <col min="21" max="24" width="12.1796875" style="3" bestFit="1" customWidth="1"/>
    <col min="25" max="16384" width="9.1796875" style="3"/>
  </cols>
  <sheetData>
    <row r="1" spans="1:24" x14ac:dyDescent="0.45">
      <c r="A1" s="8" t="s">
        <v>2069</v>
      </c>
      <c r="B1" s="9" t="s">
        <v>2071</v>
      </c>
      <c r="E1" s="12" t="s">
        <v>2069</v>
      </c>
      <c r="F1" s="18" t="s">
        <v>0</v>
      </c>
      <c r="G1" s="13" t="s">
        <v>1</v>
      </c>
      <c r="H1" s="13" t="s">
        <v>2</v>
      </c>
      <c r="I1" s="13" t="s">
        <v>3</v>
      </c>
      <c r="J1" s="13" t="s">
        <v>4</v>
      </c>
      <c r="K1" s="13" t="s">
        <v>5</v>
      </c>
      <c r="L1" s="13" t="s">
        <v>6</v>
      </c>
      <c r="M1" s="13" t="s">
        <v>7</v>
      </c>
      <c r="N1" s="18" t="s">
        <v>8</v>
      </c>
      <c r="O1" s="13" t="s">
        <v>9</v>
      </c>
      <c r="P1" s="13" t="s">
        <v>10</v>
      </c>
      <c r="Q1" s="13" t="s">
        <v>11</v>
      </c>
    </row>
    <row r="2" spans="1:24" x14ac:dyDescent="0.45">
      <c r="A2" s="10" t="s">
        <v>248</v>
      </c>
      <c r="B2" s="7" t="str">
        <f>VLOOKUP(A2,E:F,2,0)</f>
        <v>Serenity Cao</v>
      </c>
      <c r="E2" s="14" t="s">
        <v>283</v>
      </c>
      <c r="F2" s="14" t="s">
        <v>1095</v>
      </c>
      <c r="G2" s="14" t="s">
        <v>69</v>
      </c>
      <c r="H2" s="14" t="s">
        <v>28</v>
      </c>
      <c r="I2" s="14" t="s">
        <v>33</v>
      </c>
      <c r="J2" s="14" t="s">
        <v>25</v>
      </c>
      <c r="K2" s="14" t="s">
        <v>21</v>
      </c>
      <c r="L2" s="14">
        <v>47</v>
      </c>
      <c r="M2" s="15">
        <v>44597</v>
      </c>
      <c r="N2" s="16">
        <v>92368</v>
      </c>
      <c r="O2" s="17">
        <v>0</v>
      </c>
      <c r="P2" s="14" t="s">
        <v>17</v>
      </c>
      <c r="Q2" s="14" t="s">
        <v>26</v>
      </c>
    </row>
    <row r="3" spans="1:24" x14ac:dyDescent="0.45">
      <c r="A3" s="10" t="s">
        <v>148</v>
      </c>
      <c r="B3" s="7" t="str">
        <f t="shared" ref="B3:B18" si="0">VLOOKUP(A3,E:F,2,0)</f>
        <v>Luna Lu</v>
      </c>
      <c r="E3" s="14" t="s">
        <v>284</v>
      </c>
      <c r="F3" s="14" t="s">
        <v>1096</v>
      </c>
      <c r="G3" s="14" t="s">
        <v>57</v>
      </c>
      <c r="H3" s="14" t="s">
        <v>43</v>
      </c>
      <c r="I3" s="14" t="s">
        <v>29</v>
      </c>
      <c r="J3" s="14" t="s">
        <v>25</v>
      </c>
      <c r="K3" s="14" t="s">
        <v>21</v>
      </c>
      <c r="L3" s="14">
        <v>58</v>
      </c>
      <c r="M3" s="15">
        <v>41570</v>
      </c>
      <c r="N3" s="16">
        <v>45703</v>
      </c>
      <c r="O3" s="17">
        <v>0</v>
      </c>
      <c r="P3" s="14" t="s">
        <v>17</v>
      </c>
      <c r="Q3" s="14" t="s">
        <v>18</v>
      </c>
    </row>
    <row r="4" spans="1:24" x14ac:dyDescent="0.45">
      <c r="A4" s="10" t="s">
        <v>309</v>
      </c>
      <c r="B4" s="7" t="str">
        <f t="shared" si="0"/>
        <v>Leonardo Carter</v>
      </c>
      <c r="E4" s="14" t="s">
        <v>285</v>
      </c>
      <c r="F4" s="14" t="s">
        <v>1097</v>
      </c>
      <c r="G4" s="14" t="s">
        <v>72</v>
      </c>
      <c r="H4" s="14" t="s">
        <v>24</v>
      </c>
      <c r="I4" s="14" t="s">
        <v>14</v>
      </c>
      <c r="J4" s="14" t="s">
        <v>25</v>
      </c>
      <c r="K4" s="14" t="s">
        <v>21</v>
      </c>
      <c r="L4" s="14">
        <v>34</v>
      </c>
      <c r="M4" s="15">
        <v>43548</v>
      </c>
      <c r="N4" s="16">
        <v>83576</v>
      </c>
      <c r="O4" s="17">
        <v>0</v>
      </c>
      <c r="P4" s="14" t="s">
        <v>30</v>
      </c>
      <c r="Q4" s="14" t="s">
        <v>61</v>
      </c>
    </row>
    <row r="5" spans="1:24" x14ac:dyDescent="0.45">
      <c r="A5" s="10" t="s">
        <v>312</v>
      </c>
      <c r="B5" s="7" t="str">
        <f t="shared" si="0"/>
        <v>Jeremiah Cheng</v>
      </c>
      <c r="E5" s="14" t="s">
        <v>252</v>
      </c>
      <c r="F5" s="14" t="s">
        <v>1098</v>
      </c>
      <c r="G5" s="14" t="s">
        <v>73</v>
      </c>
      <c r="H5" s="14" t="s">
        <v>24</v>
      </c>
      <c r="I5" s="14" t="s">
        <v>29</v>
      </c>
      <c r="J5" s="14" t="s">
        <v>15</v>
      </c>
      <c r="K5" s="14" t="s">
        <v>44</v>
      </c>
      <c r="L5" s="14">
        <v>39</v>
      </c>
      <c r="M5" s="15">
        <v>43197</v>
      </c>
      <c r="N5" s="16">
        <v>98062</v>
      </c>
      <c r="O5" s="17">
        <v>0</v>
      </c>
      <c r="P5" s="14" t="s">
        <v>17</v>
      </c>
      <c r="Q5" s="14" t="s">
        <v>54</v>
      </c>
    </row>
    <row r="6" spans="1:24" x14ac:dyDescent="0.45">
      <c r="A6" s="10" t="s">
        <v>288</v>
      </c>
      <c r="B6" s="7" t="str">
        <f t="shared" si="0"/>
        <v>Jade Hu</v>
      </c>
      <c r="E6" s="14" t="s">
        <v>286</v>
      </c>
      <c r="F6" s="14" t="s">
        <v>1099</v>
      </c>
      <c r="G6" s="14" t="s">
        <v>36</v>
      </c>
      <c r="H6" s="14" t="s">
        <v>28</v>
      </c>
      <c r="I6" s="14" t="s">
        <v>29</v>
      </c>
      <c r="J6" s="14" t="s">
        <v>15</v>
      </c>
      <c r="K6" s="14" t="s">
        <v>44</v>
      </c>
      <c r="L6" s="14">
        <v>42</v>
      </c>
      <c r="M6" s="15">
        <v>38521</v>
      </c>
      <c r="N6" s="16">
        <v>175391</v>
      </c>
      <c r="O6" s="17">
        <v>0.24</v>
      </c>
      <c r="P6" s="14" t="s">
        <v>17</v>
      </c>
      <c r="Q6" s="14" t="s">
        <v>22</v>
      </c>
    </row>
    <row r="7" spans="1:24" x14ac:dyDescent="0.45">
      <c r="A7" s="10" t="s">
        <v>360</v>
      </c>
      <c r="B7" s="7" t="str">
        <f t="shared" si="0"/>
        <v>Ava Owens</v>
      </c>
      <c r="E7" s="14" t="s">
        <v>287</v>
      </c>
      <c r="F7" s="14" t="s">
        <v>1100</v>
      </c>
      <c r="G7" s="14" t="s">
        <v>72</v>
      </c>
      <c r="H7" s="14" t="s">
        <v>24</v>
      </c>
      <c r="I7" s="14" t="s">
        <v>33</v>
      </c>
      <c r="J7" s="14" t="s">
        <v>25</v>
      </c>
      <c r="K7" s="14" t="s">
        <v>21</v>
      </c>
      <c r="L7" s="14">
        <v>62</v>
      </c>
      <c r="M7" s="15">
        <v>38099</v>
      </c>
      <c r="N7" s="16">
        <v>66227</v>
      </c>
      <c r="O7" s="17">
        <v>0</v>
      </c>
      <c r="P7" s="14" t="s">
        <v>17</v>
      </c>
      <c r="Q7" s="14" t="s">
        <v>35</v>
      </c>
    </row>
    <row r="8" spans="1:24" x14ac:dyDescent="0.45">
      <c r="A8" s="10" t="s">
        <v>345</v>
      </c>
      <c r="B8" s="7" t="str">
        <f t="shared" si="0"/>
        <v>Ian Cheng</v>
      </c>
      <c r="E8" s="14" t="s">
        <v>288</v>
      </c>
      <c r="F8" s="14" t="s">
        <v>1101</v>
      </c>
      <c r="G8" s="14" t="s">
        <v>38</v>
      </c>
      <c r="H8" s="14" t="s">
        <v>56</v>
      </c>
      <c r="I8" s="14" t="s">
        <v>1102</v>
      </c>
      <c r="J8" s="14" t="s">
        <v>15</v>
      </c>
      <c r="K8" s="14" t="s">
        <v>21</v>
      </c>
      <c r="L8" s="14">
        <v>58</v>
      </c>
      <c r="M8" s="15">
        <v>39991</v>
      </c>
      <c r="N8" s="16">
        <v>89744</v>
      </c>
      <c r="O8" s="17">
        <v>0</v>
      </c>
      <c r="P8" s="14" t="s">
        <v>30</v>
      </c>
      <c r="Q8" s="14" t="s">
        <v>65</v>
      </c>
    </row>
    <row r="9" spans="1:24" x14ac:dyDescent="0.45">
      <c r="A9" s="10" t="s">
        <v>346</v>
      </c>
      <c r="B9" s="7" t="str">
        <f t="shared" si="0"/>
        <v>Penelope Chan</v>
      </c>
      <c r="E9" s="14" t="s">
        <v>289</v>
      </c>
      <c r="F9" s="14" t="s">
        <v>1103</v>
      </c>
      <c r="G9" s="14" t="s">
        <v>55</v>
      </c>
      <c r="H9" s="14" t="s">
        <v>13</v>
      </c>
      <c r="I9" s="14" t="s">
        <v>29</v>
      </c>
      <c r="J9" s="14" t="s">
        <v>25</v>
      </c>
      <c r="K9" s="14" t="s">
        <v>21</v>
      </c>
      <c r="L9" s="14">
        <v>62</v>
      </c>
      <c r="M9" s="15">
        <v>36210</v>
      </c>
      <c r="N9" s="16">
        <v>69674</v>
      </c>
      <c r="O9" s="17">
        <v>0</v>
      </c>
      <c r="P9" s="14" t="s">
        <v>30</v>
      </c>
      <c r="Q9" s="14" t="s">
        <v>31</v>
      </c>
    </row>
    <row r="10" spans="1:24" x14ac:dyDescent="0.45">
      <c r="A10" s="10" t="s">
        <v>347</v>
      </c>
      <c r="B10" s="7" t="str">
        <f t="shared" si="0"/>
        <v>Sofia Vasquez</v>
      </c>
      <c r="E10" s="14" t="s">
        <v>290</v>
      </c>
      <c r="F10" s="14" t="s">
        <v>1104</v>
      </c>
      <c r="G10" s="14" t="s">
        <v>77</v>
      </c>
      <c r="H10" s="14" t="s">
        <v>24</v>
      </c>
      <c r="I10" s="14" t="s">
        <v>33</v>
      </c>
      <c r="J10" s="14" t="s">
        <v>15</v>
      </c>
      <c r="K10" s="14" t="s">
        <v>16</v>
      </c>
      <c r="L10" s="14">
        <v>38</v>
      </c>
      <c r="M10" s="15">
        <v>40795</v>
      </c>
      <c r="N10" s="16">
        <v>97630</v>
      </c>
      <c r="O10" s="17">
        <v>0</v>
      </c>
      <c r="P10" s="14" t="s">
        <v>17</v>
      </c>
      <c r="Q10" s="14" t="s">
        <v>54</v>
      </c>
    </row>
    <row r="11" spans="1:24" x14ac:dyDescent="0.45">
      <c r="A11" s="10" t="s">
        <v>348</v>
      </c>
      <c r="B11" s="7" t="str">
        <f t="shared" si="0"/>
        <v>Anthony Baker</v>
      </c>
      <c r="E11" s="14" t="s">
        <v>291</v>
      </c>
      <c r="F11" s="14" t="s">
        <v>1105</v>
      </c>
      <c r="G11" s="14" t="s">
        <v>53</v>
      </c>
      <c r="H11" s="14" t="s">
        <v>13</v>
      </c>
      <c r="I11" s="14" t="s">
        <v>1102</v>
      </c>
      <c r="J11" s="14" t="s">
        <v>25</v>
      </c>
      <c r="K11" s="14" t="s">
        <v>16</v>
      </c>
      <c r="L11" s="14">
        <v>52</v>
      </c>
      <c r="M11" s="15">
        <v>42040</v>
      </c>
      <c r="N11" s="16">
        <v>105879</v>
      </c>
      <c r="O11" s="17">
        <v>0.1</v>
      </c>
      <c r="P11" s="14" t="s">
        <v>17</v>
      </c>
      <c r="Q11" s="14" t="s">
        <v>40</v>
      </c>
    </row>
    <row r="12" spans="1:24" x14ac:dyDescent="0.45">
      <c r="A12" s="10" t="s">
        <v>314</v>
      </c>
      <c r="B12" s="7" t="str">
        <f t="shared" si="0"/>
        <v>Ella Martinez</v>
      </c>
      <c r="E12" s="14" t="s">
        <v>226</v>
      </c>
      <c r="F12" s="14" t="s">
        <v>1106</v>
      </c>
      <c r="G12" s="14" t="s">
        <v>62</v>
      </c>
      <c r="H12" s="14" t="s">
        <v>24</v>
      </c>
      <c r="I12" s="14" t="s">
        <v>33</v>
      </c>
      <c r="J12" s="14" t="s">
        <v>25</v>
      </c>
      <c r="K12" s="14" t="s">
        <v>44</v>
      </c>
      <c r="L12" s="14">
        <v>49</v>
      </c>
      <c r="M12" s="15">
        <v>37906</v>
      </c>
      <c r="N12" s="16">
        <v>40499</v>
      </c>
      <c r="O12" s="17">
        <v>0</v>
      </c>
      <c r="P12" s="14" t="s">
        <v>17</v>
      </c>
      <c r="Q12" s="14" t="s">
        <v>40</v>
      </c>
    </row>
    <row r="13" spans="1:24" x14ac:dyDescent="0.45">
      <c r="A13" s="10" t="s">
        <v>315</v>
      </c>
      <c r="B13" s="7" t="str">
        <f t="shared" si="0"/>
        <v>Gianna Jones</v>
      </c>
      <c r="E13" s="14" t="s">
        <v>292</v>
      </c>
      <c r="F13" s="14" t="s">
        <v>1107</v>
      </c>
      <c r="G13" s="14" t="s">
        <v>38</v>
      </c>
      <c r="H13" s="14" t="s">
        <v>13</v>
      </c>
      <c r="I13" s="14" t="s">
        <v>1102</v>
      </c>
      <c r="J13" s="14" t="s">
        <v>15</v>
      </c>
      <c r="K13" s="14" t="s">
        <v>21</v>
      </c>
      <c r="L13" s="14">
        <v>63</v>
      </c>
      <c r="M13" s="15">
        <v>41854</v>
      </c>
      <c r="N13" s="16">
        <v>71418</v>
      </c>
      <c r="O13" s="17">
        <v>0</v>
      </c>
      <c r="P13" s="14" t="s">
        <v>17</v>
      </c>
      <c r="Q13" s="14" t="s">
        <v>35</v>
      </c>
      <c r="U13" s="4" t="s">
        <v>2069</v>
      </c>
      <c r="V13" s="5" t="s">
        <v>0</v>
      </c>
      <c r="W13" s="5" t="s">
        <v>1</v>
      </c>
      <c r="X13" s="5" t="s">
        <v>2</v>
      </c>
    </row>
    <row r="14" spans="1:24" x14ac:dyDescent="0.45">
      <c r="A14" s="10" t="s">
        <v>75</v>
      </c>
      <c r="B14" s="7" t="str">
        <f t="shared" si="0"/>
        <v>Austin Chow</v>
      </c>
      <c r="E14" s="14" t="s">
        <v>293</v>
      </c>
      <c r="F14" s="14" t="s">
        <v>1108</v>
      </c>
      <c r="G14" s="14" t="s">
        <v>36</v>
      </c>
      <c r="H14" s="14" t="s">
        <v>24</v>
      </c>
      <c r="I14" s="14" t="s">
        <v>33</v>
      </c>
      <c r="J14" s="14" t="s">
        <v>25</v>
      </c>
      <c r="K14" s="14" t="s">
        <v>21</v>
      </c>
      <c r="L14" s="14">
        <v>45</v>
      </c>
      <c r="M14" s="15">
        <v>43054</v>
      </c>
      <c r="N14" s="16">
        <v>150558</v>
      </c>
      <c r="O14" s="17">
        <v>0.23</v>
      </c>
      <c r="P14" s="14" t="s">
        <v>30</v>
      </c>
      <c r="Q14" s="14" t="s">
        <v>65</v>
      </c>
      <c r="U14" s="6" t="s">
        <v>248</v>
      </c>
      <c r="V14" s="3" t="str">
        <f>VLOOKUP($U14,$E:$Q,MATCH($V$13,$E$1:$Q$1,0),0)</f>
        <v>Serenity Cao</v>
      </c>
      <c r="W14" s="3" t="str">
        <f t="shared" ref="W14:X14" si="1">VLOOKUP($U14,$E:$Q,MATCH($V$13,$E$1:$Q$1,0),0)</f>
        <v>Serenity Cao</v>
      </c>
      <c r="X14" s="3" t="str">
        <f t="shared" si="1"/>
        <v>Serenity Cao</v>
      </c>
    </row>
    <row r="15" spans="1:24" x14ac:dyDescent="0.45">
      <c r="A15" s="10" t="s">
        <v>316</v>
      </c>
      <c r="B15" s="7" t="str">
        <f t="shared" si="0"/>
        <v>Ella Chen</v>
      </c>
      <c r="E15" s="14" t="s">
        <v>294</v>
      </c>
      <c r="F15" s="14" t="s">
        <v>1109</v>
      </c>
      <c r="G15" s="14" t="s">
        <v>53</v>
      </c>
      <c r="H15" s="14" t="s">
        <v>39</v>
      </c>
      <c r="I15" s="14" t="s">
        <v>29</v>
      </c>
      <c r="J15" s="14" t="s">
        <v>25</v>
      </c>
      <c r="K15" s="14" t="s">
        <v>16</v>
      </c>
      <c r="L15" s="14">
        <v>36</v>
      </c>
      <c r="M15" s="15">
        <v>43303</v>
      </c>
      <c r="N15" s="16">
        <v>118912</v>
      </c>
      <c r="O15" s="17">
        <v>0.08</v>
      </c>
      <c r="P15" s="14" t="s">
        <v>17</v>
      </c>
      <c r="Q15" s="14" t="s">
        <v>40</v>
      </c>
      <c r="U15" s="6" t="s">
        <v>148</v>
      </c>
      <c r="V15" s="3" t="str">
        <f>VLOOKUP($U15,$E:$Q,MATCH($V$13,$E$1:$Q$1,0),0)</f>
        <v>Luna Lu</v>
      </c>
      <c r="W15" s="3" t="str">
        <f t="shared" ref="W15" si="2">VLOOKUP($U$14,$E:$Q,MATCH($V$13,$E$1:$Q$1,0),0)</f>
        <v>Serenity Cao</v>
      </c>
      <c r="X15" s="3" t="str">
        <f>VLOOKUP($U15,$E:$Q,MATCH($V$13,$E$1:$Q$1,0),0)</f>
        <v>Luna Lu</v>
      </c>
    </row>
    <row r="16" spans="1:24" x14ac:dyDescent="0.45">
      <c r="A16" s="10" t="s">
        <v>317</v>
      </c>
      <c r="B16" s="7" t="str">
        <f t="shared" si="0"/>
        <v>Ruby Kaur</v>
      </c>
      <c r="E16" s="14" t="s">
        <v>295</v>
      </c>
      <c r="F16" s="14" t="s">
        <v>1110</v>
      </c>
      <c r="G16" s="14" t="s">
        <v>1111</v>
      </c>
      <c r="H16" s="14" t="s">
        <v>39</v>
      </c>
      <c r="I16" s="14" t="s">
        <v>29</v>
      </c>
      <c r="J16" s="14" t="s">
        <v>25</v>
      </c>
      <c r="K16" s="14" t="s">
        <v>41</v>
      </c>
      <c r="L16" s="14">
        <v>42</v>
      </c>
      <c r="M16" s="15">
        <v>44279</v>
      </c>
      <c r="N16" s="16">
        <v>131422</v>
      </c>
      <c r="O16" s="17">
        <v>0.15</v>
      </c>
      <c r="P16" s="14" t="s">
        <v>17</v>
      </c>
      <c r="Q16" s="14" t="s">
        <v>35</v>
      </c>
      <c r="U16" s="6" t="s">
        <v>309</v>
      </c>
      <c r="V16" s="3" t="str">
        <f t="shared" ref="V16:X23" si="3">VLOOKUP($U16,$E:$Q,MATCH($V$13,$E$1:$Q$1,0),0)</f>
        <v>Leonardo Carter</v>
      </c>
      <c r="W16" s="3" t="str">
        <f t="shared" si="3"/>
        <v>Leonardo Carter</v>
      </c>
      <c r="X16" s="3" t="str">
        <f t="shared" si="3"/>
        <v>Leonardo Carter</v>
      </c>
    </row>
    <row r="17" spans="1:24" x14ac:dyDescent="0.45">
      <c r="A17" s="10" t="s">
        <v>90</v>
      </c>
      <c r="B17" s="7" t="str">
        <f t="shared" si="0"/>
        <v>Savannah Morales</v>
      </c>
      <c r="E17" s="14" t="s">
        <v>148</v>
      </c>
      <c r="F17" s="14" t="s">
        <v>1112</v>
      </c>
      <c r="G17" s="14" t="s">
        <v>73</v>
      </c>
      <c r="H17" s="14" t="s">
        <v>24</v>
      </c>
      <c r="I17" s="14" t="s">
        <v>29</v>
      </c>
      <c r="J17" s="14" t="s">
        <v>15</v>
      </c>
      <c r="K17" s="14" t="s">
        <v>21</v>
      </c>
      <c r="L17" s="14">
        <v>62</v>
      </c>
      <c r="M17" s="15">
        <v>35637</v>
      </c>
      <c r="N17" s="16">
        <v>64208</v>
      </c>
      <c r="O17" s="17">
        <v>0</v>
      </c>
      <c r="P17" s="14" t="s">
        <v>17</v>
      </c>
      <c r="Q17" s="14" t="s">
        <v>40</v>
      </c>
      <c r="U17" s="6" t="s">
        <v>312</v>
      </c>
      <c r="V17" s="3" t="str">
        <f t="shared" si="3"/>
        <v>Jeremiah Cheng</v>
      </c>
      <c r="W17" s="3" t="str">
        <f t="shared" si="3"/>
        <v>Jeremiah Cheng</v>
      </c>
      <c r="X17" s="3" t="str">
        <f t="shared" si="3"/>
        <v>Jeremiah Cheng</v>
      </c>
    </row>
    <row r="18" spans="1:24" ht="19" thickBot="1" x14ac:dyDescent="0.5">
      <c r="A18" s="11" t="s">
        <v>318</v>
      </c>
      <c r="B18" s="7" t="str">
        <f t="shared" si="0"/>
        <v>Luca Powell</v>
      </c>
      <c r="E18" s="14" t="s">
        <v>296</v>
      </c>
      <c r="F18" s="14" t="s">
        <v>1113</v>
      </c>
      <c r="G18" s="14" t="s">
        <v>12</v>
      </c>
      <c r="H18" s="14" t="s">
        <v>28</v>
      </c>
      <c r="I18" s="14" t="s">
        <v>1102</v>
      </c>
      <c r="J18" s="14" t="s">
        <v>15</v>
      </c>
      <c r="K18" s="14" t="s">
        <v>21</v>
      </c>
      <c r="L18" s="14">
        <v>45</v>
      </c>
      <c r="M18" s="15">
        <v>40395</v>
      </c>
      <c r="N18" s="16">
        <v>254486</v>
      </c>
      <c r="O18" s="17">
        <v>0.33</v>
      </c>
      <c r="P18" s="14" t="s">
        <v>30</v>
      </c>
      <c r="Q18" s="14" t="s">
        <v>31</v>
      </c>
      <c r="U18" s="6" t="s">
        <v>288</v>
      </c>
      <c r="V18" s="3" t="str">
        <f t="shared" si="3"/>
        <v>Jade Hu</v>
      </c>
      <c r="W18" s="3" t="str">
        <f t="shared" si="3"/>
        <v>Jade Hu</v>
      </c>
      <c r="X18" s="3" t="str">
        <f t="shared" si="3"/>
        <v>Jade Hu</v>
      </c>
    </row>
    <row r="19" spans="1:24" x14ac:dyDescent="0.45">
      <c r="E19" s="14" t="s">
        <v>297</v>
      </c>
      <c r="F19" s="14" t="s">
        <v>1114</v>
      </c>
      <c r="G19" s="14" t="s">
        <v>57</v>
      </c>
      <c r="H19" s="14" t="s">
        <v>43</v>
      </c>
      <c r="I19" s="14" t="s">
        <v>1102</v>
      </c>
      <c r="J19" s="14" t="s">
        <v>15</v>
      </c>
      <c r="K19" s="14" t="s">
        <v>21</v>
      </c>
      <c r="L19" s="14">
        <v>61</v>
      </c>
      <c r="M19" s="15">
        <v>43527</v>
      </c>
      <c r="N19" s="16">
        <v>54811</v>
      </c>
      <c r="O19" s="17">
        <v>0</v>
      </c>
      <c r="P19" s="14" t="s">
        <v>30</v>
      </c>
      <c r="Q19" s="14" t="s">
        <v>65</v>
      </c>
      <c r="U19" s="6" t="s">
        <v>360</v>
      </c>
      <c r="V19" s="3" t="str">
        <f t="shared" si="3"/>
        <v>Ava Owens</v>
      </c>
      <c r="W19" s="3" t="str">
        <f t="shared" si="3"/>
        <v>Ava Owens</v>
      </c>
      <c r="X19" s="3" t="str">
        <f t="shared" si="3"/>
        <v>Ava Owens</v>
      </c>
    </row>
    <row r="20" spans="1:24" x14ac:dyDescent="0.45">
      <c r="E20" s="14" t="s">
        <v>298</v>
      </c>
      <c r="F20" s="14" t="s">
        <v>1115</v>
      </c>
      <c r="G20" s="14" t="s">
        <v>67</v>
      </c>
      <c r="H20" s="14" t="s">
        <v>24</v>
      </c>
      <c r="I20" s="14" t="s">
        <v>1102</v>
      </c>
      <c r="J20" s="14" t="s">
        <v>25</v>
      </c>
      <c r="K20" s="14" t="s">
        <v>21</v>
      </c>
      <c r="L20" s="14">
        <v>29</v>
      </c>
      <c r="M20" s="15">
        <v>43050</v>
      </c>
      <c r="N20" s="16">
        <v>95729</v>
      </c>
      <c r="O20" s="17">
        <v>0</v>
      </c>
      <c r="P20" s="14" t="s">
        <v>17</v>
      </c>
      <c r="Q20" s="14" t="s">
        <v>54</v>
      </c>
      <c r="U20" s="6" t="s">
        <v>345</v>
      </c>
      <c r="V20" s="3" t="str">
        <f t="shared" si="3"/>
        <v>Ian Cheng</v>
      </c>
      <c r="W20" s="3" t="str">
        <f t="shared" si="3"/>
        <v>Ian Cheng</v>
      </c>
      <c r="X20" s="3" t="str">
        <f t="shared" si="3"/>
        <v>Ian Cheng</v>
      </c>
    </row>
    <row r="21" spans="1:24" x14ac:dyDescent="0.45">
      <c r="E21" s="14" t="s">
        <v>299</v>
      </c>
      <c r="F21" s="14" t="s">
        <v>1116</v>
      </c>
      <c r="G21" s="14" t="s">
        <v>53</v>
      </c>
      <c r="H21" s="14" t="s">
        <v>56</v>
      </c>
      <c r="I21" s="14" t="s">
        <v>1102</v>
      </c>
      <c r="J21" s="14" t="s">
        <v>15</v>
      </c>
      <c r="K21" s="14" t="s">
        <v>44</v>
      </c>
      <c r="L21" s="14">
        <v>63</v>
      </c>
      <c r="M21" s="15">
        <v>39852</v>
      </c>
      <c r="N21" s="16">
        <v>102649</v>
      </c>
      <c r="O21" s="17">
        <v>0.06</v>
      </c>
      <c r="P21" s="14" t="s">
        <v>17</v>
      </c>
      <c r="Q21" s="14" t="s">
        <v>22</v>
      </c>
      <c r="U21" s="6" t="s">
        <v>346</v>
      </c>
      <c r="V21" s="3" t="str">
        <f t="shared" si="3"/>
        <v>Penelope Chan</v>
      </c>
      <c r="W21" s="3" t="str">
        <f t="shared" si="3"/>
        <v>Penelope Chan</v>
      </c>
      <c r="X21" s="3" t="str">
        <f t="shared" si="3"/>
        <v>Penelope Chan</v>
      </c>
    </row>
    <row r="22" spans="1:24" x14ac:dyDescent="0.45">
      <c r="E22" s="14" t="s">
        <v>300</v>
      </c>
      <c r="F22" s="14" t="s">
        <v>1117</v>
      </c>
      <c r="G22" s="14" t="s">
        <v>1111</v>
      </c>
      <c r="H22" s="14" t="s">
        <v>56</v>
      </c>
      <c r="I22" s="14" t="s">
        <v>1102</v>
      </c>
      <c r="J22" s="14" t="s">
        <v>25</v>
      </c>
      <c r="K22" s="14" t="s">
        <v>21</v>
      </c>
      <c r="L22" s="14">
        <v>45</v>
      </c>
      <c r="M22" s="15">
        <v>42324</v>
      </c>
      <c r="N22" s="16">
        <v>122875</v>
      </c>
      <c r="O22" s="17">
        <v>0.12</v>
      </c>
      <c r="P22" s="14" t="s">
        <v>17</v>
      </c>
      <c r="Q22" s="14" t="s">
        <v>18</v>
      </c>
      <c r="U22" s="6" t="s">
        <v>347</v>
      </c>
      <c r="V22" s="3" t="str">
        <f t="shared" si="3"/>
        <v>Sofia Vasquez</v>
      </c>
      <c r="W22" s="3" t="str">
        <f t="shared" si="3"/>
        <v>Sofia Vasquez</v>
      </c>
      <c r="X22" s="3" t="str">
        <f t="shared" si="3"/>
        <v>Sofia Vasquez</v>
      </c>
    </row>
    <row r="23" spans="1:24" x14ac:dyDescent="0.45">
      <c r="E23" s="14" t="s">
        <v>189</v>
      </c>
      <c r="F23" s="14" t="s">
        <v>1118</v>
      </c>
      <c r="G23" s="14" t="s">
        <v>47</v>
      </c>
      <c r="H23" s="14" t="s">
        <v>24</v>
      </c>
      <c r="I23" s="14" t="s">
        <v>14</v>
      </c>
      <c r="J23" s="14" t="s">
        <v>15</v>
      </c>
      <c r="K23" s="14" t="s">
        <v>41</v>
      </c>
      <c r="L23" s="14">
        <v>43</v>
      </c>
      <c r="M23" s="15">
        <v>41500</v>
      </c>
      <c r="N23" s="16">
        <v>83323</v>
      </c>
      <c r="O23" s="17">
        <v>0</v>
      </c>
      <c r="P23" s="14" t="s">
        <v>17</v>
      </c>
      <c r="Q23" s="14" t="s">
        <v>35</v>
      </c>
      <c r="U23" s="6" t="s">
        <v>348</v>
      </c>
      <c r="V23" s="3" t="str">
        <f t="shared" si="3"/>
        <v>Anthony Baker</v>
      </c>
      <c r="W23" s="3" t="str">
        <f t="shared" si="3"/>
        <v>Anthony Baker</v>
      </c>
      <c r="X23" s="3" t="str">
        <f t="shared" si="3"/>
        <v>Anthony Baker</v>
      </c>
    </row>
    <row r="24" spans="1:24" x14ac:dyDescent="0.45">
      <c r="E24" s="14" t="s">
        <v>248</v>
      </c>
      <c r="F24" s="14" t="s">
        <v>1119</v>
      </c>
      <c r="G24" s="14" t="s">
        <v>74</v>
      </c>
      <c r="H24" s="14" t="s">
        <v>43</v>
      </c>
      <c r="I24" s="14" t="s">
        <v>33</v>
      </c>
      <c r="J24" s="14" t="s">
        <v>15</v>
      </c>
      <c r="K24" s="14" t="s">
        <v>21</v>
      </c>
      <c r="L24" s="14">
        <v>31</v>
      </c>
      <c r="M24" s="15">
        <v>43394</v>
      </c>
      <c r="N24" s="16">
        <v>66721</v>
      </c>
      <c r="O24" s="17">
        <v>0</v>
      </c>
      <c r="P24" s="14" t="s">
        <v>30</v>
      </c>
      <c r="Q24" s="14" t="s">
        <v>61</v>
      </c>
    </row>
    <row r="25" spans="1:24" x14ac:dyDescent="0.45">
      <c r="E25" s="14" t="s">
        <v>301</v>
      </c>
      <c r="F25" s="14" t="s">
        <v>1120</v>
      </c>
      <c r="G25" s="14" t="s">
        <v>12</v>
      </c>
      <c r="H25" s="14" t="s">
        <v>56</v>
      </c>
      <c r="I25" s="14" t="s">
        <v>1102</v>
      </c>
      <c r="J25" s="14" t="s">
        <v>25</v>
      </c>
      <c r="K25" s="14" t="s">
        <v>21</v>
      </c>
      <c r="L25" s="14">
        <v>48</v>
      </c>
      <c r="M25" s="15">
        <v>39050</v>
      </c>
      <c r="N25" s="16">
        <v>246400</v>
      </c>
      <c r="O25" s="17">
        <v>0.36</v>
      </c>
      <c r="P25" s="14" t="s">
        <v>30</v>
      </c>
      <c r="Q25" s="14" t="s">
        <v>65</v>
      </c>
    </row>
    <row r="26" spans="1:24" x14ac:dyDescent="0.45">
      <c r="E26" s="14" t="s">
        <v>302</v>
      </c>
      <c r="F26" s="14" t="s">
        <v>1121</v>
      </c>
      <c r="G26" s="14" t="s">
        <v>53</v>
      </c>
      <c r="H26" s="14" t="s">
        <v>43</v>
      </c>
      <c r="I26" s="14" t="s">
        <v>1102</v>
      </c>
      <c r="J26" s="14" t="s">
        <v>25</v>
      </c>
      <c r="K26" s="14" t="s">
        <v>16</v>
      </c>
      <c r="L26" s="14">
        <v>55</v>
      </c>
      <c r="M26" s="15">
        <v>35730</v>
      </c>
      <c r="N26" s="16">
        <v>113525</v>
      </c>
      <c r="O26" s="17">
        <v>0.06</v>
      </c>
      <c r="P26" s="14" t="s">
        <v>17</v>
      </c>
      <c r="Q26" s="14" t="s">
        <v>40</v>
      </c>
    </row>
    <row r="27" spans="1:24" x14ac:dyDescent="0.45">
      <c r="E27" s="14" t="s">
        <v>303</v>
      </c>
      <c r="F27" s="14" t="s">
        <v>1122</v>
      </c>
      <c r="G27" s="14" t="s">
        <v>36</v>
      </c>
      <c r="H27" s="14" t="s">
        <v>56</v>
      </c>
      <c r="I27" s="14" t="s">
        <v>33</v>
      </c>
      <c r="J27" s="14" t="s">
        <v>25</v>
      </c>
      <c r="K27" s="14" t="s">
        <v>21</v>
      </c>
      <c r="L27" s="14">
        <v>64</v>
      </c>
      <c r="M27" s="15">
        <v>38120</v>
      </c>
      <c r="N27" s="16">
        <v>184342</v>
      </c>
      <c r="O27" s="17">
        <v>0.22</v>
      </c>
      <c r="P27" s="14" t="s">
        <v>30</v>
      </c>
      <c r="Q27" s="14" t="s">
        <v>52</v>
      </c>
    </row>
    <row r="28" spans="1:24" x14ac:dyDescent="0.45">
      <c r="E28" s="14" t="s">
        <v>304</v>
      </c>
      <c r="F28" s="14" t="s">
        <v>1123</v>
      </c>
      <c r="G28" s="14" t="s">
        <v>36</v>
      </c>
      <c r="H28" s="14" t="s">
        <v>39</v>
      </c>
      <c r="I28" s="14" t="s">
        <v>1102</v>
      </c>
      <c r="J28" s="14" t="s">
        <v>25</v>
      </c>
      <c r="K28" s="14" t="s">
        <v>16</v>
      </c>
      <c r="L28" s="14">
        <v>58</v>
      </c>
      <c r="M28" s="15">
        <v>44159</v>
      </c>
      <c r="N28" s="16">
        <v>151341</v>
      </c>
      <c r="O28" s="17">
        <v>0.22</v>
      </c>
      <c r="P28" s="14" t="s">
        <v>17</v>
      </c>
      <c r="Q28" s="14" t="s">
        <v>54</v>
      </c>
    </row>
    <row r="29" spans="1:24" x14ac:dyDescent="0.45">
      <c r="E29" s="14" t="s">
        <v>305</v>
      </c>
      <c r="F29" s="14" t="s">
        <v>1124</v>
      </c>
      <c r="G29" s="14" t="s">
        <v>53</v>
      </c>
      <c r="H29" s="14" t="s">
        <v>39</v>
      </c>
      <c r="I29" s="14" t="s">
        <v>33</v>
      </c>
      <c r="J29" s="14" t="s">
        <v>15</v>
      </c>
      <c r="K29" s="14" t="s">
        <v>16</v>
      </c>
      <c r="L29" s="14">
        <v>50</v>
      </c>
      <c r="M29" s="15">
        <v>38210</v>
      </c>
      <c r="N29" s="16">
        <v>118900</v>
      </c>
      <c r="O29" s="17">
        <v>0.05</v>
      </c>
      <c r="P29" s="14" t="s">
        <v>17</v>
      </c>
      <c r="Q29" s="14" t="s">
        <v>54</v>
      </c>
    </row>
    <row r="30" spans="1:24" x14ac:dyDescent="0.45">
      <c r="E30" s="14" t="s">
        <v>306</v>
      </c>
      <c r="F30" s="14" t="s">
        <v>1125</v>
      </c>
      <c r="G30" s="14" t="s">
        <v>1111</v>
      </c>
      <c r="H30" s="14" t="s">
        <v>39</v>
      </c>
      <c r="I30" s="14" t="s">
        <v>29</v>
      </c>
      <c r="J30" s="14" t="s">
        <v>15</v>
      </c>
      <c r="K30" s="14" t="s">
        <v>41</v>
      </c>
      <c r="L30" s="14">
        <v>41</v>
      </c>
      <c r="M30" s="15">
        <v>42868</v>
      </c>
      <c r="N30" s="16">
        <v>153370</v>
      </c>
      <c r="O30" s="17">
        <v>0.1</v>
      </c>
      <c r="P30" s="14" t="s">
        <v>17</v>
      </c>
      <c r="Q30" s="14" t="s">
        <v>18</v>
      </c>
    </row>
    <row r="31" spans="1:24" x14ac:dyDescent="0.45">
      <c r="E31" s="14" t="s">
        <v>166</v>
      </c>
      <c r="F31" s="14" t="s">
        <v>1126</v>
      </c>
      <c r="G31" s="14" t="s">
        <v>77</v>
      </c>
      <c r="H31" s="14" t="s">
        <v>24</v>
      </c>
      <c r="I31" s="14" t="s">
        <v>1102</v>
      </c>
      <c r="J31" s="14" t="s">
        <v>25</v>
      </c>
      <c r="K31" s="14" t="s">
        <v>21</v>
      </c>
      <c r="L31" s="14">
        <v>50</v>
      </c>
      <c r="M31" s="15">
        <v>37330</v>
      </c>
      <c r="N31" s="16">
        <v>72860</v>
      </c>
      <c r="O31" s="17">
        <v>0</v>
      </c>
      <c r="P31" s="14" t="s">
        <v>30</v>
      </c>
      <c r="Q31" s="14" t="s">
        <v>61</v>
      </c>
    </row>
    <row r="32" spans="1:24" x14ac:dyDescent="0.45">
      <c r="E32" s="14" t="s">
        <v>307</v>
      </c>
      <c r="F32" s="14" t="s">
        <v>1127</v>
      </c>
      <c r="G32" s="14" t="s">
        <v>12</v>
      </c>
      <c r="H32" s="14" t="s">
        <v>13</v>
      </c>
      <c r="I32" s="14" t="s">
        <v>14</v>
      </c>
      <c r="J32" s="14" t="s">
        <v>15</v>
      </c>
      <c r="K32" s="14" t="s">
        <v>16</v>
      </c>
      <c r="L32" s="14">
        <v>59</v>
      </c>
      <c r="M32" s="15">
        <v>37116</v>
      </c>
      <c r="N32" s="16">
        <v>255610</v>
      </c>
      <c r="O32" s="17">
        <v>0.36</v>
      </c>
      <c r="P32" s="14" t="s">
        <v>17</v>
      </c>
      <c r="Q32" s="14" t="s">
        <v>35</v>
      </c>
    </row>
    <row r="33" spans="5:17" x14ac:dyDescent="0.45">
      <c r="E33" s="14" t="s">
        <v>112</v>
      </c>
      <c r="F33" s="14" t="s">
        <v>1128</v>
      </c>
      <c r="G33" s="14" t="s">
        <v>38</v>
      </c>
      <c r="H33" s="14" t="s">
        <v>43</v>
      </c>
      <c r="I33" s="14" t="s">
        <v>29</v>
      </c>
      <c r="J33" s="14" t="s">
        <v>25</v>
      </c>
      <c r="K33" s="14" t="s">
        <v>21</v>
      </c>
      <c r="L33" s="14">
        <v>26</v>
      </c>
      <c r="M33" s="15">
        <v>44128</v>
      </c>
      <c r="N33" s="16">
        <v>84962</v>
      </c>
      <c r="O33" s="17">
        <v>0</v>
      </c>
      <c r="P33" s="14" t="s">
        <v>30</v>
      </c>
      <c r="Q33" s="14" t="s">
        <v>31</v>
      </c>
    </row>
    <row r="34" spans="5:17" x14ac:dyDescent="0.45">
      <c r="E34" s="14" t="s">
        <v>308</v>
      </c>
      <c r="F34" s="14" t="s">
        <v>1129</v>
      </c>
      <c r="G34" s="14" t="s">
        <v>53</v>
      </c>
      <c r="H34" s="14" t="s">
        <v>20</v>
      </c>
      <c r="I34" s="14" t="s">
        <v>1102</v>
      </c>
      <c r="J34" s="14" t="s">
        <v>25</v>
      </c>
      <c r="K34" s="14" t="s">
        <v>44</v>
      </c>
      <c r="L34" s="14">
        <v>55</v>
      </c>
      <c r="M34" s="15">
        <v>43073</v>
      </c>
      <c r="N34" s="16">
        <v>103795</v>
      </c>
      <c r="O34" s="17">
        <v>7.0000000000000007E-2</v>
      </c>
      <c r="P34" s="14" t="s">
        <v>17</v>
      </c>
      <c r="Q34" s="14" t="s">
        <v>54</v>
      </c>
    </row>
    <row r="35" spans="5:17" x14ac:dyDescent="0.45">
      <c r="E35" s="14" t="s">
        <v>259</v>
      </c>
      <c r="F35" s="14" t="s">
        <v>1130</v>
      </c>
      <c r="G35" s="14" t="s">
        <v>67</v>
      </c>
      <c r="H35" s="14" t="s">
        <v>24</v>
      </c>
      <c r="I35" s="14" t="s">
        <v>29</v>
      </c>
      <c r="J35" s="14" t="s">
        <v>15</v>
      </c>
      <c r="K35" s="14" t="s">
        <v>21</v>
      </c>
      <c r="L35" s="14">
        <v>32</v>
      </c>
      <c r="M35" s="15">
        <v>43111</v>
      </c>
      <c r="N35" s="16">
        <v>97509</v>
      </c>
      <c r="O35" s="17">
        <v>0</v>
      </c>
      <c r="P35" s="14" t="s">
        <v>30</v>
      </c>
      <c r="Q35" s="14" t="s">
        <v>61</v>
      </c>
    </row>
    <row r="36" spans="5:17" x14ac:dyDescent="0.45">
      <c r="E36" s="14" t="s">
        <v>309</v>
      </c>
      <c r="F36" s="14" t="s">
        <v>1131</v>
      </c>
      <c r="G36" s="14" t="s">
        <v>68</v>
      </c>
      <c r="H36" s="14" t="s">
        <v>20</v>
      </c>
      <c r="I36" s="14" t="s">
        <v>1102</v>
      </c>
      <c r="J36" s="14" t="s">
        <v>25</v>
      </c>
      <c r="K36" s="14" t="s">
        <v>16</v>
      </c>
      <c r="L36" s="14">
        <v>50</v>
      </c>
      <c r="M36" s="15">
        <v>44811</v>
      </c>
      <c r="N36" s="16">
        <v>54931</v>
      </c>
      <c r="O36" s="17">
        <v>0</v>
      </c>
      <c r="P36" s="14" t="s">
        <v>17</v>
      </c>
      <c r="Q36" s="14" t="s">
        <v>22</v>
      </c>
    </row>
    <row r="37" spans="5:17" x14ac:dyDescent="0.45">
      <c r="E37" s="14" t="s">
        <v>310</v>
      </c>
      <c r="F37" s="14" t="s">
        <v>1132</v>
      </c>
      <c r="G37" s="14" t="s">
        <v>50</v>
      </c>
      <c r="H37" s="14" t="s">
        <v>28</v>
      </c>
      <c r="I37" s="14" t="s">
        <v>1102</v>
      </c>
      <c r="J37" s="14" t="s">
        <v>25</v>
      </c>
      <c r="K37" s="14" t="s">
        <v>44</v>
      </c>
      <c r="L37" s="14">
        <v>54</v>
      </c>
      <c r="M37" s="15">
        <v>40055</v>
      </c>
      <c r="N37" s="16">
        <v>88689</v>
      </c>
      <c r="O37" s="17">
        <v>0</v>
      </c>
      <c r="P37" s="14" t="s">
        <v>17</v>
      </c>
      <c r="Q37" s="14" t="s">
        <v>35</v>
      </c>
    </row>
    <row r="38" spans="5:17" x14ac:dyDescent="0.45">
      <c r="E38" s="14" t="s">
        <v>180</v>
      </c>
      <c r="F38" s="14" t="s">
        <v>1133</v>
      </c>
      <c r="G38" s="14" t="s">
        <v>1111</v>
      </c>
      <c r="H38" s="14" t="s">
        <v>56</v>
      </c>
      <c r="I38" s="14" t="s">
        <v>29</v>
      </c>
      <c r="J38" s="14" t="s">
        <v>15</v>
      </c>
      <c r="K38" s="14" t="s">
        <v>44</v>
      </c>
      <c r="L38" s="14">
        <v>31</v>
      </c>
      <c r="M38" s="15">
        <v>42270</v>
      </c>
      <c r="N38" s="16">
        <v>158184</v>
      </c>
      <c r="O38" s="17">
        <v>0.15</v>
      </c>
      <c r="P38" s="14" t="s">
        <v>45</v>
      </c>
      <c r="Q38" s="14" t="s">
        <v>1134</v>
      </c>
    </row>
    <row r="39" spans="5:17" x14ac:dyDescent="0.45">
      <c r="E39" s="14" t="s">
        <v>311</v>
      </c>
      <c r="F39" s="14" t="s">
        <v>1135</v>
      </c>
      <c r="G39" s="14" t="s">
        <v>57</v>
      </c>
      <c r="H39" s="14" t="s">
        <v>39</v>
      </c>
      <c r="I39" s="14" t="s">
        <v>14</v>
      </c>
      <c r="J39" s="14" t="s">
        <v>25</v>
      </c>
      <c r="K39" s="14" t="s">
        <v>16</v>
      </c>
      <c r="L39" s="14">
        <v>47</v>
      </c>
      <c r="M39" s="15">
        <v>42410</v>
      </c>
      <c r="N39" s="16">
        <v>48523</v>
      </c>
      <c r="O39" s="17">
        <v>0</v>
      </c>
      <c r="P39" s="14" t="s">
        <v>17</v>
      </c>
      <c r="Q39" s="14" t="s">
        <v>22</v>
      </c>
    </row>
    <row r="40" spans="5:17" x14ac:dyDescent="0.45">
      <c r="E40" s="14" t="s">
        <v>312</v>
      </c>
      <c r="F40" s="14" t="s">
        <v>1136</v>
      </c>
      <c r="G40" s="14" t="s">
        <v>38</v>
      </c>
      <c r="H40" s="14" t="s">
        <v>39</v>
      </c>
      <c r="I40" s="14" t="s">
        <v>1102</v>
      </c>
      <c r="J40" s="14" t="s">
        <v>25</v>
      </c>
      <c r="K40" s="14" t="s">
        <v>21</v>
      </c>
      <c r="L40" s="14">
        <v>26</v>
      </c>
      <c r="M40" s="15">
        <v>44597</v>
      </c>
      <c r="N40" s="16">
        <v>70946</v>
      </c>
      <c r="O40" s="17">
        <v>0</v>
      </c>
      <c r="P40" s="14" t="s">
        <v>30</v>
      </c>
      <c r="Q40" s="14" t="s">
        <v>61</v>
      </c>
    </row>
    <row r="41" spans="5:17" x14ac:dyDescent="0.45">
      <c r="E41" s="14" t="s">
        <v>313</v>
      </c>
      <c r="F41" s="14" t="s">
        <v>1137</v>
      </c>
      <c r="G41" s="14" t="s">
        <v>1111</v>
      </c>
      <c r="H41" s="14" t="s">
        <v>13</v>
      </c>
      <c r="I41" s="14" t="s">
        <v>1102</v>
      </c>
      <c r="J41" s="14" t="s">
        <v>15</v>
      </c>
      <c r="K41" s="14" t="s">
        <v>21</v>
      </c>
      <c r="L41" s="14">
        <v>62</v>
      </c>
      <c r="M41" s="15">
        <v>44513</v>
      </c>
      <c r="N41" s="16">
        <v>134487</v>
      </c>
      <c r="O41" s="17">
        <v>0.1</v>
      </c>
      <c r="P41" s="14" t="s">
        <v>17</v>
      </c>
      <c r="Q41" s="14" t="s">
        <v>54</v>
      </c>
    </row>
    <row r="42" spans="5:17" x14ac:dyDescent="0.45">
      <c r="E42" s="14" t="s">
        <v>314</v>
      </c>
      <c r="F42" s="14" t="s">
        <v>1138</v>
      </c>
      <c r="G42" s="14" t="s">
        <v>38</v>
      </c>
      <c r="H42" s="14" t="s">
        <v>13</v>
      </c>
      <c r="I42" s="14" t="s">
        <v>14</v>
      </c>
      <c r="J42" s="14" t="s">
        <v>15</v>
      </c>
      <c r="K42" s="14" t="s">
        <v>44</v>
      </c>
      <c r="L42" s="14">
        <v>35</v>
      </c>
      <c r="M42" s="15">
        <v>41005</v>
      </c>
      <c r="N42" s="16">
        <v>76111</v>
      </c>
      <c r="O42" s="17">
        <v>0</v>
      </c>
      <c r="P42" s="14" t="s">
        <v>17</v>
      </c>
      <c r="Q42" s="14" t="s">
        <v>18</v>
      </c>
    </row>
    <row r="43" spans="5:17" x14ac:dyDescent="0.45">
      <c r="E43" s="14" t="s">
        <v>315</v>
      </c>
      <c r="F43" s="14" t="s">
        <v>1139</v>
      </c>
      <c r="G43" s="14" t="s">
        <v>53</v>
      </c>
      <c r="H43" s="14" t="s">
        <v>56</v>
      </c>
      <c r="I43" s="14" t="s">
        <v>14</v>
      </c>
      <c r="J43" s="14" t="s">
        <v>15</v>
      </c>
      <c r="K43" s="14" t="s">
        <v>16</v>
      </c>
      <c r="L43" s="14">
        <v>48</v>
      </c>
      <c r="M43" s="15">
        <v>36064</v>
      </c>
      <c r="N43" s="16">
        <v>119220</v>
      </c>
      <c r="O43" s="17">
        <v>0.09</v>
      </c>
      <c r="P43" s="14" t="s">
        <v>17</v>
      </c>
      <c r="Q43" s="14" t="s">
        <v>26</v>
      </c>
    </row>
    <row r="44" spans="5:17" x14ac:dyDescent="0.45">
      <c r="E44" s="14" t="s">
        <v>75</v>
      </c>
      <c r="F44" s="14" t="s">
        <v>1140</v>
      </c>
      <c r="G44" s="14" t="s">
        <v>12</v>
      </c>
      <c r="H44" s="14" t="s">
        <v>56</v>
      </c>
      <c r="I44" s="14" t="s">
        <v>33</v>
      </c>
      <c r="J44" s="14" t="s">
        <v>25</v>
      </c>
      <c r="K44" s="14" t="s">
        <v>21</v>
      </c>
      <c r="L44" s="14">
        <v>35</v>
      </c>
      <c r="M44" s="15">
        <v>44297</v>
      </c>
      <c r="N44" s="16">
        <v>180858</v>
      </c>
      <c r="O44" s="17">
        <v>0.32</v>
      </c>
      <c r="P44" s="14" t="s">
        <v>30</v>
      </c>
      <c r="Q44" s="14" t="s">
        <v>65</v>
      </c>
    </row>
    <row r="45" spans="5:17" x14ac:dyDescent="0.45">
      <c r="E45" s="14" t="s">
        <v>316</v>
      </c>
      <c r="F45" s="14" t="s">
        <v>1141</v>
      </c>
      <c r="G45" s="14" t="s">
        <v>53</v>
      </c>
      <c r="H45" s="14" t="s">
        <v>56</v>
      </c>
      <c r="I45" s="14" t="s">
        <v>1102</v>
      </c>
      <c r="J45" s="14" t="s">
        <v>15</v>
      </c>
      <c r="K45" s="14" t="s">
        <v>21</v>
      </c>
      <c r="L45" s="14">
        <v>45</v>
      </c>
      <c r="M45" s="15">
        <v>38666</v>
      </c>
      <c r="N45" s="16">
        <v>114072</v>
      </c>
      <c r="O45" s="17">
        <v>0.08</v>
      </c>
      <c r="P45" s="14" t="s">
        <v>17</v>
      </c>
      <c r="Q45" s="14" t="s">
        <v>35</v>
      </c>
    </row>
    <row r="46" spans="5:17" x14ac:dyDescent="0.45">
      <c r="E46" s="14" t="s">
        <v>317</v>
      </c>
      <c r="F46" s="14" t="s">
        <v>1142</v>
      </c>
      <c r="G46" s="14" t="s">
        <v>50</v>
      </c>
      <c r="H46" s="14" t="s">
        <v>28</v>
      </c>
      <c r="I46" s="14" t="s">
        <v>14</v>
      </c>
      <c r="J46" s="14" t="s">
        <v>15</v>
      </c>
      <c r="K46" s="14" t="s">
        <v>21</v>
      </c>
      <c r="L46" s="14">
        <v>26</v>
      </c>
      <c r="M46" s="15">
        <v>44373</v>
      </c>
      <c r="N46" s="16">
        <v>91672</v>
      </c>
      <c r="O46" s="17">
        <v>0</v>
      </c>
      <c r="P46" s="14" t="s">
        <v>30</v>
      </c>
      <c r="Q46" s="14" t="s">
        <v>52</v>
      </c>
    </row>
    <row r="47" spans="5:17" x14ac:dyDescent="0.45">
      <c r="E47" s="14" t="s">
        <v>90</v>
      </c>
      <c r="F47" s="14" t="s">
        <v>1143</v>
      </c>
      <c r="G47" s="14" t="s">
        <v>55</v>
      </c>
      <c r="H47" s="14" t="s">
        <v>39</v>
      </c>
      <c r="I47" s="14" t="s">
        <v>29</v>
      </c>
      <c r="J47" s="14" t="s">
        <v>15</v>
      </c>
      <c r="K47" s="14" t="s">
        <v>44</v>
      </c>
      <c r="L47" s="14">
        <v>48</v>
      </c>
      <c r="M47" s="15">
        <v>38378</v>
      </c>
      <c r="N47" s="16">
        <v>71542</v>
      </c>
      <c r="O47" s="17">
        <v>0</v>
      </c>
      <c r="P47" s="14" t="s">
        <v>17</v>
      </c>
      <c r="Q47" s="14" t="s">
        <v>18</v>
      </c>
    </row>
    <row r="48" spans="5:17" x14ac:dyDescent="0.45">
      <c r="E48" s="14" t="s">
        <v>318</v>
      </c>
      <c r="F48" s="14" t="s">
        <v>1144</v>
      </c>
      <c r="G48" s="14" t="s">
        <v>60</v>
      </c>
      <c r="H48" s="14" t="s">
        <v>24</v>
      </c>
      <c r="I48" s="14" t="s">
        <v>1102</v>
      </c>
      <c r="J48" s="14" t="s">
        <v>25</v>
      </c>
      <c r="K48" s="14" t="s">
        <v>16</v>
      </c>
      <c r="L48" s="14">
        <v>33</v>
      </c>
      <c r="M48" s="15">
        <v>42722</v>
      </c>
      <c r="N48" s="16">
        <v>54700</v>
      </c>
      <c r="O48" s="17">
        <v>0</v>
      </c>
      <c r="P48" s="14" t="s">
        <v>17</v>
      </c>
      <c r="Q48" s="14" t="s">
        <v>40</v>
      </c>
    </row>
    <row r="49" spans="5:17" x14ac:dyDescent="0.45">
      <c r="E49" s="14" t="s">
        <v>319</v>
      </c>
      <c r="F49" s="14" t="s">
        <v>1145</v>
      </c>
      <c r="G49" s="14" t="s">
        <v>55</v>
      </c>
      <c r="H49" s="14" t="s">
        <v>43</v>
      </c>
      <c r="I49" s="14" t="s">
        <v>29</v>
      </c>
      <c r="J49" s="14" t="s">
        <v>25</v>
      </c>
      <c r="K49" s="14" t="s">
        <v>21</v>
      </c>
      <c r="L49" s="14">
        <v>55</v>
      </c>
      <c r="M49" s="15">
        <v>40671</v>
      </c>
      <c r="N49" s="16">
        <v>65022</v>
      </c>
      <c r="O49" s="17">
        <v>0</v>
      </c>
      <c r="P49" s="14" t="s">
        <v>30</v>
      </c>
      <c r="Q49" s="14" t="s">
        <v>65</v>
      </c>
    </row>
    <row r="50" spans="5:17" x14ac:dyDescent="0.45">
      <c r="E50" s="14" t="s">
        <v>320</v>
      </c>
      <c r="F50" s="14" t="s">
        <v>1146</v>
      </c>
      <c r="G50" s="14" t="s">
        <v>34</v>
      </c>
      <c r="H50" s="14" t="s">
        <v>24</v>
      </c>
      <c r="I50" s="14" t="s">
        <v>14</v>
      </c>
      <c r="J50" s="14" t="s">
        <v>25</v>
      </c>
      <c r="K50" s="14" t="s">
        <v>21</v>
      </c>
      <c r="L50" s="14">
        <v>38</v>
      </c>
      <c r="M50" s="15">
        <v>40645</v>
      </c>
      <c r="N50" s="16">
        <v>65109</v>
      </c>
      <c r="O50" s="17">
        <v>0</v>
      </c>
      <c r="P50" s="14" t="s">
        <v>17</v>
      </c>
      <c r="Q50" s="14" t="s">
        <v>35</v>
      </c>
    </row>
    <row r="51" spans="5:17" x14ac:dyDescent="0.45">
      <c r="E51" s="14" t="s">
        <v>321</v>
      </c>
      <c r="F51" s="14" t="s">
        <v>1147</v>
      </c>
      <c r="G51" s="14" t="s">
        <v>53</v>
      </c>
      <c r="H51" s="14" t="s">
        <v>56</v>
      </c>
      <c r="I51" s="14" t="s">
        <v>1102</v>
      </c>
      <c r="J51" s="14" t="s">
        <v>15</v>
      </c>
      <c r="K51" s="14" t="s">
        <v>21</v>
      </c>
      <c r="L51" s="14">
        <v>49</v>
      </c>
      <c r="M51" s="15">
        <v>44562</v>
      </c>
      <c r="N51" s="16">
        <v>126598</v>
      </c>
      <c r="O51" s="17">
        <v>0.09</v>
      </c>
      <c r="P51" s="14" t="s">
        <v>17</v>
      </c>
      <c r="Q51" s="14" t="s">
        <v>40</v>
      </c>
    </row>
    <row r="52" spans="5:17" x14ac:dyDescent="0.45">
      <c r="E52" s="14" t="s">
        <v>322</v>
      </c>
      <c r="F52" s="14" t="s">
        <v>1148</v>
      </c>
      <c r="G52" s="14" t="s">
        <v>34</v>
      </c>
      <c r="H52" s="14" t="s">
        <v>24</v>
      </c>
      <c r="I52" s="14" t="s">
        <v>29</v>
      </c>
      <c r="J52" s="14" t="s">
        <v>15</v>
      </c>
      <c r="K52" s="14" t="s">
        <v>44</v>
      </c>
      <c r="L52" s="14">
        <v>52</v>
      </c>
      <c r="M52" s="15">
        <v>43258</v>
      </c>
      <c r="N52" s="16">
        <v>72388</v>
      </c>
      <c r="O52" s="17">
        <v>0</v>
      </c>
      <c r="P52" s="14" t="s">
        <v>17</v>
      </c>
      <c r="Q52" s="14" t="s">
        <v>40</v>
      </c>
    </row>
    <row r="53" spans="5:17" x14ac:dyDescent="0.45">
      <c r="E53" s="14" t="s">
        <v>323</v>
      </c>
      <c r="F53" s="14" t="s">
        <v>1149</v>
      </c>
      <c r="G53" s="14" t="s">
        <v>12</v>
      </c>
      <c r="H53" s="14" t="s">
        <v>13</v>
      </c>
      <c r="I53" s="14" t="s">
        <v>29</v>
      </c>
      <c r="J53" s="14" t="s">
        <v>25</v>
      </c>
      <c r="K53" s="14" t="s">
        <v>21</v>
      </c>
      <c r="L53" s="14">
        <v>27</v>
      </c>
      <c r="M53" s="15">
        <v>44334</v>
      </c>
      <c r="N53" s="16">
        <v>205216</v>
      </c>
      <c r="O53" s="17">
        <v>0.36</v>
      </c>
      <c r="P53" s="14" t="s">
        <v>17</v>
      </c>
      <c r="Q53" s="14" t="s">
        <v>18</v>
      </c>
    </row>
    <row r="54" spans="5:17" x14ac:dyDescent="0.45">
      <c r="E54" s="14" t="s">
        <v>324</v>
      </c>
      <c r="F54" s="14" t="s">
        <v>1150</v>
      </c>
      <c r="G54" s="14" t="s">
        <v>23</v>
      </c>
      <c r="H54" s="14" t="s">
        <v>24</v>
      </c>
      <c r="I54" s="14" t="s">
        <v>1102</v>
      </c>
      <c r="J54" s="14" t="s">
        <v>25</v>
      </c>
      <c r="K54" s="14" t="s">
        <v>16</v>
      </c>
      <c r="L54" s="14">
        <v>34</v>
      </c>
      <c r="M54" s="15">
        <v>41256</v>
      </c>
      <c r="N54" s="16">
        <v>74004</v>
      </c>
      <c r="O54" s="17">
        <v>0</v>
      </c>
      <c r="P54" s="14" t="s">
        <v>17</v>
      </c>
      <c r="Q54" s="14" t="s">
        <v>26</v>
      </c>
    </row>
    <row r="55" spans="5:17" x14ac:dyDescent="0.45">
      <c r="E55" s="14" t="s">
        <v>325</v>
      </c>
      <c r="F55" s="14" t="s">
        <v>1151</v>
      </c>
      <c r="G55" s="14" t="s">
        <v>12</v>
      </c>
      <c r="H55" s="14" t="s">
        <v>28</v>
      </c>
      <c r="I55" s="14" t="s">
        <v>29</v>
      </c>
      <c r="J55" s="14" t="s">
        <v>15</v>
      </c>
      <c r="K55" s="14" t="s">
        <v>16</v>
      </c>
      <c r="L55" s="14">
        <v>65</v>
      </c>
      <c r="M55" s="15">
        <v>37098</v>
      </c>
      <c r="N55" s="16">
        <v>203030</v>
      </c>
      <c r="O55" s="17">
        <v>0.31</v>
      </c>
      <c r="P55" s="14" t="s">
        <v>17</v>
      </c>
      <c r="Q55" s="14" t="s">
        <v>18</v>
      </c>
    </row>
    <row r="56" spans="5:17" x14ac:dyDescent="0.45">
      <c r="E56" s="14" t="s">
        <v>326</v>
      </c>
      <c r="F56" s="14" t="s">
        <v>1152</v>
      </c>
      <c r="G56" s="14" t="s">
        <v>36</v>
      </c>
      <c r="H56" s="14" t="s">
        <v>43</v>
      </c>
      <c r="I56" s="14" t="s">
        <v>1102</v>
      </c>
      <c r="J56" s="14" t="s">
        <v>15</v>
      </c>
      <c r="K56" s="14" t="s">
        <v>44</v>
      </c>
      <c r="L56" s="14">
        <v>38</v>
      </c>
      <c r="M56" s="15">
        <v>42500</v>
      </c>
      <c r="N56" s="16">
        <v>194864</v>
      </c>
      <c r="O56" s="17">
        <v>0.24</v>
      </c>
      <c r="P56" s="14" t="s">
        <v>17</v>
      </c>
      <c r="Q56" s="14" t="s">
        <v>22</v>
      </c>
    </row>
    <row r="57" spans="5:17" x14ac:dyDescent="0.45">
      <c r="E57" s="14" t="s">
        <v>327</v>
      </c>
      <c r="F57" s="14" t="s">
        <v>1153</v>
      </c>
      <c r="G57" s="14" t="s">
        <v>48</v>
      </c>
      <c r="H57" s="14" t="s">
        <v>24</v>
      </c>
      <c r="I57" s="14" t="s">
        <v>33</v>
      </c>
      <c r="J57" s="14" t="s">
        <v>15</v>
      </c>
      <c r="K57" s="14" t="s">
        <v>21</v>
      </c>
      <c r="L57" s="14">
        <v>63</v>
      </c>
      <c r="M57" s="15">
        <v>37283</v>
      </c>
      <c r="N57" s="16">
        <v>76659</v>
      </c>
      <c r="O57" s="17">
        <v>0.05</v>
      </c>
      <c r="P57" s="14" t="s">
        <v>17</v>
      </c>
      <c r="Q57" s="14" t="s">
        <v>35</v>
      </c>
    </row>
    <row r="58" spans="5:17" x14ac:dyDescent="0.45">
      <c r="E58" s="14" t="s">
        <v>328</v>
      </c>
      <c r="F58" s="14" t="s">
        <v>1154</v>
      </c>
      <c r="G58" s="14" t="s">
        <v>53</v>
      </c>
      <c r="H58" s="14" t="s">
        <v>43</v>
      </c>
      <c r="I58" s="14" t="s">
        <v>29</v>
      </c>
      <c r="J58" s="14" t="s">
        <v>25</v>
      </c>
      <c r="K58" s="14" t="s">
        <v>44</v>
      </c>
      <c r="L58" s="14">
        <v>42</v>
      </c>
      <c r="M58" s="15">
        <v>38513</v>
      </c>
      <c r="N58" s="16">
        <v>101630</v>
      </c>
      <c r="O58" s="17">
        <v>0.08</v>
      </c>
      <c r="P58" s="14" t="s">
        <v>45</v>
      </c>
      <c r="Q58" s="14" t="s">
        <v>46</v>
      </c>
    </row>
    <row r="59" spans="5:17" x14ac:dyDescent="0.45">
      <c r="E59" s="14" t="s">
        <v>267</v>
      </c>
      <c r="F59" s="14" t="s">
        <v>1155</v>
      </c>
      <c r="G59" s="14" t="s">
        <v>1111</v>
      </c>
      <c r="H59" s="14" t="s">
        <v>43</v>
      </c>
      <c r="I59" s="14" t="s">
        <v>14</v>
      </c>
      <c r="J59" s="14" t="s">
        <v>15</v>
      </c>
      <c r="K59" s="14" t="s">
        <v>44</v>
      </c>
      <c r="L59" s="14">
        <v>60</v>
      </c>
      <c r="M59" s="15">
        <v>34297</v>
      </c>
      <c r="N59" s="16">
        <v>126929</v>
      </c>
      <c r="O59" s="17">
        <v>0.12</v>
      </c>
      <c r="P59" s="14" t="s">
        <v>45</v>
      </c>
      <c r="Q59" s="14" t="s">
        <v>46</v>
      </c>
    </row>
    <row r="60" spans="5:17" x14ac:dyDescent="0.45">
      <c r="E60" s="14" t="s">
        <v>329</v>
      </c>
      <c r="F60" s="14" t="s">
        <v>215</v>
      </c>
      <c r="G60" s="14" t="s">
        <v>36</v>
      </c>
      <c r="H60" s="14" t="s">
        <v>43</v>
      </c>
      <c r="I60" s="14" t="s">
        <v>33</v>
      </c>
      <c r="J60" s="14" t="s">
        <v>25</v>
      </c>
      <c r="K60" s="14" t="s">
        <v>21</v>
      </c>
      <c r="L60" s="14">
        <v>47</v>
      </c>
      <c r="M60" s="15">
        <v>36490</v>
      </c>
      <c r="N60" s="16">
        <v>155890</v>
      </c>
      <c r="O60" s="17">
        <v>0.17</v>
      </c>
      <c r="P60" s="14" t="s">
        <v>17</v>
      </c>
      <c r="Q60" s="14" t="s">
        <v>26</v>
      </c>
    </row>
    <row r="61" spans="5:17" x14ac:dyDescent="0.45">
      <c r="E61" s="14" t="s">
        <v>330</v>
      </c>
      <c r="F61" s="14" t="s">
        <v>1156</v>
      </c>
      <c r="G61" s="14" t="s">
        <v>36</v>
      </c>
      <c r="H61" s="14" t="s">
        <v>13</v>
      </c>
      <c r="I61" s="14" t="s">
        <v>29</v>
      </c>
      <c r="J61" s="14" t="s">
        <v>25</v>
      </c>
      <c r="K61" s="14" t="s">
        <v>21</v>
      </c>
      <c r="L61" s="14">
        <v>50</v>
      </c>
      <c r="M61" s="15">
        <v>43740</v>
      </c>
      <c r="N61" s="16">
        <v>150631</v>
      </c>
      <c r="O61" s="17">
        <v>0.17</v>
      </c>
      <c r="P61" s="14" t="s">
        <v>17</v>
      </c>
      <c r="Q61" s="14" t="s">
        <v>35</v>
      </c>
    </row>
    <row r="62" spans="5:17" x14ac:dyDescent="0.45">
      <c r="E62" s="14" t="s">
        <v>175</v>
      </c>
      <c r="F62" s="14" t="s">
        <v>1157</v>
      </c>
      <c r="G62" s="14" t="s">
        <v>38</v>
      </c>
      <c r="H62" s="14" t="s">
        <v>43</v>
      </c>
      <c r="I62" s="14" t="s">
        <v>1102</v>
      </c>
      <c r="J62" s="14" t="s">
        <v>15</v>
      </c>
      <c r="K62" s="14" t="s">
        <v>21</v>
      </c>
      <c r="L62" s="14">
        <v>39</v>
      </c>
      <c r="M62" s="15">
        <v>41096</v>
      </c>
      <c r="N62" s="16">
        <v>72850</v>
      </c>
      <c r="O62" s="17">
        <v>0</v>
      </c>
      <c r="P62" s="14" t="s">
        <v>17</v>
      </c>
      <c r="Q62" s="14" t="s">
        <v>40</v>
      </c>
    </row>
    <row r="63" spans="5:17" x14ac:dyDescent="0.45">
      <c r="E63" s="14" t="s">
        <v>219</v>
      </c>
      <c r="F63" s="14" t="s">
        <v>1158</v>
      </c>
      <c r="G63" s="14" t="s">
        <v>74</v>
      </c>
      <c r="H63" s="14" t="s">
        <v>43</v>
      </c>
      <c r="I63" s="14" t="s">
        <v>29</v>
      </c>
      <c r="J63" s="14" t="s">
        <v>25</v>
      </c>
      <c r="K63" s="14" t="s">
        <v>44</v>
      </c>
      <c r="L63" s="14">
        <v>46</v>
      </c>
      <c r="M63" s="15">
        <v>40408</v>
      </c>
      <c r="N63" s="16">
        <v>57951</v>
      </c>
      <c r="O63" s="17">
        <v>0</v>
      </c>
      <c r="P63" s="14" t="s">
        <v>17</v>
      </c>
      <c r="Q63" s="14" t="s">
        <v>35</v>
      </c>
    </row>
    <row r="64" spans="5:17" x14ac:dyDescent="0.45">
      <c r="E64" s="14" t="s">
        <v>331</v>
      </c>
      <c r="F64" s="14" t="s">
        <v>1159</v>
      </c>
      <c r="G64" s="14" t="s">
        <v>55</v>
      </c>
      <c r="H64" s="14" t="s">
        <v>43</v>
      </c>
      <c r="I64" s="14" t="s">
        <v>33</v>
      </c>
      <c r="J64" s="14" t="s">
        <v>25</v>
      </c>
      <c r="K64" s="14" t="s">
        <v>16</v>
      </c>
      <c r="L64" s="14">
        <v>50</v>
      </c>
      <c r="M64" s="15">
        <v>40388</v>
      </c>
      <c r="N64" s="16">
        <v>70340</v>
      </c>
      <c r="O64" s="17">
        <v>0</v>
      </c>
      <c r="P64" s="14" t="s">
        <v>17</v>
      </c>
      <c r="Q64" s="14" t="s">
        <v>40</v>
      </c>
    </row>
    <row r="65" spans="5:17" x14ac:dyDescent="0.45">
      <c r="E65" s="14" t="s">
        <v>332</v>
      </c>
      <c r="F65" s="14" t="s">
        <v>1160</v>
      </c>
      <c r="G65" s="14" t="s">
        <v>51</v>
      </c>
      <c r="H65" s="14" t="s">
        <v>28</v>
      </c>
      <c r="I65" s="14" t="s">
        <v>33</v>
      </c>
      <c r="J65" s="14" t="s">
        <v>15</v>
      </c>
      <c r="K65" s="14" t="s">
        <v>21</v>
      </c>
      <c r="L65" s="14">
        <v>55</v>
      </c>
      <c r="M65" s="15">
        <v>39685</v>
      </c>
      <c r="N65" s="16">
        <v>98221</v>
      </c>
      <c r="O65" s="17">
        <v>0</v>
      </c>
      <c r="P65" s="14" t="s">
        <v>30</v>
      </c>
      <c r="Q65" s="14" t="s">
        <v>61</v>
      </c>
    </row>
    <row r="66" spans="5:17" x14ac:dyDescent="0.45">
      <c r="E66" s="14" t="s">
        <v>239</v>
      </c>
      <c r="F66" s="14" t="s">
        <v>1161</v>
      </c>
      <c r="G66" s="14" t="s">
        <v>1111</v>
      </c>
      <c r="H66" s="14" t="s">
        <v>43</v>
      </c>
      <c r="I66" s="14" t="s">
        <v>1102</v>
      </c>
      <c r="J66" s="14" t="s">
        <v>25</v>
      </c>
      <c r="K66" s="14" t="s">
        <v>21</v>
      </c>
      <c r="L66" s="14">
        <v>43</v>
      </c>
      <c r="M66" s="15">
        <v>37888</v>
      </c>
      <c r="N66" s="16">
        <v>127175</v>
      </c>
      <c r="O66" s="17">
        <v>0.12</v>
      </c>
      <c r="P66" s="14" t="s">
        <v>17</v>
      </c>
      <c r="Q66" s="14" t="s">
        <v>54</v>
      </c>
    </row>
    <row r="67" spans="5:17" x14ac:dyDescent="0.45">
      <c r="E67" s="14" t="s">
        <v>333</v>
      </c>
      <c r="F67" s="14" t="s">
        <v>1162</v>
      </c>
      <c r="G67" s="14" t="s">
        <v>38</v>
      </c>
      <c r="H67" s="14" t="s">
        <v>13</v>
      </c>
      <c r="I67" s="14" t="s">
        <v>33</v>
      </c>
      <c r="J67" s="14" t="s">
        <v>15</v>
      </c>
      <c r="K67" s="14" t="s">
        <v>41</v>
      </c>
      <c r="L67" s="14">
        <v>26</v>
      </c>
      <c r="M67" s="15">
        <v>44332</v>
      </c>
      <c r="N67" s="16">
        <v>97542</v>
      </c>
      <c r="O67" s="17">
        <v>0</v>
      </c>
      <c r="P67" s="14" t="s">
        <v>17</v>
      </c>
      <c r="Q67" s="14" t="s">
        <v>35</v>
      </c>
    </row>
    <row r="68" spans="5:17" x14ac:dyDescent="0.45">
      <c r="E68" s="14" t="s">
        <v>334</v>
      </c>
      <c r="F68" s="14" t="s">
        <v>1163</v>
      </c>
      <c r="G68" s="14" t="s">
        <v>38</v>
      </c>
      <c r="H68" s="14" t="s">
        <v>39</v>
      </c>
      <c r="I68" s="14" t="s">
        <v>14</v>
      </c>
      <c r="J68" s="14" t="s">
        <v>25</v>
      </c>
      <c r="K68" s="14" t="s">
        <v>44</v>
      </c>
      <c r="L68" s="14">
        <v>34</v>
      </c>
      <c r="M68" s="15">
        <v>43600</v>
      </c>
      <c r="N68" s="16">
        <v>81646</v>
      </c>
      <c r="O68" s="17">
        <v>0</v>
      </c>
      <c r="P68" s="14" t="s">
        <v>17</v>
      </c>
      <c r="Q68" s="14" t="s">
        <v>35</v>
      </c>
    </row>
    <row r="69" spans="5:17" x14ac:dyDescent="0.45">
      <c r="E69" s="14" t="s">
        <v>335</v>
      </c>
      <c r="F69" s="14" t="s">
        <v>1164</v>
      </c>
      <c r="G69" s="14" t="s">
        <v>36</v>
      </c>
      <c r="H69" s="14" t="s">
        <v>43</v>
      </c>
      <c r="I69" s="14" t="s">
        <v>1102</v>
      </c>
      <c r="J69" s="14" t="s">
        <v>25</v>
      </c>
      <c r="K69" s="14" t="s">
        <v>44</v>
      </c>
      <c r="L69" s="14">
        <v>38</v>
      </c>
      <c r="M69" s="15">
        <v>39999</v>
      </c>
      <c r="N69" s="16">
        <v>182055</v>
      </c>
      <c r="O69" s="17">
        <v>0.27</v>
      </c>
      <c r="P69" s="14" t="s">
        <v>45</v>
      </c>
      <c r="Q69" s="14" t="s">
        <v>1134</v>
      </c>
    </row>
    <row r="70" spans="5:17" x14ac:dyDescent="0.45">
      <c r="E70" s="14" t="s">
        <v>336</v>
      </c>
      <c r="F70" s="14" t="s">
        <v>1165</v>
      </c>
      <c r="G70" s="14" t="s">
        <v>38</v>
      </c>
      <c r="H70" s="14" t="s">
        <v>39</v>
      </c>
      <c r="I70" s="14" t="s">
        <v>1102</v>
      </c>
      <c r="J70" s="14" t="s">
        <v>25</v>
      </c>
      <c r="K70" s="14" t="s">
        <v>21</v>
      </c>
      <c r="L70" s="14">
        <v>35</v>
      </c>
      <c r="M70" s="15">
        <v>44584</v>
      </c>
      <c r="N70" s="16">
        <v>86777</v>
      </c>
      <c r="O70" s="17">
        <v>0</v>
      </c>
      <c r="P70" s="14" t="s">
        <v>30</v>
      </c>
      <c r="Q70" s="14" t="s">
        <v>31</v>
      </c>
    </row>
    <row r="71" spans="5:17" x14ac:dyDescent="0.45">
      <c r="E71" s="14" t="s">
        <v>104</v>
      </c>
      <c r="F71" s="14" t="s">
        <v>1166</v>
      </c>
      <c r="G71" s="14" t="s">
        <v>53</v>
      </c>
      <c r="H71" s="14" t="s">
        <v>39</v>
      </c>
      <c r="I71" s="14" t="s">
        <v>29</v>
      </c>
      <c r="J71" s="14" t="s">
        <v>25</v>
      </c>
      <c r="K71" s="14" t="s">
        <v>21</v>
      </c>
      <c r="L71" s="14">
        <v>39</v>
      </c>
      <c r="M71" s="15">
        <v>42172</v>
      </c>
      <c r="N71" s="16">
        <v>129949</v>
      </c>
      <c r="O71" s="17">
        <v>0.09</v>
      </c>
      <c r="P71" s="14" t="s">
        <v>30</v>
      </c>
      <c r="Q71" s="14" t="s">
        <v>52</v>
      </c>
    </row>
    <row r="72" spans="5:17" x14ac:dyDescent="0.45">
      <c r="E72" s="14" t="s">
        <v>172</v>
      </c>
      <c r="F72" s="14" t="s">
        <v>1167</v>
      </c>
      <c r="G72" s="14" t="s">
        <v>53</v>
      </c>
      <c r="H72" s="14" t="s">
        <v>43</v>
      </c>
      <c r="I72" s="14" t="s">
        <v>1102</v>
      </c>
      <c r="J72" s="14" t="s">
        <v>15</v>
      </c>
      <c r="K72" s="14" t="s">
        <v>21</v>
      </c>
      <c r="L72" s="14">
        <v>26</v>
      </c>
      <c r="M72" s="15">
        <v>44062</v>
      </c>
      <c r="N72" s="16">
        <v>124535</v>
      </c>
      <c r="O72" s="17">
        <v>0.06</v>
      </c>
      <c r="P72" s="14" t="s">
        <v>17</v>
      </c>
      <c r="Q72" s="14" t="s">
        <v>18</v>
      </c>
    </row>
    <row r="73" spans="5:17" x14ac:dyDescent="0.45">
      <c r="E73" s="14" t="s">
        <v>337</v>
      </c>
      <c r="F73" s="14" t="s">
        <v>1168</v>
      </c>
      <c r="G73" s="14" t="s">
        <v>77</v>
      </c>
      <c r="H73" s="14" t="s">
        <v>24</v>
      </c>
      <c r="I73" s="14" t="s">
        <v>14</v>
      </c>
      <c r="J73" s="14" t="s">
        <v>15</v>
      </c>
      <c r="K73" s="14" t="s">
        <v>21</v>
      </c>
      <c r="L73" s="14">
        <v>60</v>
      </c>
      <c r="M73" s="15">
        <v>34167</v>
      </c>
      <c r="N73" s="16">
        <v>81083</v>
      </c>
      <c r="O73" s="17">
        <v>0</v>
      </c>
      <c r="P73" s="14" t="s">
        <v>17</v>
      </c>
      <c r="Q73" s="14" t="s">
        <v>26</v>
      </c>
    </row>
    <row r="74" spans="5:17" x14ac:dyDescent="0.45">
      <c r="E74" s="14" t="s">
        <v>103</v>
      </c>
      <c r="F74" s="14" t="s">
        <v>1169</v>
      </c>
      <c r="G74" s="14" t="s">
        <v>57</v>
      </c>
      <c r="H74" s="14" t="s">
        <v>39</v>
      </c>
      <c r="I74" s="14" t="s">
        <v>29</v>
      </c>
      <c r="J74" s="14" t="s">
        <v>25</v>
      </c>
      <c r="K74" s="14" t="s">
        <v>21</v>
      </c>
      <c r="L74" s="14">
        <v>32</v>
      </c>
      <c r="M74" s="15">
        <v>43626</v>
      </c>
      <c r="N74" s="16">
        <v>57727</v>
      </c>
      <c r="O74" s="17">
        <v>0</v>
      </c>
      <c r="P74" s="14" t="s">
        <v>30</v>
      </c>
      <c r="Q74" s="14" t="s">
        <v>31</v>
      </c>
    </row>
    <row r="75" spans="5:17" x14ac:dyDescent="0.45">
      <c r="E75" s="14" t="s">
        <v>338</v>
      </c>
      <c r="F75" s="14" t="s">
        <v>1170</v>
      </c>
      <c r="G75" s="14" t="s">
        <v>55</v>
      </c>
      <c r="H75" s="14" t="s">
        <v>13</v>
      </c>
      <c r="I75" s="14" t="s">
        <v>33</v>
      </c>
      <c r="J75" s="14" t="s">
        <v>15</v>
      </c>
      <c r="K75" s="14" t="s">
        <v>16</v>
      </c>
      <c r="L75" s="14">
        <v>65</v>
      </c>
      <c r="M75" s="15">
        <v>44023</v>
      </c>
      <c r="N75" s="16">
        <v>59344</v>
      </c>
      <c r="O75" s="17">
        <v>0</v>
      </c>
      <c r="P75" s="14" t="s">
        <v>17</v>
      </c>
      <c r="Q75" s="14" t="s">
        <v>26</v>
      </c>
    </row>
    <row r="76" spans="5:17" x14ac:dyDescent="0.45">
      <c r="E76" s="14" t="s">
        <v>339</v>
      </c>
      <c r="F76" s="14" t="s">
        <v>1171</v>
      </c>
      <c r="G76" s="14" t="s">
        <v>38</v>
      </c>
      <c r="H76" s="14" t="s">
        <v>43</v>
      </c>
      <c r="I76" s="14" t="s">
        <v>14</v>
      </c>
      <c r="J76" s="14" t="s">
        <v>25</v>
      </c>
      <c r="K76" s="14" t="s">
        <v>21</v>
      </c>
      <c r="L76" s="14">
        <v>27</v>
      </c>
      <c r="M76" s="15">
        <v>44817</v>
      </c>
      <c r="N76" s="16">
        <v>73203</v>
      </c>
      <c r="O76" s="17">
        <v>0</v>
      </c>
      <c r="P76" s="14" t="s">
        <v>17</v>
      </c>
      <c r="Q76" s="14" t="s">
        <v>40</v>
      </c>
    </row>
    <row r="77" spans="5:17" x14ac:dyDescent="0.45">
      <c r="E77" s="14" t="s">
        <v>340</v>
      </c>
      <c r="F77" s="14" t="s">
        <v>1172</v>
      </c>
      <c r="G77" s="14" t="s">
        <v>73</v>
      </c>
      <c r="H77" s="14" t="s">
        <v>24</v>
      </c>
      <c r="I77" s="14" t="s">
        <v>1102</v>
      </c>
      <c r="J77" s="14" t="s">
        <v>15</v>
      </c>
      <c r="K77" s="14" t="s">
        <v>44</v>
      </c>
      <c r="L77" s="14">
        <v>63</v>
      </c>
      <c r="M77" s="15">
        <v>38003</v>
      </c>
      <c r="N77" s="16">
        <v>83070</v>
      </c>
      <c r="O77" s="17">
        <v>0</v>
      </c>
      <c r="P77" s="14" t="s">
        <v>45</v>
      </c>
      <c r="Q77" s="14" t="s">
        <v>46</v>
      </c>
    </row>
    <row r="78" spans="5:17" x14ac:dyDescent="0.45">
      <c r="E78" s="14" t="s">
        <v>341</v>
      </c>
      <c r="F78" s="14" t="s">
        <v>1173</v>
      </c>
      <c r="G78" s="14" t="s">
        <v>53</v>
      </c>
      <c r="H78" s="14" t="s">
        <v>20</v>
      </c>
      <c r="I78" s="14" t="s">
        <v>14</v>
      </c>
      <c r="J78" s="14" t="s">
        <v>15</v>
      </c>
      <c r="K78" s="14" t="s">
        <v>21</v>
      </c>
      <c r="L78" s="14">
        <v>51</v>
      </c>
      <c r="M78" s="15">
        <v>44034</v>
      </c>
      <c r="N78" s="16">
        <v>104008</v>
      </c>
      <c r="O78" s="17">
        <v>0.1</v>
      </c>
      <c r="P78" s="14" t="s">
        <v>30</v>
      </c>
      <c r="Q78" s="14" t="s">
        <v>52</v>
      </c>
    </row>
    <row r="79" spans="5:17" x14ac:dyDescent="0.45">
      <c r="E79" s="14" t="s">
        <v>342</v>
      </c>
      <c r="F79" s="14" t="s">
        <v>1174</v>
      </c>
      <c r="G79" s="14" t="s">
        <v>71</v>
      </c>
      <c r="H79" s="14" t="s">
        <v>24</v>
      </c>
      <c r="I79" s="14" t="s">
        <v>29</v>
      </c>
      <c r="J79" s="14" t="s">
        <v>15</v>
      </c>
      <c r="K79" s="14" t="s">
        <v>16</v>
      </c>
      <c r="L79" s="14">
        <v>43</v>
      </c>
      <c r="M79" s="15">
        <v>39129</v>
      </c>
      <c r="N79" s="16">
        <v>70923</v>
      </c>
      <c r="O79" s="17">
        <v>0</v>
      </c>
      <c r="P79" s="14" t="s">
        <v>17</v>
      </c>
      <c r="Q79" s="14" t="s">
        <v>26</v>
      </c>
    </row>
    <row r="80" spans="5:17" x14ac:dyDescent="0.45">
      <c r="E80" s="14" t="s">
        <v>343</v>
      </c>
      <c r="F80" s="14" t="s">
        <v>240</v>
      </c>
      <c r="G80" s="14" t="s">
        <v>1111</v>
      </c>
      <c r="H80" s="14" t="s">
        <v>39</v>
      </c>
      <c r="I80" s="14" t="s">
        <v>1102</v>
      </c>
      <c r="J80" s="14" t="s">
        <v>25</v>
      </c>
      <c r="K80" s="14" t="s">
        <v>41</v>
      </c>
      <c r="L80" s="14">
        <v>31</v>
      </c>
      <c r="M80" s="15">
        <v>43198</v>
      </c>
      <c r="N80" s="16">
        <v>159121</v>
      </c>
      <c r="O80" s="17">
        <v>0.14000000000000001</v>
      </c>
      <c r="P80" s="14" t="s">
        <v>17</v>
      </c>
      <c r="Q80" s="14" t="s">
        <v>35</v>
      </c>
    </row>
    <row r="81" spans="5:17" x14ac:dyDescent="0.45">
      <c r="E81" s="14" t="s">
        <v>344</v>
      </c>
      <c r="F81" s="14" t="s">
        <v>1175</v>
      </c>
      <c r="G81" s="14" t="s">
        <v>63</v>
      </c>
      <c r="H81" s="14" t="s">
        <v>20</v>
      </c>
      <c r="I81" s="14" t="s">
        <v>14</v>
      </c>
      <c r="J81" s="14" t="s">
        <v>15</v>
      </c>
      <c r="K81" s="14" t="s">
        <v>16</v>
      </c>
      <c r="L81" s="14">
        <v>26</v>
      </c>
      <c r="M81" s="15">
        <v>44167</v>
      </c>
      <c r="N81" s="16">
        <v>88921</v>
      </c>
      <c r="O81" s="17">
        <v>0</v>
      </c>
      <c r="P81" s="14" t="s">
        <v>17</v>
      </c>
      <c r="Q81" s="14" t="s">
        <v>18</v>
      </c>
    </row>
    <row r="82" spans="5:17" x14ac:dyDescent="0.45">
      <c r="E82" s="14" t="s">
        <v>345</v>
      </c>
      <c r="F82" s="14" t="s">
        <v>1176</v>
      </c>
      <c r="G82" s="14" t="s">
        <v>1111</v>
      </c>
      <c r="H82" s="14" t="s">
        <v>43</v>
      </c>
      <c r="I82" s="14" t="s">
        <v>1102</v>
      </c>
      <c r="J82" s="14" t="s">
        <v>25</v>
      </c>
      <c r="K82" s="14" t="s">
        <v>21</v>
      </c>
      <c r="L82" s="14">
        <v>46</v>
      </c>
      <c r="M82" s="15">
        <v>42246</v>
      </c>
      <c r="N82" s="16">
        <v>126704</v>
      </c>
      <c r="O82" s="17">
        <v>0.14000000000000001</v>
      </c>
      <c r="P82" s="14" t="s">
        <v>17</v>
      </c>
      <c r="Q82" s="14" t="s">
        <v>35</v>
      </c>
    </row>
    <row r="83" spans="5:17" x14ac:dyDescent="0.45">
      <c r="E83" s="14" t="s">
        <v>346</v>
      </c>
      <c r="F83" s="14" t="s">
        <v>1177</v>
      </c>
      <c r="G83" s="14" t="s">
        <v>55</v>
      </c>
      <c r="H83" s="14" t="s">
        <v>56</v>
      </c>
      <c r="I83" s="14" t="s">
        <v>33</v>
      </c>
      <c r="J83" s="14" t="s">
        <v>15</v>
      </c>
      <c r="K83" s="14" t="s">
        <v>21</v>
      </c>
      <c r="L83" s="14">
        <v>59</v>
      </c>
      <c r="M83" s="15">
        <v>41049</v>
      </c>
      <c r="N83" s="16">
        <v>57704</v>
      </c>
      <c r="O83" s="17">
        <v>0</v>
      </c>
      <c r="P83" s="14" t="s">
        <v>30</v>
      </c>
      <c r="Q83" s="14" t="s">
        <v>61</v>
      </c>
    </row>
    <row r="84" spans="5:17" x14ac:dyDescent="0.45">
      <c r="E84" s="14" t="s">
        <v>347</v>
      </c>
      <c r="F84" s="14" t="s">
        <v>1178</v>
      </c>
      <c r="G84" s="14" t="s">
        <v>36</v>
      </c>
      <c r="H84" s="14" t="s">
        <v>43</v>
      </c>
      <c r="I84" s="14" t="s">
        <v>14</v>
      </c>
      <c r="J84" s="14" t="s">
        <v>15</v>
      </c>
      <c r="K84" s="14" t="s">
        <v>44</v>
      </c>
      <c r="L84" s="14">
        <v>52</v>
      </c>
      <c r="M84" s="15">
        <v>35275</v>
      </c>
      <c r="N84" s="16">
        <v>191455</v>
      </c>
      <c r="O84" s="17">
        <v>0.24</v>
      </c>
      <c r="P84" s="14" t="s">
        <v>45</v>
      </c>
      <c r="Q84" s="14" t="s">
        <v>46</v>
      </c>
    </row>
    <row r="85" spans="5:17" x14ac:dyDescent="0.45">
      <c r="E85" s="14" t="s">
        <v>348</v>
      </c>
      <c r="F85" s="14" t="s">
        <v>1179</v>
      </c>
      <c r="G85" s="14" t="s">
        <v>71</v>
      </c>
      <c r="H85" s="14" t="s">
        <v>24</v>
      </c>
      <c r="I85" s="14" t="s">
        <v>33</v>
      </c>
      <c r="J85" s="14" t="s">
        <v>25</v>
      </c>
      <c r="K85" s="14" t="s">
        <v>16</v>
      </c>
      <c r="L85" s="14">
        <v>31</v>
      </c>
      <c r="M85" s="15">
        <v>44350</v>
      </c>
      <c r="N85" s="16">
        <v>99937</v>
      </c>
      <c r="O85" s="17">
        <v>0</v>
      </c>
      <c r="P85" s="14" t="s">
        <v>17</v>
      </c>
      <c r="Q85" s="14" t="s">
        <v>35</v>
      </c>
    </row>
    <row r="86" spans="5:17" x14ac:dyDescent="0.45">
      <c r="E86" s="14" t="s">
        <v>349</v>
      </c>
      <c r="F86" s="14" t="s">
        <v>1180</v>
      </c>
      <c r="G86" s="14" t="s">
        <v>57</v>
      </c>
      <c r="H86" s="14" t="s">
        <v>39</v>
      </c>
      <c r="I86" s="14" t="s">
        <v>1102</v>
      </c>
      <c r="J86" s="14" t="s">
        <v>25</v>
      </c>
      <c r="K86" s="14" t="s">
        <v>21</v>
      </c>
      <c r="L86" s="14">
        <v>42</v>
      </c>
      <c r="M86" s="15">
        <v>39519</v>
      </c>
      <c r="N86" s="16">
        <v>40778</v>
      </c>
      <c r="O86" s="17">
        <v>0</v>
      </c>
      <c r="P86" s="14" t="s">
        <v>30</v>
      </c>
      <c r="Q86" s="14" t="s">
        <v>31</v>
      </c>
    </row>
    <row r="87" spans="5:17" x14ac:dyDescent="0.45">
      <c r="E87" s="14" t="s">
        <v>350</v>
      </c>
      <c r="F87" s="14" t="s">
        <v>1181</v>
      </c>
      <c r="G87" s="14" t="s">
        <v>36</v>
      </c>
      <c r="H87" s="14" t="s">
        <v>39</v>
      </c>
      <c r="I87" s="14" t="s">
        <v>1102</v>
      </c>
      <c r="J87" s="14" t="s">
        <v>25</v>
      </c>
      <c r="K87" s="14" t="s">
        <v>21</v>
      </c>
      <c r="L87" s="14">
        <v>53</v>
      </c>
      <c r="M87" s="15">
        <v>44516</v>
      </c>
      <c r="N87" s="16">
        <v>187740</v>
      </c>
      <c r="O87" s="17">
        <v>0.16</v>
      </c>
      <c r="P87" s="14" t="s">
        <v>17</v>
      </c>
      <c r="Q87" s="14" t="s">
        <v>26</v>
      </c>
    </row>
    <row r="88" spans="5:17" x14ac:dyDescent="0.45">
      <c r="E88" s="14" t="s">
        <v>133</v>
      </c>
      <c r="F88" s="14" t="s">
        <v>1182</v>
      </c>
      <c r="G88" s="14" t="s">
        <v>19</v>
      </c>
      <c r="H88" s="14" t="s">
        <v>20</v>
      </c>
      <c r="I88" s="14" t="s">
        <v>14</v>
      </c>
      <c r="J88" s="14" t="s">
        <v>25</v>
      </c>
      <c r="K88" s="14" t="s">
        <v>44</v>
      </c>
      <c r="L88" s="14">
        <v>47</v>
      </c>
      <c r="M88" s="15">
        <v>39701</v>
      </c>
      <c r="N88" s="16">
        <v>72384</v>
      </c>
      <c r="O88" s="17">
        <v>0</v>
      </c>
      <c r="P88" s="14" t="s">
        <v>45</v>
      </c>
      <c r="Q88" s="14" t="s">
        <v>1134</v>
      </c>
    </row>
    <row r="89" spans="5:17" x14ac:dyDescent="0.45">
      <c r="E89" s="14" t="s">
        <v>351</v>
      </c>
      <c r="F89" s="14" t="s">
        <v>1183</v>
      </c>
      <c r="G89" s="14" t="s">
        <v>1111</v>
      </c>
      <c r="H89" s="14" t="s">
        <v>39</v>
      </c>
      <c r="I89" s="14" t="s">
        <v>29</v>
      </c>
      <c r="J89" s="14" t="s">
        <v>15</v>
      </c>
      <c r="K89" s="14" t="s">
        <v>21</v>
      </c>
      <c r="L89" s="14">
        <v>45</v>
      </c>
      <c r="M89" s="15">
        <v>42587</v>
      </c>
      <c r="N89" s="16">
        <v>143318</v>
      </c>
      <c r="O89" s="17">
        <v>0.12</v>
      </c>
      <c r="P89" s="14" t="s">
        <v>30</v>
      </c>
      <c r="Q89" s="14" t="s">
        <v>31</v>
      </c>
    </row>
    <row r="90" spans="5:17" x14ac:dyDescent="0.45">
      <c r="E90" s="14" t="s">
        <v>352</v>
      </c>
      <c r="F90" s="14" t="s">
        <v>1184</v>
      </c>
      <c r="G90" s="14" t="s">
        <v>36</v>
      </c>
      <c r="H90" s="14" t="s">
        <v>20</v>
      </c>
      <c r="I90" s="14" t="s">
        <v>1102</v>
      </c>
      <c r="J90" s="14" t="s">
        <v>15</v>
      </c>
      <c r="K90" s="14" t="s">
        <v>44</v>
      </c>
      <c r="L90" s="14">
        <v>45</v>
      </c>
      <c r="M90" s="15">
        <v>39617</v>
      </c>
      <c r="N90" s="16">
        <v>191304</v>
      </c>
      <c r="O90" s="17">
        <v>0.17</v>
      </c>
      <c r="P90" s="14" t="s">
        <v>17</v>
      </c>
      <c r="Q90" s="14" t="s">
        <v>35</v>
      </c>
    </row>
    <row r="91" spans="5:17" x14ac:dyDescent="0.45">
      <c r="E91" s="14" t="s">
        <v>353</v>
      </c>
      <c r="F91" s="14" t="s">
        <v>1185</v>
      </c>
      <c r="G91" s="14" t="s">
        <v>36</v>
      </c>
      <c r="H91" s="14" t="s">
        <v>20</v>
      </c>
      <c r="I91" s="14" t="s">
        <v>1102</v>
      </c>
      <c r="J91" s="14" t="s">
        <v>15</v>
      </c>
      <c r="K91" s="14" t="s">
        <v>41</v>
      </c>
      <c r="L91" s="14">
        <v>33</v>
      </c>
      <c r="M91" s="15">
        <v>42079</v>
      </c>
      <c r="N91" s="16">
        <v>175875</v>
      </c>
      <c r="O91" s="17">
        <v>0.21</v>
      </c>
      <c r="P91" s="14" t="s">
        <v>17</v>
      </c>
      <c r="Q91" s="14" t="s">
        <v>26</v>
      </c>
    </row>
    <row r="92" spans="5:17" x14ac:dyDescent="0.45">
      <c r="E92" s="14" t="s">
        <v>354</v>
      </c>
      <c r="F92" s="14" t="s">
        <v>1186</v>
      </c>
      <c r="G92" s="14" t="s">
        <v>53</v>
      </c>
      <c r="H92" s="14" t="s">
        <v>43</v>
      </c>
      <c r="I92" s="14" t="s">
        <v>14</v>
      </c>
      <c r="J92" s="14" t="s">
        <v>15</v>
      </c>
      <c r="K92" s="14" t="s">
        <v>41</v>
      </c>
      <c r="L92" s="14">
        <v>42</v>
      </c>
      <c r="M92" s="15">
        <v>41742</v>
      </c>
      <c r="N92" s="16">
        <v>106726</v>
      </c>
      <c r="O92" s="17">
        <v>0.09</v>
      </c>
      <c r="P92" s="14" t="s">
        <v>17</v>
      </c>
      <c r="Q92" s="14" t="s">
        <v>54</v>
      </c>
    </row>
    <row r="93" spans="5:17" x14ac:dyDescent="0.45">
      <c r="E93" s="14" t="s">
        <v>355</v>
      </c>
      <c r="F93" s="14" t="s">
        <v>1187</v>
      </c>
      <c r="G93" s="14" t="s">
        <v>34</v>
      </c>
      <c r="H93" s="14" t="s">
        <v>24</v>
      </c>
      <c r="I93" s="14" t="s">
        <v>33</v>
      </c>
      <c r="J93" s="14" t="s">
        <v>15</v>
      </c>
      <c r="K93" s="14" t="s">
        <v>41</v>
      </c>
      <c r="L93" s="14">
        <v>37</v>
      </c>
      <c r="M93" s="15">
        <v>40846</v>
      </c>
      <c r="N93" s="16">
        <v>72637</v>
      </c>
      <c r="O93" s="17">
        <v>0</v>
      </c>
      <c r="P93" s="14" t="s">
        <v>17</v>
      </c>
      <c r="Q93" s="14" t="s">
        <v>26</v>
      </c>
    </row>
    <row r="94" spans="5:17" x14ac:dyDescent="0.45">
      <c r="E94" s="14" t="s">
        <v>117</v>
      </c>
      <c r="F94" s="14" t="s">
        <v>1188</v>
      </c>
      <c r="G94" s="14" t="s">
        <v>53</v>
      </c>
      <c r="H94" s="14" t="s">
        <v>39</v>
      </c>
      <c r="I94" s="14" t="s">
        <v>29</v>
      </c>
      <c r="J94" s="14" t="s">
        <v>15</v>
      </c>
      <c r="K94" s="14" t="s">
        <v>21</v>
      </c>
      <c r="L94" s="14">
        <v>27</v>
      </c>
      <c r="M94" s="15">
        <v>44900</v>
      </c>
      <c r="N94" s="16">
        <v>118304</v>
      </c>
      <c r="O94" s="17">
        <v>7.0000000000000007E-2</v>
      </c>
      <c r="P94" s="14" t="s">
        <v>30</v>
      </c>
      <c r="Q94" s="14" t="s">
        <v>61</v>
      </c>
    </row>
    <row r="95" spans="5:17" x14ac:dyDescent="0.45">
      <c r="E95" s="14" t="s">
        <v>356</v>
      </c>
      <c r="F95" s="14" t="s">
        <v>1189</v>
      </c>
      <c r="G95" s="14" t="s">
        <v>48</v>
      </c>
      <c r="H95" s="14" t="s">
        <v>24</v>
      </c>
      <c r="I95" s="14" t="s">
        <v>33</v>
      </c>
      <c r="J95" s="14" t="s">
        <v>25</v>
      </c>
      <c r="K95" s="14" t="s">
        <v>44</v>
      </c>
      <c r="L95" s="14">
        <v>55</v>
      </c>
      <c r="M95" s="15">
        <v>37789</v>
      </c>
      <c r="N95" s="16">
        <v>68592</v>
      </c>
      <c r="O95" s="17">
        <v>0.08</v>
      </c>
      <c r="P95" s="14" t="s">
        <v>45</v>
      </c>
      <c r="Q95" s="14" t="s">
        <v>46</v>
      </c>
    </row>
    <row r="96" spans="5:17" x14ac:dyDescent="0.45">
      <c r="E96" s="14" t="s">
        <v>357</v>
      </c>
      <c r="F96" s="14" t="s">
        <v>1190</v>
      </c>
      <c r="G96" s="14" t="s">
        <v>57</v>
      </c>
      <c r="H96" s="14" t="s">
        <v>56</v>
      </c>
      <c r="I96" s="14" t="s">
        <v>14</v>
      </c>
      <c r="J96" s="14" t="s">
        <v>15</v>
      </c>
      <c r="K96" s="14" t="s">
        <v>21</v>
      </c>
      <c r="L96" s="14">
        <v>46</v>
      </c>
      <c r="M96" s="15">
        <v>38808</v>
      </c>
      <c r="N96" s="16">
        <v>42532</v>
      </c>
      <c r="O96" s="17">
        <v>0</v>
      </c>
      <c r="P96" s="14" t="s">
        <v>30</v>
      </c>
      <c r="Q96" s="14" t="s">
        <v>65</v>
      </c>
    </row>
    <row r="97" spans="5:17" x14ac:dyDescent="0.45">
      <c r="E97" s="14" t="s">
        <v>358</v>
      </c>
      <c r="F97" s="14" t="s">
        <v>1191</v>
      </c>
      <c r="G97" s="14" t="s">
        <v>47</v>
      </c>
      <c r="H97" s="14" t="s">
        <v>24</v>
      </c>
      <c r="I97" s="14" t="s">
        <v>14</v>
      </c>
      <c r="J97" s="14" t="s">
        <v>25</v>
      </c>
      <c r="K97" s="14" t="s">
        <v>21</v>
      </c>
      <c r="L97" s="14">
        <v>37</v>
      </c>
      <c r="M97" s="15">
        <v>42236</v>
      </c>
      <c r="N97" s="16">
        <v>65073</v>
      </c>
      <c r="O97" s="17">
        <v>0</v>
      </c>
      <c r="P97" s="14" t="s">
        <v>30</v>
      </c>
      <c r="Q97" s="14" t="s">
        <v>61</v>
      </c>
    </row>
    <row r="98" spans="5:17" x14ac:dyDescent="0.45">
      <c r="E98" s="14" t="s">
        <v>359</v>
      </c>
      <c r="F98" s="14" t="s">
        <v>1192</v>
      </c>
      <c r="G98" s="14" t="s">
        <v>76</v>
      </c>
      <c r="H98" s="14" t="s">
        <v>28</v>
      </c>
      <c r="I98" s="14" t="s">
        <v>29</v>
      </c>
      <c r="J98" s="14" t="s">
        <v>25</v>
      </c>
      <c r="K98" s="14" t="s">
        <v>21</v>
      </c>
      <c r="L98" s="14">
        <v>32</v>
      </c>
      <c r="M98" s="15">
        <v>43730</v>
      </c>
      <c r="N98" s="16">
        <v>111035</v>
      </c>
      <c r="O98" s="17">
        <v>0.12</v>
      </c>
      <c r="P98" s="14" t="s">
        <v>17</v>
      </c>
      <c r="Q98" s="14" t="s">
        <v>18</v>
      </c>
    </row>
    <row r="99" spans="5:17" x14ac:dyDescent="0.45">
      <c r="E99" s="14" t="s">
        <v>360</v>
      </c>
      <c r="F99" s="14" t="s">
        <v>1193</v>
      </c>
      <c r="G99" s="14" t="s">
        <v>55</v>
      </c>
      <c r="H99" s="14" t="s">
        <v>13</v>
      </c>
      <c r="I99" s="14" t="s">
        <v>1102</v>
      </c>
      <c r="J99" s="14" t="s">
        <v>15</v>
      </c>
      <c r="K99" s="14" t="s">
        <v>16</v>
      </c>
      <c r="L99" s="14">
        <v>28</v>
      </c>
      <c r="M99" s="15">
        <v>43868</v>
      </c>
      <c r="N99" s="16">
        <v>63066</v>
      </c>
      <c r="O99" s="17">
        <v>0</v>
      </c>
      <c r="P99" s="14" t="s">
        <v>17</v>
      </c>
      <c r="Q99" s="14" t="s">
        <v>54</v>
      </c>
    </row>
    <row r="100" spans="5:17" x14ac:dyDescent="0.45">
      <c r="E100" s="14" t="s">
        <v>361</v>
      </c>
      <c r="F100" s="14" t="s">
        <v>1194</v>
      </c>
      <c r="G100" s="14" t="s">
        <v>36</v>
      </c>
      <c r="H100" s="14" t="s">
        <v>28</v>
      </c>
      <c r="I100" s="14" t="s">
        <v>29</v>
      </c>
      <c r="J100" s="14" t="s">
        <v>25</v>
      </c>
      <c r="K100" s="14" t="s">
        <v>44</v>
      </c>
      <c r="L100" s="14">
        <v>49</v>
      </c>
      <c r="M100" s="15">
        <v>39168</v>
      </c>
      <c r="N100" s="16">
        <v>186192</v>
      </c>
      <c r="O100" s="17">
        <v>0.27</v>
      </c>
      <c r="P100" s="14" t="s">
        <v>45</v>
      </c>
      <c r="Q100" s="14" t="s">
        <v>46</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00908-34D7-473A-9D1C-00621C7566E3}">
  <dimension ref="A1:B21"/>
  <sheetViews>
    <sheetView zoomScale="170" zoomScaleNormal="170" workbookViewId="0">
      <selection activeCell="B21" sqref="B21"/>
    </sheetView>
  </sheetViews>
  <sheetFormatPr defaultRowHeight="14.5" x14ac:dyDescent="0.35"/>
  <cols>
    <col min="2" max="2" width="17.7265625" bestFit="1" customWidth="1"/>
  </cols>
  <sheetData>
    <row r="1" spans="1:2" x14ac:dyDescent="0.35">
      <c r="A1" s="20" t="s">
        <v>2074</v>
      </c>
      <c r="B1" s="21" t="s">
        <v>0</v>
      </c>
    </row>
    <row r="2" spans="1:2" x14ac:dyDescent="0.35">
      <c r="A2" s="2" t="s">
        <v>2075</v>
      </c>
      <c r="B2" s="2" t="s">
        <v>1095</v>
      </c>
    </row>
    <row r="3" spans="1:2" x14ac:dyDescent="0.35">
      <c r="A3" s="2" t="s">
        <v>2076</v>
      </c>
      <c r="B3" s="2" t="s">
        <v>1096</v>
      </c>
    </row>
    <row r="4" spans="1:2" x14ac:dyDescent="0.35">
      <c r="A4" s="2" t="s">
        <v>2077</v>
      </c>
      <c r="B4" s="2" t="s">
        <v>1097</v>
      </c>
    </row>
    <row r="5" spans="1:2" x14ac:dyDescent="0.35">
      <c r="A5" s="2" t="s">
        <v>2078</v>
      </c>
      <c r="B5" s="2" t="s">
        <v>1098</v>
      </c>
    </row>
    <row r="6" spans="1:2" x14ac:dyDescent="0.35">
      <c r="A6" s="2" t="s">
        <v>2079</v>
      </c>
      <c r="B6" s="2" t="s">
        <v>1099</v>
      </c>
    </row>
    <row r="7" spans="1:2" x14ac:dyDescent="0.35">
      <c r="A7" s="2" t="s">
        <v>2080</v>
      </c>
      <c r="B7" s="2" t="s">
        <v>1100</v>
      </c>
    </row>
    <row r="8" spans="1:2" x14ac:dyDescent="0.35">
      <c r="A8" s="2" t="s">
        <v>2081</v>
      </c>
      <c r="B8" s="2" t="s">
        <v>1101</v>
      </c>
    </row>
    <row r="9" spans="1:2" x14ac:dyDescent="0.35">
      <c r="A9" s="2" t="s">
        <v>2082</v>
      </c>
      <c r="B9" s="2" t="s">
        <v>1103</v>
      </c>
    </row>
    <row r="10" spans="1:2" x14ac:dyDescent="0.35">
      <c r="A10" s="2" t="s">
        <v>2083</v>
      </c>
      <c r="B10" s="2" t="s">
        <v>1104</v>
      </c>
    </row>
    <row r="11" spans="1:2" x14ac:dyDescent="0.35">
      <c r="A11" s="2" t="s">
        <v>2084</v>
      </c>
      <c r="B11" s="2" t="s">
        <v>1105</v>
      </c>
    </row>
    <row r="12" spans="1:2" x14ac:dyDescent="0.35">
      <c r="A12" s="2" t="s">
        <v>2085</v>
      </c>
      <c r="B12" s="2" t="s">
        <v>1106</v>
      </c>
    </row>
    <row r="13" spans="1:2" x14ac:dyDescent="0.35">
      <c r="A13" s="2" t="s">
        <v>2086</v>
      </c>
      <c r="B13" s="2" t="s">
        <v>1107</v>
      </c>
    </row>
    <row r="14" spans="1:2" x14ac:dyDescent="0.35">
      <c r="A14" s="2" t="s">
        <v>2087</v>
      </c>
      <c r="B14" s="2" t="s">
        <v>1108</v>
      </c>
    </row>
    <row r="15" spans="1:2" x14ac:dyDescent="0.35">
      <c r="A15" s="2" t="s">
        <v>2088</v>
      </c>
      <c r="B15" s="2" t="s">
        <v>1109</v>
      </c>
    </row>
    <row r="16" spans="1:2" x14ac:dyDescent="0.35">
      <c r="A16" s="2" t="s">
        <v>2089</v>
      </c>
      <c r="B16" s="2" t="s">
        <v>1110</v>
      </c>
    </row>
    <row r="17" spans="1:2" x14ac:dyDescent="0.35">
      <c r="A17" s="2" t="s">
        <v>2090</v>
      </c>
      <c r="B17" s="2" t="s">
        <v>1112</v>
      </c>
    </row>
    <row r="18" spans="1:2" x14ac:dyDescent="0.35">
      <c r="A18" s="2" t="s">
        <v>2091</v>
      </c>
      <c r="B18" s="2" t="s">
        <v>1113</v>
      </c>
    </row>
    <row r="19" spans="1:2" x14ac:dyDescent="0.35">
      <c r="A19" s="2" t="s">
        <v>2092</v>
      </c>
      <c r="B19" s="2" t="s">
        <v>1114</v>
      </c>
    </row>
    <row r="20" spans="1:2" x14ac:dyDescent="0.35">
      <c r="A20" s="2" t="s">
        <v>2093</v>
      </c>
      <c r="B20" s="2" t="s">
        <v>1115</v>
      </c>
    </row>
    <row r="21" spans="1:2" x14ac:dyDescent="0.35">
      <c r="A21" s="2" t="s">
        <v>2094</v>
      </c>
      <c r="B21" s="2" t="s">
        <v>1116</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Chart</vt:lpstr>
      <vt:lpstr>Sheet2</vt:lpstr>
      <vt:lpstr>filters</vt:lpstr>
      <vt:lpstr>connections</vt:lpstr>
      <vt:lpstr>Sheet6</vt:lpstr>
      <vt:lpstr>Employee Data</vt:lpstr>
      <vt:lpstr>Employee Data (2)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Newman</dc:creator>
  <cp:lastModifiedBy>Prabu vijay</cp:lastModifiedBy>
  <dcterms:created xsi:type="dcterms:W3CDTF">2022-08-29T14:02:56Z</dcterms:created>
  <dcterms:modified xsi:type="dcterms:W3CDTF">2026-02-26T05:12:18Z</dcterms:modified>
</cp:coreProperties>
</file>